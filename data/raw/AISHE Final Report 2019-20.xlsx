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D:\SANJEEV\DFM x\2019-20\"/>
    </mc:Choice>
  </mc:AlternateContent>
  <xr:revisionPtr revIDLastSave="0" documentId="13_ncr:1_{B5418B3B-9336-4CE1-8AEB-0A92D13167E2}" xr6:coauthVersionLast="47" xr6:coauthVersionMax="47" xr10:uidLastSave="{00000000-0000-0000-0000-000000000000}"/>
  <bookViews>
    <workbookView xWindow="14235" yWindow="0" windowWidth="15015" windowHeight="15585" tabRatio="875" xr2:uid="{00000000-000D-0000-FFFF-FFFF00000000}"/>
  </bookViews>
  <sheets>
    <sheet name="1UniNo" sheetId="55" r:id="rId1"/>
    <sheet name="1InsResponse" sheetId="126" r:id="rId2"/>
    <sheet name="2University-Specialisation" sheetId="141" r:id="rId3"/>
    <sheet name="3Collegerange" sheetId="68" r:id="rId4"/>
    <sheet name="4CollegeIndicator" sheetId="53" r:id="rId5"/>
    <sheet name="4aCollegeSpec" sheetId="98" r:id="rId6"/>
    <sheet name="5ManagementCollegeNo" sheetId="99" r:id="rId7"/>
    <sheet name="6TotalEnr" sheetId="13" r:id="rId8"/>
    <sheet name="6aTotalRegularEnr" sheetId="25" r:id="rId9"/>
    <sheet name="6bTotalDistanceEnr" sheetId="115" r:id="rId10"/>
    <sheet name="7UnivActwithConsUnit" sheetId="61" r:id="rId11"/>
    <sheet name="8CollegeAct" sheetId="16" r:id="rId12"/>
    <sheet name="9AllSAAct" sheetId="17" r:id="rId13"/>
    <sheet name="10CollegeEst" sheetId="12" r:id="rId14"/>
    <sheet name="11Programme" sheetId="79" r:id="rId15"/>
    <sheet name="11aProgrammeDistance " sheetId="80" r:id="rId16"/>
    <sheet name="12UGDisc " sheetId="81" r:id="rId17"/>
    <sheet name="13PGDisc" sheetId="82" r:id="rId18"/>
    <sheet name="14TotalEnrCategory" sheetId="65" r:id="rId19"/>
    <sheet name="16FS-countrylevel" sheetId="76" r:id="rId20"/>
    <sheet name="17FS-statelevel" sheetId="77" r:id="rId21"/>
    <sheet name="18FS-prog" sheetId="78" r:id="rId22"/>
    <sheet name="19GER" sheetId="26" r:id="rId23"/>
    <sheet name="ManagementCollegeNo (2)" sheetId="11" state="hidden" r:id="rId24"/>
    <sheet name="WomenCollege" sheetId="3" state="hidden" r:id="rId25"/>
    <sheet name="20GPI" sheetId="58" r:id="rId26"/>
    <sheet name="21TeacherCategory" sheetId="119" r:id="rId27"/>
    <sheet name="22TeacherPost" sheetId="120" r:id="rId28"/>
    <sheet name="22aTeacherPostUC" sheetId="121" r:id="rId29"/>
    <sheet name="22bTeacherPostU" sheetId="122" r:id="rId30"/>
    <sheet name="23StaffPost" sheetId="96" r:id="rId31"/>
    <sheet name="24StaffCategory" sheetId="97" r:id="rId32"/>
    <sheet name="25PTR" sheetId="125" r:id="rId33"/>
    <sheet name="26UnivEnrolinclConstituentU" sheetId="66" r:id="rId34"/>
    <sheet name="27TypeEnrolmentCategory-Est" sheetId="67" r:id="rId35"/>
    <sheet name="29TypeTeacherPostEstimated" sheetId="123" r:id="rId36"/>
    <sheet name="30TypeTeacherCategoryEstimated" sheetId="124" r:id="rId37"/>
    <sheet name="31Hostelstate " sheetId="117" r:id="rId38"/>
    <sheet name="32TypeHostel" sheetId="118" r:id="rId39"/>
    <sheet name="33OutTurnState" sheetId="72" r:id="rId40"/>
    <sheet name="34OutTurn Prog " sheetId="73" r:id="rId41"/>
    <sheet name="35UGDisc" sheetId="74" r:id="rId42"/>
    <sheet name="36 PGDisc " sheetId="75" r:id="rId43"/>
    <sheet name="37CollegeTypeNo" sheetId="69" r:id="rId44"/>
    <sheet name="38pop2019" sheetId="50" r:id="rId45"/>
    <sheet name="39TypeStateUnivwithConsUnit" sheetId="63" r:id="rId46"/>
    <sheet name="40NoUni" sheetId="142" r:id="rId47"/>
    <sheet name="41NoUniType" sheetId="143" r:id="rId48"/>
    <sheet name="42CollegeIndicator" sheetId="144" r:id="rId49"/>
    <sheet name="43ENRLT" sheetId="145" r:id="rId50"/>
    <sheet name="44ENRLR" sheetId="146" r:id="rId51"/>
    <sheet name="45EnrlCategory" sheetId="147" r:id="rId52"/>
    <sheet name="46EnrlMinority" sheetId="148" r:id="rId53"/>
    <sheet name="47GER " sheetId="149" r:id="rId54"/>
    <sheet name="48GPI" sheetId="150" r:id="rId55"/>
    <sheet name="49PTR" sheetId="151" r:id="rId56"/>
    <sheet name="50LevelEnrlUniType" sheetId="152" r:id="rId57"/>
    <sheet name="51PostTeacher" sheetId="153" r:id="rId58"/>
    <sheet name="52Pop" sheetId="154" r:id="rId59"/>
    <sheet name="4CollegeIndicator (2)" sheetId="34" state="hidden" r:id="rId60"/>
    <sheet name="RespondingTypeCollege" sheetId="9" state="hidden" r:id="rId61"/>
    <sheet name="Paste" sheetId="1" state="hidden" r:id="rId62"/>
    <sheet name="StandaloneMgt" sheetId="5" state="hidden" r:id="rId63"/>
  </sheets>
  <externalReferences>
    <externalReference r:id="rId64"/>
    <externalReference r:id="rId65"/>
  </externalReferences>
  <definedNames>
    <definedName name="_xlnm._FilterDatabase" localSheetId="18" hidden="1">'14TotalEnrCategory'!$A$4:$W$42</definedName>
    <definedName name="_xlnm._FilterDatabase" localSheetId="19" hidden="1">'16FS-countrylevel'!$B$4:$AC$173</definedName>
    <definedName name="_xlnm._FilterDatabase" localSheetId="0" hidden="1">'1UniNo'!$A$3:$O$38</definedName>
    <definedName name="_xlnm._FilterDatabase" localSheetId="33" hidden="1">'26UnivEnrolinclConstituentU'!$A$4:$AE$20</definedName>
    <definedName name="_xlnm._FilterDatabase" localSheetId="40" hidden="1">'34OutTurn Prog '!$B$3:$E$3</definedName>
    <definedName name="_xlnm._FilterDatabase" localSheetId="41" hidden="1">'35UGDisc'!$A$2:$E$2</definedName>
    <definedName name="_xlnm._FilterDatabase" localSheetId="42" hidden="1">'36 PGDisc '!$A$4:$K$4</definedName>
    <definedName name="_xlnm._FilterDatabase" localSheetId="47" hidden="1">'41NoUniType'!$A$2:$K$203</definedName>
    <definedName name="_xlnm._FilterDatabase" localSheetId="49" hidden="1">'43ENRLT'!$A$3:$AB$228</definedName>
    <definedName name="_xlnm._FilterDatabase" localSheetId="50" hidden="1">'44ENRLR'!$A$3:$AB$228</definedName>
    <definedName name="_xlnm._FilterDatabase" localSheetId="53" hidden="1">'47GER '!$A$3:$J$228</definedName>
    <definedName name="_xlnm._FilterDatabase" localSheetId="55" hidden="1">'49PTR'!$A$3:$J$228</definedName>
    <definedName name="_xlnm._FilterDatabase" localSheetId="59" hidden="1">'4CollegeIndicator (2)'!$A$2:$F$2</definedName>
    <definedName name="_xlnm._FilterDatabase" localSheetId="56" hidden="1">'50LevelEnrlUniType'!$A$2:$AB$78</definedName>
    <definedName name="_xlnm._FilterDatabase" localSheetId="57" hidden="1">'51PostTeacher'!$A$2:$W$228</definedName>
    <definedName name="College" localSheetId="32">#REF!</definedName>
    <definedName name="College" localSheetId="2">#REF!</definedName>
    <definedName name="College" localSheetId="37">#REF!</definedName>
    <definedName name="College" localSheetId="39">#REF!</definedName>
    <definedName name="College" localSheetId="40">#REF!</definedName>
    <definedName name="College" localSheetId="41">#REF!</definedName>
    <definedName name="College" localSheetId="42">#REF!</definedName>
    <definedName name="College" localSheetId="53">#REF!</definedName>
    <definedName name="College" localSheetId="55">#REF!</definedName>
    <definedName name="College">#REF!</definedName>
    <definedName name="d" localSheetId="32">#REF!</definedName>
    <definedName name="d" localSheetId="2">#REF!</definedName>
    <definedName name="d" localSheetId="39">#REF!</definedName>
    <definedName name="d" localSheetId="40">#REF!</definedName>
    <definedName name="d" localSheetId="41">#REF!</definedName>
    <definedName name="d" localSheetId="42">#REF!</definedName>
    <definedName name="d" localSheetId="53">#REF!</definedName>
    <definedName name="d" localSheetId="55">#REF!</definedName>
    <definedName name="d">#REF!</definedName>
    <definedName name="JR_PAGE_ANCHOR_0_1" localSheetId="55">#REF!</definedName>
    <definedName name="JR_PAGE_ANCHOR_0_1">#REF!</definedName>
    <definedName name="_xlnm.Print_Area" localSheetId="13">'10CollegeEst'!$A$1:$H$42</definedName>
    <definedName name="_xlnm.Print_Area" localSheetId="15">'11aProgrammeDistance '!$A$1:$N$61</definedName>
    <definedName name="_xlnm.Print_Area" localSheetId="14">'11Programme'!$A$1:$N$200</definedName>
    <definedName name="_xlnm.Print_Area" localSheetId="16">'12UGDisc '!$A$1:$E$74</definedName>
    <definedName name="_xlnm.Print_Area" localSheetId="17">'13PGDisc'!$A$1:$K$204</definedName>
    <definedName name="_xlnm.Print_Area" localSheetId="18">'14TotalEnrCategory'!$A$1:$W$42</definedName>
    <definedName name="_xlnm.Print_Area" localSheetId="19">'16FS-countrylevel'!$A$1:$AC$173</definedName>
    <definedName name="_xlnm.Print_Area" localSheetId="20">'17FS-statelevel'!$A$1:$AC$38</definedName>
    <definedName name="_xlnm.Print_Area" localSheetId="21">'18FS-prog'!$A$1:$E$142</definedName>
    <definedName name="_xlnm.Print_Area" localSheetId="22">'19GER'!$A$1:$K$42</definedName>
    <definedName name="_xlnm.Print_Area" localSheetId="1">'1InsResponse'!$A$1:$N$43</definedName>
    <definedName name="_xlnm.Print_Area" localSheetId="0">'1UniNo'!$A$1:$N$38</definedName>
    <definedName name="_xlnm.Print_Area" localSheetId="25">'20GPI'!$A$1:$E$41</definedName>
    <definedName name="_xlnm.Print_Area" localSheetId="26">'21TeacherCategory'!$A$1:$W$42</definedName>
    <definedName name="_xlnm.Print_Area" localSheetId="28">'22aTeacherPostUC'!$A$1:$W$42</definedName>
    <definedName name="_xlnm.Print_Area" localSheetId="29">'22bTeacherPostU'!$A$1:$W$42</definedName>
    <definedName name="_xlnm.Print_Area" localSheetId="27">'22TeacherPost'!$A$1:$W$42</definedName>
    <definedName name="_xlnm.Print_Area" localSheetId="30">'23StaffPost'!$A$1:$Q$42</definedName>
    <definedName name="_xlnm.Print_Area" localSheetId="31">'24StaffCategory'!$A$1:$W$42</definedName>
    <definedName name="_xlnm.Print_Area" localSheetId="32">'25PTR'!$A$1:$H$42</definedName>
    <definedName name="_xlnm.Print_Area" localSheetId="33">'26UnivEnrolinclConstituentU'!$A$1:$AB$20</definedName>
    <definedName name="_xlnm.Print_Area" localSheetId="34">'27TypeEnrolmentCategory-Est'!$A$1:$V$21</definedName>
    <definedName name="_xlnm.Print_Area" localSheetId="35">'29TypeTeacherPostEstimated'!$A$1:$V$20</definedName>
    <definedName name="_xlnm.Print_Area" localSheetId="2">'2University-Specialisation'!$A$1:$W$37</definedName>
    <definedName name="_xlnm.Print_Area" localSheetId="36">'30TypeTeacherCategoryEstimated'!$A$1:$V$20</definedName>
    <definedName name="_xlnm.Print_Area" localSheetId="37">'31Hostelstate '!$A$1:$N$42</definedName>
    <definedName name="_xlnm.Print_Area" localSheetId="38">'32TypeHostel'!$A$1:$M$20</definedName>
    <definedName name="_xlnm.Print_Area" localSheetId="39">'33OutTurnState'!$A$1:$AC$42</definedName>
    <definedName name="_xlnm.Print_Area" localSheetId="40">'34OutTurn Prog '!$A$1:$E$197</definedName>
    <definedName name="_xlnm.Print_Area" localSheetId="41">'35UGDisc'!$A$1:$E$74</definedName>
    <definedName name="_xlnm.Print_Area" localSheetId="42">'36 PGDisc '!$A$1:$K$210</definedName>
    <definedName name="_xlnm.Print_Area" localSheetId="43">'37CollegeTypeNo'!$A$1:$AF$42</definedName>
    <definedName name="_xlnm.Print_Area" localSheetId="44">'38pop2019'!$A$1:$K$42</definedName>
    <definedName name="_xlnm.Print_Area" localSheetId="45">'39TypeStateUnivwithConsUnit'!$A$1:$AL$43</definedName>
    <definedName name="_xlnm.Print_Area" localSheetId="3">'3Collegerange'!$A$1:$L$42</definedName>
    <definedName name="_xlnm.Print_Area" localSheetId="46">'40NoUni'!$A$1:$F$37</definedName>
    <definedName name="_xlnm.Print_Area" localSheetId="48">'42CollegeIndicator'!$A$1:$P$42</definedName>
    <definedName name="_xlnm.Print_Area" localSheetId="50">'44ENRLR'!$A$1:$AB$228</definedName>
    <definedName name="_xlnm.Print_Area" localSheetId="51">'45EnrlCategory'!$A$1:$M$228</definedName>
    <definedName name="_xlnm.Print_Area" localSheetId="54">'48GPI'!$A$1:$P$42</definedName>
    <definedName name="_xlnm.Print_Area" localSheetId="55">'49PTR'!$A$1:$G$228</definedName>
    <definedName name="_xlnm.Print_Area" localSheetId="5">'4aCollegeSpec'!$A$1:$AH$41</definedName>
    <definedName name="_xlnm.Print_Area" localSheetId="4">'4CollegeIndicator'!$A$1:$E$41</definedName>
    <definedName name="_xlnm.Print_Area" localSheetId="59">'4CollegeIndicator (2)'!$A$1:$F$37</definedName>
    <definedName name="_xlnm.Print_Area" localSheetId="56">'50LevelEnrlUniType'!$A$1:$AB$78</definedName>
    <definedName name="_xlnm.Print_Area" localSheetId="57">'51PostTeacher'!$A$1:$V$228</definedName>
    <definedName name="_xlnm.Print_Area" localSheetId="58">'52Pop'!$A$1:$F$155</definedName>
    <definedName name="_xlnm.Print_Area" localSheetId="6">'5ManagementCollegeNo'!$A$1:$T$42</definedName>
    <definedName name="_xlnm.Print_Area" localSheetId="8">'6aTotalRegularEnr'!$A$1:$AC$42</definedName>
    <definedName name="_xlnm.Print_Area" localSheetId="9">'6bTotalDistanceEnr'!$A$1:$AC$42</definedName>
    <definedName name="_xlnm.Print_Area" localSheetId="7">'6TotalEnr'!$A$1:$AC$42</definedName>
    <definedName name="_xlnm.Print_Area" localSheetId="10">'7UnivActwithConsUnit'!$A$1:$AE$43</definedName>
    <definedName name="_xlnm.Print_Area" localSheetId="11">'8CollegeAct'!$A$1:$AE$42</definedName>
    <definedName name="_xlnm.Print_Area" localSheetId="12">'9AllSAAct'!$A$1:$AX$43</definedName>
    <definedName name="_xlnm.Print_Area" localSheetId="23">'ManagementCollegeNo (2)'!$A$1:$K$59</definedName>
    <definedName name="_xlnm.Print_Area" localSheetId="24">WomenCollege!$A$1:$L$38</definedName>
    <definedName name="_xlnm.Print_Titles" localSheetId="13">'10CollegeEst'!$A:$B</definedName>
    <definedName name="_xlnm.Print_Titles" localSheetId="15">'11aProgrammeDistance '!$A:$B,'11aProgrammeDistance '!$1:$4</definedName>
    <definedName name="_xlnm.Print_Titles" localSheetId="14">'11Programme'!$A:$B,'11Programme'!$1:$4</definedName>
    <definedName name="_xlnm.Print_Titles" localSheetId="16">'12UGDisc '!$1:$3</definedName>
    <definedName name="_xlnm.Print_Titles" localSheetId="17">'13PGDisc'!$1:$4</definedName>
    <definedName name="_xlnm.Print_Titles" localSheetId="18">'14TotalEnrCategory'!$A:$B</definedName>
    <definedName name="_xlnm.Print_Titles" localSheetId="19">'16FS-countrylevel'!$A:$B,'16FS-countrylevel'!$1:$4</definedName>
    <definedName name="_xlnm.Print_Titles" localSheetId="20">'17FS-statelevel'!$A:$B,'17FS-statelevel'!$1:$3</definedName>
    <definedName name="_xlnm.Print_Titles" localSheetId="21">'18FS-prog'!$1:$2</definedName>
    <definedName name="_xlnm.Print_Titles" localSheetId="25">'20GPI'!$A:$B</definedName>
    <definedName name="_xlnm.Print_Titles" localSheetId="26">'21TeacherCategory'!$A:$B,'21TeacherCategory'!$1:$3</definedName>
    <definedName name="_xlnm.Print_Titles" localSheetId="28">'22aTeacherPostUC'!$A:$B</definedName>
    <definedName name="_xlnm.Print_Titles" localSheetId="29">'22bTeacherPostU'!$A:$B</definedName>
    <definedName name="_xlnm.Print_Titles" localSheetId="27">'22TeacherPost'!$A:$B</definedName>
    <definedName name="_xlnm.Print_Titles" localSheetId="30">'23StaffPost'!$A:$B</definedName>
    <definedName name="_xlnm.Print_Titles" localSheetId="31">'24StaffCategory'!$A:$B,'24StaffCategory'!$1:$3</definedName>
    <definedName name="_xlnm.Print_Titles" localSheetId="32">'25PTR'!$A:$B</definedName>
    <definedName name="_xlnm.Print_Titles" localSheetId="33">'26UnivEnrolinclConstituentU'!$A:$A,'26UnivEnrolinclConstituentU'!$1:$4</definedName>
    <definedName name="_xlnm.Print_Titles" localSheetId="34">'27TypeEnrolmentCategory-Est'!$A:$A</definedName>
    <definedName name="_xlnm.Print_Titles" localSheetId="35">'29TypeTeacherPostEstimated'!$A:$A</definedName>
    <definedName name="_xlnm.Print_Titles" localSheetId="2">'2University-Specialisation'!$A:$B</definedName>
    <definedName name="_xlnm.Print_Titles" localSheetId="36">'30TypeTeacherCategoryEstimated'!$A:$A</definedName>
    <definedName name="_xlnm.Print_Titles" localSheetId="37">'31Hostelstate '!$1:$4</definedName>
    <definedName name="_xlnm.Print_Titles" localSheetId="39">'33OutTurnState'!$A:$B</definedName>
    <definedName name="_xlnm.Print_Titles" localSheetId="40">'34OutTurn Prog '!$B:$B,'34OutTurn Prog '!$1:$3</definedName>
    <definedName name="_xlnm.Print_Titles" localSheetId="41">'35UGDisc'!$1:$3</definedName>
    <definedName name="_xlnm.Print_Titles" localSheetId="42">'36 PGDisc '!$1:$4</definedName>
    <definedName name="_xlnm.Print_Titles" localSheetId="43">'37CollegeTypeNo'!$A:$B,'37CollegeTypeNo'!$1:$4</definedName>
    <definedName name="_xlnm.Print_Titles" localSheetId="45">'39TypeStateUnivwithConsUnit'!$A:$B</definedName>
    <definedName name="_xlnm.Print_Titles" localSheetId="47">'41NoUniType'!$1:$2</definedName>
    <definedName name="_xlnm.Print_Titles" localSheetId="48">'42CollegeIndicator'!$A:$A,'42CollegeIndicator'!$1:$4</definedName>
    <definedName name="_xlnm.Print_Titles" localSheetId="49">'43ENRLT'!$A:$A,'43ENRLT'!$1:$4</definedName>
    <definedName name="_xlnm.Print_Titles" localSheetId="50">'44ENRLR'!$A:$A,'44ENRLR'!$1:$4</definedName>
    <definedName name="_xlnm.Print_Titles" localSheetId="51">'45EnrlCategory'!$A:$A,'45EnrlCategory'!$1:$4</definedName>
    <definedName name="_xlnm.Print_Titles" localSheetId="52">'46EnrlMinority'!$1:$4</definedName>
    <definedName name="_xlnm.Print_Titles" localSheetId="53">'47GER '!$1:$4</definedName>
    <definedName name="_xlnm.Print_Titles" localSheetId="54">'48GPI'!$A:$A,'48GPI'!$1:$4</definedName>
    <definedName name="_xlnm.Print_Titles" localSheetId="55">'49PTR'!$1:$4</definedName>
    <definedName name="_xlnm.Print_Titles" localSheetId="5">'4aCollegeSpec'!$A:$B</definedName>
    <definedName name="_xlnm.Print_Titles" localSheetId="56">'50LevelEnrlUniType'!$A:$A,'50LevelEnrlUniType'!$1:$4</definedName>
    <definedName name="_xlnm.Print_Titles" localSheetId="57">'51PostTeacher'!$A:$A,'51PostTeacher'!$1:$4</definedName>
    <definedName name="_xlnm.Print_Titles" localSheetId="58">'52Pop'!$1:$3</definedName>
    <definedName name="_xlnm.Print_Titles" localSheetId="6">'5ManagementCollegeNo'!$A:$B</definedName>
    <definedName name="_xlnm.Print_Titles" localSheetId="8">'6aTotalRegularEnr'!$A:$B</definedName>
    <definedName name="_xlnm.Print_Titles" localSheetId="9">'6bTotalDistanceEnr'!$A:$B</definedName>
    <definedName name="_xlnm.Print_Titles" localSheetId="7">'6TotalEnr'!$A:$B</definedName>
    <definedName name="_xlnm.Print_Titles" localSheetId="10">'7UnivActwithConsUnit'!$A:$B</definedName>
    <definedName name="_xlnm.Print_Titles" localSheetId="11">'8CollegeAct'!$A:$B</definedName>
    <definedName name="_xlnm.Print_Titles" localSheetId="12">'9AllSAAct'!$A:$B</definedName>
    <definedName name="_xlnm.Print_Titles" localSheetId="23">'ManagementCollegeNo (2)'!$A:$A</definedName>
    <definedName name="_xlnm.Print_Titles" localSheetId="24">WomenCollege!$A:$A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2" l="1"/>
  <c r="E42" i="12"/>
  <c r="K38" i="25"/>
  <c r="H42" i="25"/>
  <c r="K42" i="25"/>
  <c r="N7" i="147"/>
  <c r="N8" i="147"/>
  <c r="N9" i="147"/>
  <c r="N10" i="147"/>
  <c r="N6" i="147"/>
  <c r="AC11" i="66" l="1"/>
  <c r="AC8" i="66"/>
  <c r="AC14" i="66"/>
  <c r="AC5" i="66"/>
  <c r="W9" i="124" l="1"/>
  <c r="W8" i="124"/>
  <c r="W5" i="124"/>
  <c r="L43" i="82" l="1"/>
  <c r="L44" i="82" s="1"/>
  <c r="L42" i="82"/>
  <c r="L41" i="82"/>
  <c r="F5" i="81"/>
  <c r="AF38" i="16" l="1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5" i="16"/>
  <c r="AF6" i="16"/>
  <c r="AF7" i="16"/>
  <c r="AF8" i="16"/>
  <c r="AF9" i="16"/>
  <c r="AF10" i="16"/>
  <c r="AF11" i="16"/>
  <c r="AF12" i="16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9" i="16"/>
  <c r="AF40" i="16"/>
  <c r="AF41" i="16"/>
  <c r="AF5" i="16"/>
  <c r="AG42" i="16" l="1"/>
  <c r="AF42" i="16"/>
  <c r="L1" i="144" l="1"/>
  <c r="G1" i="144"/>
  <c r="W1" i="61" l="1"/>
  <c r="N1" i="61"/>
  <c r="AC7" i="66" l="1"/>
  <c r="AC9" i="66"/>
  <c r="AC10" i="66"/>
  <c r="AC12" i="66"/>
  <c r="AC13" i="66"/>
  <c r="AC15" i="66"/>
  <c r="K17" i="124" l="1"/>
  <c r="L1" i="96"/>
  <c r="H1" i="153"/>
  <c r="T1" i="152"/>
  <c r="K1" i="152"/>
  <c r="J226" i="148"/>
  <c r="G226" i="148"/>
  <c r="D226" i="148"/>
  <c r="J220" i="148"/>
  <c r="G220" i="148"/>
  <c r="D220" i="148"/>
  <c r="J214" i="148"/>
  <c r="G214" i="148"/>
  <c r="D214" i="148"/>
  <c r="J208" i="148"/>
  <c r="G208" i="148"/>
  <c r="D208" i="148"/>
  <c r="J202" i="148"/>
  <c r="G202" i="148"/>
  <c r="D202" i="148"/>
  <c r="J196" i="148"/>
  <c r="G196" i="148"/>
  <c r="D196" i="148"/>
  <c r="J190" i="148"/>
  <c r="G190" i="148"/>
  <c r="D190" i="148"/>
  <c r="J184" i="148"/>
  <c r="G184" i="148"/>
  <c r="D184" i="148"/>
  <c r="J178" i="148"/>
  <c r="G178" i="148"/>
  <c r="D178" i="148"/>
  <c r="J172" i="148"/>
  <c r="G172" i="148"/>
  <c r="D172" i="148"/>
  <c r="J166" i="148"/>
  <c r="G166" i="148"/>
  <c r="D166" i="148"/>
  <c r="J160" i="148"/>
  <c r="G160" i="148"/>
  <c r="D160" i="148"/>
  <c r="J154" i="148"/>
  <c r="G154" i="148"/>
  <c r="D154" i="148"/>
  <c r="J148" i="148"/>
  <c r="G148" i="148"/>
  <c r="D148" i="148"/>
  <c r="J142" i="148"/>
  <c r="G142" i="148"/>
  <c r="D142" i="148"/>
  <c r="J136" i="148"/>
  <c r="G136" i="148"/>
  <c r="D136" i="148"/>
  <c r="J130" i="148"/>
  <c r="G130" i="148"/>
  <c r="D130" i="148"/>
  <c r="J124" i="148"/>
  <c r="G124" i="148"/>
  <c r="D124" i="148"/>
  <c r="J116" i="148"/>
  <c r="G116" i="148"/>
  <c r="D116" i="148"/>
  <c r="J110" i="148"/>
  <c r="G110" i="148"/>
  <c r="D110" i="148"/>
  <c r="J104" i="148"/>
  <c r="G104" i="148"/>
  <c r="D104" i="148"/>
  <c r="J98" i="148"/>
  <c r="G98" i="148"/>
  <c r="D98" i="148"/>
  <c r="J92" i="148"/>
  <c r="G92" i="148"/>
  <c r="D92" i="148"/>
  <c r="J86" i="148"/>
  <c r="G86" i="148"/>
  <c r="D86" i="148"/>
  <c r="J80" i="148"/>
  <c r="G80" i="148"/>
  <c r="D80" i="148"/>
  <c r="J74" i="148"/>
  <c r="G74" i="148"/>
  <c r="D74" i="148"/>
  <c r="J68" i="148"/>
  <c r="G68" i="148"/>
  <c r="D68" i="148"/>
  <c r="J62" i="148"/>
  <c r="G62" i="148"/>
  <c r="D62" i="148"/>
  <c r="J56" i="148"/>
  <c r="G56" i="148"/>
  <c r="D56" i="148"/>
  <c r="J50" i="148"/>
  <c r="G50" i="148"/>
  <c r="D50" i="148"/>
  <c r="J44" i="148"/>
  <c r="G44" i="148"/>
  <c r="D44" i="148"/>
  <c r="J38" i="148"/>
  <c r="G38" i="148"/>
  <c r="D38" i="148"/>
  <c r="J32" i="148"/>
  <c r="G32" i="148"/>
  <c r="D32" i="148"/>
  <c r="J26" i="148"/>
  <c r="G26" i="148"/>
  <c r="D26" i="148"/>
  <c r="J20" i="148"/>
  <c r="G20" i="148"/>
  <c r="D20" i="148"/>
  <c r="J14" i="148"/>
  <c r="G14" i="148"/>
  <c r="D14" i="148"/>
  <c r="H1" i="147"/>
  <c r="AB228" i="146"/>
  <c r="AA228" i="146"/>
  <c r="Z228" i="146"/>
  <c r="AB227" i="146"/>
  <c r="AB222" i="146"/>
  <c r="AA222" i="146"/>
  <c r="Z222" i="146"/>
  <c r="AB221" i="146"/>
  <c r="AB216" i="146"/>
  <c r="AA216" i="146"/>
  <c r="Z216" i="146"/>
  <c r="AB215" i="146"/>
  <c r="AB210" i="146"/>
  <c r="AA210" i="146"/>
  <c r="Z210" i="146"/>
  <c r="AB209" i="146"/>
  <c r="AB203" i="146"/>
  <c r="AB198" i="146"/>
  <c r="AA198" i="146"/>
  <c r="Z198" i="146"/>
  <c r="AB197" i="146"/>
  <c r="AB192" i="146"/>
  <c r="AA192" i="146"/>
  <c r="Z192" i="146"/>
  <c r="AB191" i="146"/>
  <c r="AB186" i="146"/>
  <c r="AA186" i="146"/>
  <c r="Z186" i="146"/>
  <c r="AB185" i="146"/>
  <c r="AB180" i="146"/>
  <c r="AA180" i="146"/>
  <c r="Z180" i="146"/>
  <c r="AB179" i="146"/>
  <c r="AB174" i="146"/>
  <c r="AA174" i="146"/>
  <c r="Z174" i="146"/>
  <c r="AB173" i="146"/>
  <c r="AB168" i="146"/>
  <c r="AA168" i="146"/>
  <c r="Z168" i="146"/>
  <c r="AB167" i="146"/>
  <c r="AB162" i="146"/>
  <c r="AA162" i="146"/>
  <c r="Z162" i="146"/>
  <c r="AB161" i="146"/>
  <c r="AB156" i="146"/>
  <c r="AA156" i="146"/>
  <c r="Z156" i="146"/>
  <c r="AB155" i="146"/>
  <c r="AB150" i="146"/>
  <c r="AA150" i="146"/>
  <c r="Z150" i="146"/>
  <c r="AB149" i="146"/>
  <c r="AB144" i="146"/>
  <c r="AA144" i="146"/>
  <c r="Z144" i="146"/>
  <c r="AB143" i="146"/>
  <c r="AB138" i="146"/>
  <c r="AA138" i="146"/>
  <c r="Z138" i="146"/>
  <c r="AB137" i="146"/>
  <c r="AB132" i="146"/>
  <c r="AA132" i="146"/>
  <c r="Z132" i="146"/>
  <c r="AB131" i="146"/>
  <c r="AB126" i="146"/>
  <c r="AA126" i="146"/>
  <c r="Z126" i="146"/>
  <c r="AB125" i="146"/>
  <c r="AB118" i="146"/>
  <c r="AA118" i="146"/>
  <c r="Z118" i="146"/>
  <c r="AB117" i="146"/>
  <c r="AB112" i="146"/>
  <c r="AA112" i="146"/>
  <c r="Z112" i="146"/>
  <c r="AB111" i="146"/>
  <c r="AB106" i="146"/>
  <c r="AA106" i="146"/>
  <c r="Z106" i="146"/>
  <c r="AB105" i="146"/>
  <c r="AB100" i="146"/>
  <c r="AA100" i="146"/>
  <c r="Z100" i="146"/>
  <c r="AB99" i="146"/>
  <c r="AB94" i="146"/>
  <c r="AA94" i="146"/>
  <c r="Z94" i="146"/>
  <c r="AB93" i="146"/>
  <c r="AB88" i="146"/>
  <c r="AA88" i="146"/>
  <c r="Z88" i="146"/>
  <c r="AB87" i="146"/>
  <c r="AB82" i="146"/>
  <c r="AA82" i="146"/>
  <c r="Z82" i="146"/>
  <c r="AB81" i="146"/>
  <c r="AB76" i="146"/>
  <c r="AA76" i="146"/>
  <c r="Z76" i="146"/>
  <c r="AB75" i="146"/>
  <c r="AB70" i="146"/>
  <c r="AA70" i="146"/>
  <c r="Z70" i="146"/>
  <c r="AB69" i="146"/>
  <c r="AB64" i="146"/>
  <c r="AA64" i="146"/>
  <c r="Z64" i="146"/>
  <c r="AB63" i="146"/>
  <c r="AB58" i="146"/>
  <c r="AA58" i="146"/>
  <c r="Z58" i="146"/>
  <c r="AB57" i="146"/>
  <c r="AB52" i="146"/>
  <c r="AA52" i="146"/>
  <c r="Z52" i="146"/>
  <c r="AB51" i="146"/>
  <c r="AB46" i="146"/>
  <c r="AA46" i="146"/>
  <c r="Z46" i="146"/>
  <c r="AB45" i="146"/>
  <c r="AB40" i="146"/>
  <c r="AA40" i="146"/>
  <c r="Z40" i="146"/>
  <c r="AB39" i="146"/>
  <c r="AB34" i="146"/>
  <c r="AA34" i="146"/>
  <c r="Z34" i="146"/>
  <c r="AB33" i="146"/>
  <c r="AB28" i="146"/>
  <c r="AA28" i="146"/>
  <c r="Z28" i="146"/>
  <c r="AB27" i="146"/>
  <c r="AB22" i="146"/>
  <c r="AA22" i="146"/>
  <c r="Z22" i="146"/>
  <c r="AB21" i="146"/>
  <c r="AB16" i="146"/>
  <c r="AA16" i="146"/>
  <c r="Z16" i="146"/>
  <c r="AB15" i="146"/>
  <c r="AB10" i="146"/>
  <c r="AA10" i="146"/>
  <c r="Z10" i="146"/>
  <c r="K1" i="146"/>
  <c r="T1" i="146" s="1"/>
  <c r="AB228" i="145"/>
  <c r="AA228" i="145"/>
  <c r="Z228" i="145"/>
  <c r="AB227" i="145"/>
  <c r="AB226" i="145"/>
  <c r="AA226" i="145"/>
  <c r="Z226" i="145"/>
  <c r="AB222" i="145"/>
  <c r="AA222" i="145"/>
  <c r="Z222" i="145"/>
  <c r="AB221" i="145"/>
  <c r="AB220" i="145"/>
  <c r="AA220" i="145"/>
  <c r="Z220" i="145"/>
  <c r="AB216" i="145"/>
  <c r="AA216" i="145"/>
  <c r="Z216" i="145"/>
  <c r="AB215" i="145"/>
  <c r="AB214" i="145"/>
  <c r="AA214" i="145"/>
  <c r="Z214" i="145"/>
  <c r="AB210" i="145"/>
  <c r="AA210" i="145"/>
  <c r="Z210" i="145"/>
  <c r="AB209" i="145"/>
  <c r="AB208" i="145"/>
  <c r="AA208" i="145"/>
  <c r="Z208" i="145"/>
  <c r="AB203" i="145"/>
  <c r="AB202" i="145"/>
  <c r="AA202" i="145"/>
  <c r="Z202" i="145"/>
  <c r="AB198" i="145"/>
  <c r="AA198" i="145"/>
  <c r="Z198" i="145"/>
  <c r="AB197" i="145"/>
  <c r="AB196" i="145"/>
  <c r="AA196" i="145"/>
  <c r="Z196" i="145"/>
  <c r="AB192" i="145"/>
  <c r="AA192" i="145"/>
  <c r="Z192" i="145"/>
  <c r="AB191" i="145"/>
  <c r="AB190" i="145"/>
  <c r="AA190" i="145"/>
  <c r="Z190" i="145"/>
  <c r="AB186" i="145"/>
  <c r="AA186" i="145"/>
  <c r="Z186" i="145"/>
  <c r="AB185" i="145"/>
  <c r="AB184" i="145"/>
  <c r="AA184" i="145"/>
  <c r="Z184" i="145"/>
  <c r="AB180" i="145"/>
  <c r="AA180" i="145"/>
  <c r="Z180" i="145"/>
  <c r="AB179" i="145"/>
  <c r="AB178" i="145"/>
  <c r="AA178" i="145"/>
  <c r="Z178" i="145"/>
  <c r="AB174" i="145"/>
  <c r="AA174" i="145"/>
  <c r="Z174" i="145"/>
  <c r="AB173" i="145"/>
  <c r="AB172" i="145"/>
  <c r="AA172" i="145"/>
  <c r="Z172" i="145"/>
  <c r="AB168" i="145"/>
  <c r="AA168" i="145"/>
  <c r="Z168" i="145"/>
  <c r="AB167" i="145"/>
  <c r="AB166" i="145"/>
  <c r="AA166" i="145"/>
  <c r="Z166" i="145"/>
  <c r="AB162" i="145"/>
  <c r="AA162" i="145"/>
  <c r="Z162" i="145"/>
  <c r="AB161" i="145"/>
  <c r="AB160" i="145"/>
  <c r="AA160" i="145"/>
  <c r="Z160" i="145"/>
  <c r="AB156" i="145"/>
  <c r="AA156" i="145"/>
  <c r="Z156" i="145"/>
  <c r="AB155" i="145"/>
  <c r="AB154" i="145"/>
  <c r="AA154" i="145"/>
  <c r="Z154" i="145"/>
  <c r="AB150" i="145"/>
  <c r="AA150" i="145"/>
  <c r="Z150" i="145"/>
  <c r="AB149" i="145"/>
  <c r="AB148" i="145"/>
  <c r="AA148" i="145"/>
  <c r="Z148" i="145"/>
  <c r="AB144" i="145"/>
  <c r="AA144" i="145"/>
  <c r="Z144" i="145"/>
  <c r="AB143" i="145"/>
  <c r="AB142" i="145"/>
  <c r="AA142" i="145"/>
  <c r="Z142" i="145"/>
  <c r="AB138" i="145"/>
  <c r="AA138" i="145"/>
  <c r="Z138" i="145"/>
  <c r="AB137" i="145"/>
  <c r="AB136" i="145"/>
  <c r="AA136" i="145"/>
  <c r="Z136" i="145"/>
  <c r="AB132" i="145"/>
  <c r="AA132" i="145"/>
  <c r="Z132" i="145"/>
  <c r="AB131" i="145"/>
  <c r="AB130" i="145"/>
  <c r="AA130" i="145"/>
  <c r="Z130" i="145"/>
  <c r="AB126" i="145"/>
  <c r="AA126" i="145"/>
  <c r="Z126" i="145"/>
  <c r="AB124" i="145"/>
  <c r="AA124" i="145"/>
  <c r="Z124" i="145"/>
  <c r="AB118" i="145"/>
  <c r="AA118" i="145"/>
  <c r="Z118" i="145"/>
  <c r="AB117" i="145"/>
  <c r="AB116" i="145"/>
  <c r="AA116" i="145"/>
  <c r="Z116" i="145"/>
  <c r="AB112" i="145"/>
  <c r="AA112" i="145"/>
  <c r="Z112" i="145"/>
  <c r="AB111" i="145"/>
  <c r="AB110" i="145"/>
  <c r="AA110" i="145"/>
  <c r="Z110" i="145"/>
  <c r="AB106" i="145"/>
  <c r="AA106" i="145"/>
  <c r="Z106" i="145"/>
  <c r="AB105" i="145"/>
  <c r="AB104" i="145"/>
  <c r="AA104" i="145"/>
  <c r="Z104" i="145"/>
  <c r="AB100" i="145"/>
  <c r="AA100" i="145"/>
  <c r="Z100" i="145"/>
  <c r="AB99" i="145"/>
  <c r="AB98" i="145"/>
  <c r="AA98" i="145"/>
  <c r="Z98" i="145"/>
  <c r="AB94" i="145"/>
  <c r="AA94" i="145"/>
  <c r="Z94" i="145"/>
  <c r="AB93" i="145"/>
  <c r="AB92" i="145"/>
  <c r="AA92" i="145"/>
  <c r="Z92" i="145"/>
  <c r="AB88" i="145"/>
  <c r="AA88" i="145"/>
  <c r="Z88" i="145"/>
  <c r="AB87" i="145"/>
  <c r="AB86" i="145"/>
  <c r="AA86" i="145"/>
  <c r="Z86" i="145"/>
  <c r="AB82" i="145"/>
  <c r="AA82" i="145"/>
  <c r="Z82" i="145"/>
  <c r="AB81" i="145"/>
  <c r="AB80" i="145"/>
  <c r="AA80" i="145"/>
  <c r="Z80" i="145"/>
  <c r="AB76" i="145"/>
  <c r="AA76" i="145"/>
  <c r="Z76" i="145"/>
  <c r="AB75" i="145"/>
  <c r="AB74" i="145"/>
  <c r="AA74" i="145"/>
  <c r="Z74" i="145"/>
  <c r="AB70" i="145"/>
  <c r="AA70" i="145"/>
  <c r="Z70" i="145"/>
  <c r="AB69" i="145"/>
  <c r="AB68" i="145"/>
  <c r="AA68" i="145"/>
  <c r="Z68" i="145"/>
  <c r="AB64" i="145"/>
  <c r="AA64" i="145"/>
  <c r="Z64" i="145"/>
  <c r="AB63" i="145"/>
  <c r="AB62" i="145"/>
  <c r="AA62" i="145"/>
  <c r="Z62" i="145"/>
  <c r="AB58" i="145"/>
  <c r="AA58" i="145"/>
  <c r="Z58" i="145"/>
  <c r="AB57" i="145"/>
  <c r="AB56" i="145"/>
  <c r="AA56" i="145"/>
  <c r="Z56" i="145"/>
  <c r="AB52" i="145"/>
  <c r="AA52" i="145"/>
  <c r="Z52" i="145"/>
  <c r="AB51" i="145"/>
  <c r="AB50" i="145"/>
  <c r="AA50" i="145"/>
  <c r="Z50" i="145"/>
  <c r="AB46" i="145"/>
  <c r="AA46" i="145"/>
  <c r="Z46" i="145"/>
  <c r="AB45" i="145"/>
  <c r="AB44" i="145"/>
  <c r="AA44" i="145"/>
  <c r="Z44" i="145"/>
  <c r="AB40" i="145"/>
  <c r="AA40" i="145"/>
  <c r="Z40" i="145"/>
  <c r="AB39" i="145"/>
  <c r="AB34" i="145"/>
  <c r="AA34" i="145"/>
  <c r="Z34" i="145"/>
  <c r="AB33" i="145"/>
  <c r="AB32" i="145"/>
  <c r="AA32" i="145"/>
  <c r="Z32" i="145"/>
  <c r="AB28" i="145"/>
  <c r="AA28" i="145"/>
  <c r="Z28" i="145"/>
  <c r="AB26" i="145"/>
  <c r="AA26" i="145"/>
  <c r="Z26" i="145"/>
  <c r="AB22" i="145"/>
  <c r="AA22" i="145"/>
  <c r="Z22" i="145"/>
  <c r="AB20" i="145"/>
  <c r="AA20" i="145"/>
  <c r="Z20" i="145"/>
  <c r="AB16" i="145"/>
  <c r="AA16" i="145"/>
  <c r="Z16" i="145"/>
  <c r="AB10" i="145"/>
  <c r="AA10" i="145"/>
  <c r="Z10" i="145"/>
  <c r="K1" i="145"/>
  <c r="T1" i="145" s="1"/>
  <c r="M5" i="144"/>
  <c r="F4" i="142"/>
  <c r="E4" i="142"/>
  <c r="D4" i="142"/>
  <c r="C4" i="142"/>
  <c r="B4" i="142"/>
  <c r="K1" i="124" l="1"/>
  <c r="K17" i="66"/>
  <c r="T17" i="66" s="1"/>
  <c r="K1" i="66"/>
  <c r="T1" i="66" s="1"/>
  <c r="L1" i="77"/>
  <c r="U1" i="77" s="1"/>
  <c r="L1" i="13"/>
  <c r="U1" i="13" s="1"/>
  <c r="L1" i="115"/>
  <c r="U1" i="115" s="1"/>
  <c r="N1" i="16"/>
  <c r="W1" i="16" s="1"/>
  <c r="L1" i="72" l="1"/>
  <c r="K1" i="123"/>
  <c r="L1" i="76"/>
  <c r="U1" i="76" s="1"/>
  <c r="W43" i="61" l="1"/>
  <c r="N43" i="61"/>
  <c r="F23" i="126"/>
  <c r="K6" i="50" l="1"/>
  <c r="K7" i="50"/>
  <c r="K8" i="50"/>
  <c r="K9" i="50"/>
  <c r="K10" i="50"/>
  <c r="K11" i="50"/>
  <c r="K12" i="50"/>
  <c r="K13" i="50"/>
  <c r="K14" i="50"/>
  <c r="K15" i="50"/>
  <c r="K16" i="50"/>
  <c r="K17" i="50"/>
  <c r="K18" i="50"/>
  <c r="K19" i="50"/>
  <c r="K20" i="50"/>
  <c r="K21" i="50"/>
  <c r="K22" i="50"/>
  <c r="K24" i="50"/>
  <c r="K25" i="50"/>
  <c r="K26" i="50"/>
  <c r="K27" i="50"/>
  <c r="K28" i="50"/>
  <c r="K29" i="50"/>
  <c r="K30" i="50"/>
  <c r="K31" i="50"/>
  <c r="K32" i="50"/>
  <c r="K33" i="50"/>
  <c r="K34" i="50"/>
  <c r="K35" i="50"/>
  <c r="K36" i="50"/>
  <c r="K37" i="50"/>
  <c r="K38" i="50"/>
  <c r="K39" i="50"/>
  <c r="K40" i="50"/>
  <c r="K41" i="50"/>
  <c r="K5" i="50"/>
  <c r="H6" i="50"/>
  <c r="H7" i="50"/>
  <c r="H8" i="50"/>
  <c r="H9" i="50"/>
  <c r="H10" i="50"/>
  <c r="H11" i="50"/>
  <c r="H12" i="50"/>
  <c r="H13" i="50"/>
  <c r="H14" i="50"/>
  <c r="H15" i="50"/>
  <c r="H16" i="50"/>
  <c r="H17" i="50"/>
  <c r="H18" i="50"/>
  <c r="H19" i="50"/>
  <c r="H20" i="50"/>
  <c r="H21" i="50"/>
  <c r="H22" i="50"/>
  <c r="H23" i="50"/>
  <c r="H24" i="50"/>
  <c r="H25" i="50"/>
  <c r="H26" i="50"/>
  <c r="H27" i="50"/>
  <c r="H28" i="50"/>
  <c r="H29" i="50"/>
  <c r="H30" i="50"/>
  <c r="H31" i="50"/>
  <c r="H32" i="50"/>
  <c r="H33" i="50"/>
  <c r="H34" i="50"/>
  <c r="H35" i="50"/>
  <c r="H36" i="50"/>
  <c r="H37" i="50"/>
  <c r="H38" i="50"/>
  <c r="H39" i="50"/>
  <c r="H40" i="50"/>
  <c r="H41" i="50"/>
  <c r="H5" i="50"/>
  <c r="E6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E38" i="50"/>
  <c r="E39" i="50"/>
  <c r="E40" i="50"/>
  <c r="E41" i="50"/>
  <c r="E5" i="50"/>
  <c r="D42" i="50"/>
  <c r="F42" i="50"/>
  <c r="G42" i="50"/>
  <c r="I42" i="50"/>
  <c r="J42" i="50"/>
  <c r="C42" i="50"/>
  <c r="K42" i="50" l="1"/>
  <c r="H42" i="50"/>
  <c r="E42" i="50"/>
  <c r="I23" i="25" l="1"/>
  <c r="L23" i="25"/>
  <c r="M23" i="25"/>
  <c r="N23" i="25"/>
  <c r="I24" i="25"/>
  <c r="J24" i="25"/>
  <c r="M24" i="25"/>
  <c r="N24" i="25"/>
  <c r="C23" i="25"/>
  <c r="D23" i="25"/>
  <c r="E23" i="25"/>
  <c r="F23" i="25"/>
  <c r="G23" i="25"/>
  <c r="H23" i="25"/>
  <c r="O23" i="25"/>
  <c r="P23" i="25"/>
  <c r="Q23" i="25"/>
  <c r="R23" i="25"/>
  <c r="S23" i="25"/>
  <c r="T23" i="25"/>
  <c r="V23" i="25"/>
  <c r="W23" i="25"/>
  <c r="X23" i="25"/>
  <c r="Y23" i="25"/>
  <c r="Z23" i="25"/>
  <c r="C24" i="25"/>
  <c r="D24" i="25"/>
  <c r="E24" i="25"/>
  <c r="F24" i="25"/>
  <c r="G24" i="25"/>
  <c r="H24" i="25"/>
  <c r="O24" i="25"/>
  <c r="P24" i="25"/>
  <c r="Q24" i="25"/>
  <c r="R24" i="25"/>
  <c r="S24" i="25"/>
  <c r="T24" i="25"/>
  <c r="U24" i="25"/>
  <c r="V24" i="25"/>
  <c r="W24" i="25"/>
  <c r="X24" i="25"/>
  <c r="Y24" i="25"/>
  <c r="Z24" i="25"/>
  <c r="K24" i="25" l="1"/>
  <c r="U23" i="25"/>
  <c r="J23" i="25"/>
  <c r="K23" i="25" s="1"/>
  <c r="AC41" i="13"/>
  <c r="AC40" i="13"/>
  <c r="AC38" i="13"/>
  <c r="AC28" i="13"/>
  <c r="AA24" i="25"/>
  <c r="AC18" i="13"/>
  <c r="AC10" i="13"/>
  <c r="L24" i="25"/>
  <c r="O6" i="96"/>
  <c r="P6" i="96"/>
  <c r="O7" i="96"/>
  <c r="P7" i="96"/>
  <c r="O8" i="96"/>
  <c r="P8" i="96"/>
  <c r="O9" i="96"/>
  <c r="P9" i="96"/>
  <c r="O10" i="96"/>
  <c r="P10" i="96"/>
  <c r="O11" i="96"/>
  <c r="P11" i="96"/>
  <c r="O12" i="96"/>
  <c r="P12" i="96"/>
  <c r="O13" i="96"/>
  <c r="P13" i="96"/>
  <c r="O14" i="96"/>
  <c r="P14" i="96"/>
  <c r="O15" i="96"/>
  <c r="P15" i="96"/>
  <c r="O16" i="96"/>
  <c r="P16" i="96"/>
  <c r="O17" i="96"/>
  <c r="P17" i="96"/>
  <c r="Q17" i="96"/>
  <c r="O18" i="96"/>
  <c r="P18" i="96"/>
  <c r="Q18" i="96" s="1"/>
  <c r="O19" i="96"/>
  <c r="P19" i="96"/>
  <c r="O20" i="96"/>
  <c r="P20" i="96"/>
  <c r="O21" i="96"/>
  <c r="P21" i="96"/>
  <c r="O22" i="96"/>
  <c r="P22" i="96"/>
  <c r="O23" i="96"/>
  <c r="P23" i="96"/>
  <c r="O24" i="96"/>
  <c r="P24" i="96"/>
  <c r="O25" i="96"/>
  <c r="P25" i="96"/>
  <c r="O26" i="96"/>
  <c r="P26" i="96"/>
  <c r="O27" i="96"/>
  <c r="P27" i="96"/>
  <c r="O28" i="96"/>
  <c r="P28" i="96"/>
  <c r="O29" i="96"/>
  <c r="P29" i="96"/>
  <c r="O30" i="96"/>
  <c r="P30" i="96"/>
  <c r="O31" i="96"/>
  <c r="P31" i="96"/>
  <c r="O32" i="96"/>
  <c r="P32" i="96"/>
  <c r="O33" i="96"/>
  <c r="P33" i="96"/>
  <c r="O34" i="96"/>
  <c r="P34" i="96"/>
  <c r="O35" i="96"/>
  <c r="P35" i="96"/>
  <c r="O36" i="96"/>
  <c r="P36" i="96"/>
  <c r="O37" i="96"/>
  <c r="P37" i="96"/>
  <c r="O38" i="96"/>
  <c r="P38" i="96"/>
  <c r="O39" i="96"/>
  <c r="P39" i="96"/>
  <c r="O40" i="96"/>
  <c r="P40" i="96"/>
  <c r="O41" i="96"/>
  <c r="P41" i="96"/>
  <c r="P5" i="96"/>
  <c r="O5" i="96"/>
  <c r="D173" i="76"/>
  <c r="E173" i="76"/>
  <c r="F173" i="76"/>
  <c r="G173" i="76"/>
  <c r="H173" i="76"/>
  <c r="I173" i="76"/>
  <c r="J173" i="76"/>
  <c r="K173" i="76"/>
  <c r="L173" i="76"/>
  <c r="M173" i="76"/>
  <c r="N173" i="76"/>
  <c r="O173" i="76"/>
  <c r="P173" i="76"/>
  <c r="Q173" i="76"/>
  <c r="R173" i="76"/>
  <c r="S173" i="76"/>
  <c r="T173" i="76"/>
  <c r="U173" i="76"/>
  <c r="V173" i="76"/>
  <c r="W173" i="76"/>
  <c r="X173" i="76"/>
  <c r="Y173" i="76"/>
  <c r="Z173" i="76"/>
  <c r="AA173" i="76"/>
  <c r="AB173" i="76"/>
  <c r="AC173" i="76"/>
  <c r="C173" i="76"/>
  <c r="Q9" i="96" l="1"/>
  <c r="Q38" i="96"/>
  <c r="Q16" i="96"/>
  <c r="Q41" i="96"/>
  <c r="Q39" i="96"/>
  <c r="Q37" i="96"/>
  <c r="Q35" i="96"/>
  <c r="Q33" i="96"/>
  <c r="Q31" i="96"/>
  <c r="Q29" i="96"/>
  <c r="Q27" i="96"/>
  <c r="Q25" i="96"/>
  <c r="Q24" i="96"/>
  <c r="AC26" i="13"/>
  <c r="AC34" i="13"/>
  <c r="AC36" i="13"/>
  <c r="AC8" i="13"/>
  <c r="AC35" i="13"/>
  <c r="AC11" i="13"/>
  <c r="AC16" i="13"/>
  <c r="AC19" i="13"/>
  <c r="AC6" i="13"/>
  <c r="AC7" i="13"/>
  <c r="Q30" i="96"/>
  <c r="Q22" i="96"/>
  <c r="Q14" i="96"/>
  <c r="AC31" i="13"/>
  <c r="AC33" i="13"/>
  <c r="AC23" i="13"/>
  <c r="AC32" i="13"/>
  <c r="AC13" i="13"/>
  <c r="AC14" i="13"/>
  <c r="AC22" i="13"/>
  <c r="AA23" i="25"/>
  <c r="Q5" i="96"/>
  <c r="Q20" i="96"/>
  <c r="Q10" i="96"/>
  <c r="Q40" i="96"/>
  <c r="Q36" i="96"/>
  <c r="Q34" i="96"/>
  <c r="Q23" i="96"/>
  <c r="Q21" i="96"/>
  <c r="Q19" i="96"/>
  <c r="Q8" i="96"/>
  <c r="Q6" i="96"/>
  <c r="Q32" i="96"/>
  <c r="Q28" i="96"/>
  <c r="Q26" i="96"/>
  <c r="Q15" i="96"/>
  <c r="Q13" i="96"/>
  <c r="Q11" i="96"/>
  <c r="AC5" i="13"/>
  <c r="AC15" i="13"/>
  <c r="AC27" i="13"/>
  <c r="AC24" i="13"/>
  <c r="AC29" i="13"/>
  <c r="AC9" i="13"/>
  <c r="AC17" i="13"/>
  <c r="AC39" i="13"/>
  <c r="AC12" i="13"/>
  <c r="AC20" i="13"/>
  <c r="AC25" i="13"/>
  <c r="AC30" i="13"/>
  <c r="AC21" i="13"/>
  <c r="AC37" i="13"/>
  <c r="AB24" i="25"/>
  <c r="AB23" i="25"/>
  <c r="Q12" i="96"/>
  <c r="Q7" i="96"/>
  <c r="AC23" i="25" l="1"/>
  <c r="AC24" i="25"/>
  <c r="AL6" i="63"/>
  <c r="AL7" i="63"/>
  <c r="AL8" i="63"/>
  <c r="AL9" i="63"/>
  <c r="AL10" i="63"/>
  <c r="AL11" i="63"/>
  <c r="AL12" i="63"/>
  <c r="AL13" i="63"/>
  <c r="AL14" i="63"/>
  <c r="AL15" i="63"/>
  <c r="AL16" i="63"/>
  <c r="AL17" i="63"/>
  <c r="AL18" i="63"/>
  <c r="AL19" i="63"/>
  <c r="AL20" i="63"/>
  <c r="AL21" i="63"/>
  <c r="AL22" i="63"/>
  <c r="AL23" i="63"/>
  <c r="AL24" i="63"/>
  <c r="AL25" i="63"/>
  <c r="AL26" i="63"/>
  <c r="AL27" i="63"/>
  <c r="AL28" i="63"/>
  <c r="AL29" i="63"/>
  <c r="AL30" i="63"/>
  <c r="AL31" i="63"/>
  <c r="AL32" i="63"/>
  <c r="AL33" i="63"/>
  <c r="AL34" i="63"/>
  <c r="AL35" i="63"/>
  <c r="AL36" i="63"/>
  <c r="AL37" i="63"/>
  <c r="AL38" i="63"/>
  <c r="AL39" i="63"/>
  <c r="AL40" i="63"/>
  <c r="AL41" i="63"/>
  <c r="AL5" i="63"/>
  <c r="AE6" i="16"/>
  <c r="AH6" i="16" s="1"/>
  <c r="AE7" i="16"/>
  <c r="AH7" i="16" s="1"/>
  <c r="AE8" i="16"/>
  <c r="AH8" i="16" s="1"/>
  <c r="AE9" i="16"/>
  <c r="AH9" i="16" s="1"/>
  <c r="AE10" i="16"/>
  <c r="AH10" i="16" s="1"/>
  <c r="AE11" i="16"/>
  <c r="AH11" i="16" s="1"/>
  <c r="AE12" i="16"/>
  <c r="AH12" i="16" s="1"/>
  <c r="AE13" i="16"/>
  <c r="AH13" i="16" s="1"/>
  <c r="AE14" i="16"/>
  <c r="AH14" i="16" s="1"/>
  <c r="AE15" i="16"/>
  <c r="AH15" i="16" s="1"/>
  <c r="AE16" i="16"/>
  <c r="AH16" i="16" s="1"/>
  <c r="AE17" i="16"/>
  <c r="AH17" i="16" s="1"/>
  <c r="AE18" i="16"/>
  <c r="AH18" i="16" s="1"/>
  <c r="AE19" i="16"/>
  <c r="AH19" i="16" s="1"/>
  <c r="AE20" i="16"/>
  <c r="AH20" i="16" s="1"/>
  <c r="AE21" i="16"/>
  <c r="AH21" i="16" s="1"/>
  <c r="AE22" i="16"/>
  <c r="AH22" i="16" s="1"/>
  <c r="AE23" i="16"/>
  <c r="AH23" i="16" s="1"/>
  <c r="AE24" i="16"/>
  <c r="AH24" i="16" s="1"/>
  <c r="AE25" i="16"/>
  <c r="AH25" i="16" s="1"/>
  <c r="AE26" i="16"/>
  <c r="AH26" i="16" s="1"/>
  <c r="AE27" i="16"/>
  <c r="AH27" i="16" s="1"/>
  <c r="AE28" i="16"/>
  <c r="AH28" i="16" s="1"/>
  <c r="AE29" i="16"/>
  <c r="AH29" i="16" s="1"/>
  <c r="AE30" i="16"/>
  <c r="AH30" i="16" s="1"/>
  <c r="AE31" i="16"/>
  <c r="AH31" i="16" s="1"/>
  <c r="AE32" i="16"/>
  <c r="AH32" i="16" s="1"/>
  <c r="AE33" i="16"/>
  <c r="AH33" i="16" s="1"/>
  <c r="AE34" i="16"/>
  <c r="AH34" i="16" s="1"/>
  <c r="AE35" i="16"/>
  <c r="AH35" i="16" s="1"/>
  <c r="AE36" i="16"/>
  <c r="AH36" i="16" s="1"/>
  <c r="AE37" i="16"/>
  <c r="AH37" i="16" s="1"/>
  <c r="AE38" i="16"/>
  <c r="AH38" i="16" s="1"/>
  <c r="AE39" i="16"/>
  <c r="AH39" i="16" s="1"/>
  <c r="AE40" i="16"/>
  <c r="AH40" i="16" s="1"/>
  <c r="AE41" i="16"/>
  <c r="AH41" i="16" s="1"/>
  <c r="AE5" i="16"/>
  <c r="AH5" i="16" s="1"/>
  <c r="AS7" i="17"/>
  <c r="I6" i="126" s="1"/>
  <c r="AT7" i="17"/>
  <c r="J6" i="126" s="1"/>
  <c r="AU7" i="17"/>
  <c r="AV7" i="17"/>
  <c r="AW7" i="17"/>
  <c r="AS8" i="17"/>
  <c r="I7" i="126" s="1"/>
  <c r="AT8" i="17"/>
  <c r="J7" i="126" s="1"/>
  <c r="AU8" i="17"/>
  <c r="AV8" i="17"/>
  <c r="AW8" i="17"/>
  <c r="AS9" i="17"/>
  <c r="I8" i="126" s="1"/>
  <c r="AT9" i="17"/>
  <c r="J8" i="126" s="1"/>
  <c r="AU9" i="17"/>
  <c r="AV9" i="17"/>
  <c r="AW9" i="17"/>
  <c r="AX9" i="17" s="1"/>
  <c r="AS10" i="17"/>
  <c r="I9" i="126" s="1"/>
  <c r="AT10" i="17"/>
  <c r="J9" i="126" s="1"/>
  <c r="AU10" i="17"/>
  <c r="AV10" i="17"/>
  <c r="AW10" i="17"/>
  <c r="AS11" i="17"/>
  <c r="I10" i="126" s="1"/>
  <c r="AT11" i="17"/>
  <c r="J10" i="126" s="1"/>
  <c r="AU11" i="17"/>
  <c r="AV11" i="17"/>
  <c r="AW11" i="17"/>
  <c r="AX11" i="17" s="1"/>
  <c r="AS12" i="17"/>
  <c r="I11" i="126" s="1"/>
  <c r="AT12" i="17"/>
  <c r="J11" i="126" s="1"/>
  <c r="AU12" i="17"/>
  <c r="AV12" i="17"/>
  <c r="AW12" i="17"/>
  <c r="AS13" i="17"/>
  <c r="I12" i="126" s="1"/>
  <c r="AT13" i="17"/>
  <c r="J12" i="126" s="1"/>
  <c r="AU13" i="17"/>
  <c r="AV13" i="17"/>
  <c r="AW13" i="17"/>
  <c r="AS14" i="17"/>
  <c r="I13" i="126" s="1"/>
  <c r="AT14" i="17"/>
  <c r="J13" i="126" s="1"/>
  <c r="AU14" i="17"/>
  <c r="AV14" i="17"/>
  <c r="AW14" i="17"/>
  <c r="AS15" i="17"/>
  <c r="I14" i="126" s="1"/>
  <c r="AT15" i="17"/>
  <c r="J14" i="126" s="1"/>
  <c r="AU15" i="17"/>
  <c r="AV15" i="17"/>
  <c r="AW15" i="17"/>
  <c r="AS16" i="17"/>
  <c r="I15" i="126" s="1"/>
  <c r="AT16" i="17"/>
  <c r="J15" i="126" s="1"/>
  <c r="AU16" i="17"/>
  <c r="AV16" i="17"/>
  <c r="AW16" i="17"/>
  <c r="AS17" i="17"/>
  <c r="I16" i="126" s="1"/>
  <c r="AT17" i="17"/>
  <c r="J16" i="126" s="1"/>
  <c r="AU17" i="17"/>
  <c r="AV17" i="17"/>
  <c r="AW17" i="17"/>
  <c r="AS18" i="17"/>
  <c r="I17" i="126" s="1"/>
  <c r="AT18" i="17"/>
  <c r="J17" i="126" s="1"/>
  <c r="AU18" i="17"/>
  <c r="AV18" i="17"/>
  <c r="AW18" i="17"/>
  <c r="AS19" i="17"/>
  <c r="I18" i="126" s="1"/>
  <c r="AT19" i="17"/>
  <c r="J18" i="126" s="1"/>
  <c r="AU19" i="17"/>
  <c r="AV19" i="17"/>
  <c r="AW19" i="17"/>
  <c r="AS20" i="17"/>
  <c r="I19" i="126" s="1"/>
  <c r="AT20" i="17"/>
  <c r="AU20" i="17"/>
  <c r="AV20" i="17"/>
  <c r="AW20" i="17"/>
  <c r="AS21" i="17"/>
  <c r="I20" i="126" s="1"/>
  <c r="AT21" i="17"/>
  <c r="J20" i="126" s="1"/>
  <c r="AU21" i="17"/>
  <c r="AV21" i="17"/>
  <c r="AW21" i="17"/>
  <c r="AS22" i="17"/>
  <c r="I21" i="126" s="1"/>
  <c r="AT22" i="17"/>
  <c r="AU22" i="17"/>
  <c r="AV22" i="17"/>
  <c r="AW22" i="17"/>
  <c r="AS23" i="17"/>
  <c r="I22" i="126" s="1"/>
  <c r="AT23" i="17"/>
  <c r="J22" i="126" s="1"/>
  <c r="AU23" i="17"/>
  <c r="AV23" i="17"/>
  <c r="AW23" i="17"/>
  <c r="AS24" i="17"/>
  <c r="I23" i="126" s="1"/>
  <c r="AT24" i="17"/>
  <c r="AU24" i="17"/>
  <c r="AV24" i="17"/>
  <c r="AW24" i="17"/>
  <c r="AS25" i="17"/>
  <c r="I24" i="126" s="1"/>
  <c r="AT25" i="17"/>
  <c r="J24" i="126" s="1"/>
  <c r="AU25" i="17"/>
  <c r="AV25" i="17"/>
  <c r="AW25" i="17"/>
  <c r="AS26" i="17"/>
  <c r="I25" i="126" s="1"/>
  <c r="AT26" i="17"/>
  <c r="AU26" i="17"/>
  <c r="AV26" i="17"/>
  <c r="AW26" i="17"/>
  <c r="AS27" i="17"/>
  <c r="I26" i="126" s="1"/>
  <c r="AT27" i="17"/>
  <c r="J26" i="126" s="1"/>
  <c r="AU27" i="17"/>
  <c r="AV27" i="17"/>
  <c r="AW27" i="17"/>
  <c r="AS28" i="17"/>
  <c r="I27" i="126" s="1"/>
  <c r="AT28" i="17"/>
  <c r="AU28" i="17"/>
  <c r="AV28" i="17"/>
  <c r="AW28" i="17"/>
  <c r="AS29" i="17"/>
  <c r="I28" i="126" s="1"/>
  <c r="AT29" i="17"/>
  <c r="J28" i="126" s="1"/>
  <c r="AU29" i="17"/>
  <c r="AV29" i="17"/>
  <c r="AW29" i="17"/>
  <c r="AS30" i="17"/>
  <c r="I29" i="126" s="1"/>
  <c r="AT30" i="17"/>
  <c r="AU30" i="17"/>
  <c r="AV30" i="17"/>
  <c r="AW30" i="17"/>
  <c r="AS31" i="17"/>
  <c r="I30" i="126" s="1"/>
  <c r="AT31" i="17"/>
  <c r="J30" i="126" s="1"/>
  <c r="AU31" i="17"/>
  <c r="AV31" i="17"/>
  <c r="AW31" i="17"/>
  <c r="AS32" i="17"/>
  <c r="I31" i="126" s="1"/>
  <c r="AT32" i="17"/>
  <c r="AU32" i="17"/>
  <c r="AV32" i="17"/>
  <c r="AW32" i="17"/>
  <c r="AS33" i="17"/>
  <c r="I32" i="126" s="1"/>
  <c r="AT33" i="17"/>
  <c r="J32" i="126" s="1"/>
  <c r="AU33" i="17"/>
  <c r="AV33" i="17"/>
  <c r="AW33" i="17"/>
  <c r="AS34" i="17"/>
  <c r="I33" i="126" s="1"/>
  <c r="AT34" i="17"/>
  <c r="AU34" i="17"/>
  <c r="AV34" i="17"/>
  <c r="AW34" i="17"/>
  <c r="AS35" i="17"/>
  <c r="I34" i="126" s="1"/>
  <c r="AT35" i="17"/>
  <c r="J34" i="126" s="1"/>
  <c r="AU35" i="17"/>
  <c r="AV35" i="17"/>
  <c r="AW35" i="17"/>
  <c r="AS36" i="17"/>
  <c r="I35" i="126" s="1"/>
  <c r="AT36" i="17"/>
  <c r="AU36" i="17"/>
  <c r="AV36" i="17"/>
  <c r="AW36" i="17"/>
  <c r="AS37" i="17"/>
  <c r="I36" i="126" s="1"/>
  <c r="AT37" i="17"/>
  <c r="J36" i="126" s="1"/>
  <c r="AU37" i="17"/>
  <c r="AV37" i="17"/>
  <c r="AW37" i="17"/>
  <c r="AS38" i="17"/>
  <c r="I37" i="126" s="1"/>
  <c r="AT38" i="17"/>
  <c r="AU38" i="17"/>
  <c r="AV38" i="17"/>
  <c r="AW38" i="17"/>
  <c r="AS39" i="17"/>
  <c r="I38" i="126" s="1"/>
  <c r="AT39" i="17"/>
  <c r="J38" i="126" s="1"/>
  <c r="AU39" i="17"/>
  <c r="AV39" i="17"/>
  <c r="AW39" i="17"/>
  <c r="AS40" i="17"/>
  <c r="I39" i="126" s="1"/>
  <c r="AT40" i="17"/>
  <c r="AU40" i="17"/>
  <c r="AV40" i="17"/>
  <c r="AW40" i="17"/>
  <c r="AS41" i="17"/>
  <c r="I40" i="126" s="1"/>
  <c r="AT41" i="17"/>
  <c r="J40" i="126" s="1"/>
  <c r="AU41" i="17"/>
  <c r="AV41" i="17"/>
  <c r="AW41" i="17"/>
  <c r="AS42" i="17"/>
  <c r="I41" i="126" s="1"/>
  <c r="AT42" i="17"/>
  <c r="AU42" i="17"/>
  <c r="AV42" i="17"/>
  <c r="AW42" i="17"/>
  <c r="AT6" i="17"/>
  <c r="J5" i="126" s="1"/>
  <c r="AU6" i="17"/>
  <c r="AV6" i="17"/>
  <c r="AW6" i="17"/>
  <c r="AS6" i="17"/>
  <c r="I5" i="126" s="1"/>
  <c r="AG43" i="17"/>
  <c r="AM43" i="17"/>
  <c r="AP43" i="17"/>
  <c r="AQ43" i="17"/>
  <c r="AN43" i="17"/>
  <c r="AI43" i="17"/>
  <c r="AJ43" i="17"/>
  <c r="AK43" i="17"/>
  <c r="AH43" i="17"/>
  <c r="AH42" i="16" l="1"/>
  <c r="K10" i="126"/>
  <c r="AX18" i="17"/>
  <c r="AX8" i="17"/>
  <c r="AX10" i="17"/>
  <c r="AX7" i="17"/>
  <c r="AX6" i="17"/>
  <c r="AX16" i="17"/>
  <c r="AX12" i="17"/>
  <c r="K12" i="126"/>
  <c r="K40" i="126"/>
  <c r="K36" i="126"/>
  <c r="K32" i="126"/>
  <c r="K28" i="126"/>
  <c r="K38" i="126"/>
  <c r="K34" i="126"/>
  <c r="K30" i="126"/>
  <c r="K26" i="126"/>
  <c r="K22" i="126"/>
  <c r="K18" i="126"/>
  <c r="K8" i="126"/>
  <c r="K14" i="126"/>
  <c r="K11" i="126"/>
  <c r="K9" i="126"/>
  <c r="K7" i="126"/>
  <c r="K20" i="126"/>
  <c r="K17" i="126"/>
  <c r="K6" i="126"/>
  <c r="AX17" i="17"/>
  <c r="AX41" i="17"/>
  <c r="AX40" i="17"/>
  <c r="J39" i="126"/>
  <c r="K39" i="126" s="1"/>
  <c r="AX37" i="17"/>
  <c r="AX36" i="17"/>
  <c r="J35" i="126"/>
  <c r="K35" i="126" s="1"/>
  <c r="AX33" i="17"/>
  <c r="AX32" i="17"/>
  <c r="J31" i="126"/>
  <c r="K31" i="126" s="1"/>
  <c r="AX29" i="17"/>
  <c r="AX28" i="17"/>
  <c r="J27" i="126"/>
  <c r="K27" i="126" s="1"/>
  <c r="AX24" i="17"/>
  <c r="J23" i="126"/>
  <c r="K23" i="126" s="1"/>
  <c r="AX21" i="17"/>
  <c r="AX20" i="17"/>
  <c r="J19" i="126"/>
  <c r="K19" i="126" s="1"/>
  <c r="K16" i="126"/>
  <c r="AX15" i="17"/>
  <c r="K13" i="126"/>
  <c r="K5" i="126"/>
  <c r="AX42" i="17"/>
  <c r="J41" i="126"/>
  <c r="K41" i="126" s="1"/>
  <c r="AX39" i="17"/>
  <c r="AX38" i="17"/>
  <c r="J37" i="126"/>
  <c r="K37" i="126" s="1"/>
  <c r="AX35" i="17"/>
  <c r="AX34" i="17"/>
  <c r="J33" i="126"/>
  <c r="K33" i="126" s="1"/>
  <c r="AX31" i="17"/>
  <c r="AX30" i="17"/>
  <c r="J29" i="126"/>
  <c r="K29" i="126" s="1"/>
  <c r="AX27" i="17"/>
  <c r="AX26" i="17"/>
  <c r="J25" i="126"/>
  <c r="K25" i="126" s="1"/>
  <c r="AX23" i="17"/>
  <c r="AX22" i="17"/>
  <c r="J21" i="126"/>
  <c r="K21" i="126" s="1"/>
  <c r="AX19" i="17"/>
  <c r="K15" i="126"/>
  <c r="AX13" i="17"/>
  <c r="AO43" i="17"/>
  <c r="AL43" i="17"/>
  <c r="AR43" i="17"/>
  <c r="Q43" i="17"/>
  <c r="X43" i="17"/>
  <c r="R43" i="17"/>
  <c r="S43" i="17"/>
  <c r="P43" i="17"/>
  <c r="W43" i="17"/>
  <c r="Y43" i="17"/>
  <c r="T43" i="17" l="1"/>
  <c r="AC42" i="61" l="1"/>
  <c r="AD42" i="61"/>
  <c r="AE24" i="61"/>
  <c r="AE25" i="61"/>
  <c r="AE26" i="61"/>
  <c r="AE27" i="61"/>
  <c r="AE28" i="61"/>
  <c r="AE29" i="61"/>
  <c r="AE30" i="61"/>
  <c r="AE31" i="61"/>
  <c r="AE32" i="61"/>
  <c r="AE33" i="61"/>
  <c r="AE34" i="61"/>
  <c r="AE35" i="61"/>
  <c r="AE36" i="61"/>
  <c r="AE37" i="61"/>
  <c r="AE38" i="61"/>
  <c r="AE39" i="61"/>
  <c r="AE40" i="61"/>
  <c r="AE41" i="61"/>
  <c r="AE23" i="61"/>
  <c r="AE6" i="61"/>
  <c r="AE7" i="61"/>
  <c r="AE8" i="61"/>
  <c r="AE9" i="61"/>
  <c r="AE10" i="61"/>
  <c r="AE11" i="61"/>
  <c r="AE12" i="61"/>
  <c r="AE13" i="61"/>
  <c r="AE14" i="61"/>
  <c r="AE15" i="61"/>
  <c r="AE16" i="61"/>
  <c r="AE17" i="61"/>
  <c r="AE18" i="61"/>
  <c r="AE19" i="61"/>
  <c r="AE20" i="61"/>
  <c r="AE21" i="61"/>
  <c r="AE22" i="61"/>
  <c r="AE5" i="61"/>
  <c r="D42" i="115"/>
  <c r="E42" i="115"/>
  <c r="F42" i="115"/>
  <c r="G42" i="115"/>
  <c r="H42" i="115"/>
  <c r="I42" i="115"/>
  <c r="J42" i="115"/>
  <c r="K42" i="115"/>
  <c r="L42" i="115"/>
  <c r="M42" i="115"/>
  <c r="N42" i="115"/>
  <c r="O42" i="115"/>
  <c r="P42" i="115"/>
  <c r="Q42" i="115"/>
  <c r="R42" i="115"/>
  <c r="S42" i="115"/>
  <c r="T42" i="115"/>
  <c r="U42" i="115"/>
  <c r="V42" i="115"/>
  <c r="W42" i="115"/>
  <c r="X42" i="115"/>
  <c r="Y42" i="115"/>
  <c r="Z42" i="115"/>
  <c r="AA42" i="115"/>
  <c r="AB42" i="115"/>
  <c r="AC42" i="115"/>
  <c r="C42" i="115"/>
  <c r="L23" i="99" l="1"/>
  <c r="L42" i="68"/>
  <c r="D142" i="78" l="1"/>
  <c r="E142" i="78"/>
  <c r="C142" i="78"/>
  <c r="D38" i="77"/>
  <c r="E38" i="77"/>
  <c r="F38" i="77"/>
  <c r="G38" i="77"/>
  <c r="H38" i="77"/>
  <c r="I38" i="77"/>
  <c r="J38" i="77"/>
  <c r="K38" i="77"/>
  <c r="L38" i="77"/>
  <c r="M38" i="77"/>
  <c r="N38" i="77"/>
  <c r="O38" i="77"/>
  <c r="P38" i="77"/>
  <c r="Q38" i="77"/>
  <c r="R38" i="77"/>
  <c r="S38" i="77"/>
  <c r="T38" i="77"/>
  <c r="U38" i="77"/>
  <c r="V38" i="77"/>
  <c r="W38" i="77"/>
  <c r="X38" i="77"/>
  <c r="Y38" i="77"/>
  <c r="Z38" i="77"/>
  <c r="AA38" i="77"/>
  <c r="AB38" i="77"/>
  <c r="AC38" i="77"/>
  <c r="C38" i="77"/>
  <c r="D197" i="73" l="1"/>
  <c r="E197" i="73"/>
  <c r="C197" i="73"/>
  <c r="D200" i="79" l="1"/>
  <c r="E200" i="79"/>
  <c r="F200" i="79"/>
  <c r="G200" i="79"/>
  <c r="H200" i="79"/>
  <c r="I200" i="79"/>
  <c r="J200" i="79"/>
  <c r="K200" i="79"/>
  <c r="L200" i="79"/>
  <c r="M200" i="79"/>
  <c r="N200" i="79"/>
  <c r="C200" i="79"/>
  <c r="F6" i="126" l="1"/>
  <c r="F7" i="126"/>
  <c r="F8" i="126"/>
  <c r="F9" i="126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5" i="126"/>
  <c r="D12" i="126"/>
  <c r="D13" i="126"/>
  <c r="D5" i="126"/>
  <c r="G23" i="99"/>
  <c r="AH5" i="98"/>
  <c r="AH6" i="98"/>
  <c r="AH7" i="98"/>
  <c r="AH8" i="98"/>
  <c r="AH9" i="98"/>
  <c r="AH10" i="98"/>
  <c r="AH11" i="98"/>
  <c r="AH12" i="98"/>
  <c r="AH13" i="98"/>
  <c r="AH14" i="98"/>
  <c r="AH15" i="98"/>
  <c r="AH16" i="98"/>
  <c r="AH17" i="98"/>
  <c r="AH18" i="98"/>
  <c r="AH19" i="98"/>
  <c r="AH20" i="98"/>
  <c r="AH21" i="98"/>
  <c r="AH22" i="98"/>
  <c r="AH23" i="98"/>
  <c r="AH24" i="98"/>
  <c r="AH25" i="98"/>
  <c r="AH26" i="98"/>
  <c r="AH27" i="98"/>
  <c r="AH28" i="98"/>
  <c r="AH29" i="98"/>
  <c r="AH30" i="98"/>
  <c r="AH31" i="98"/>
  <c r="AH32" i="98"/>
  <c r="AH33" i="98"/>
  <c r="AH34" i="98"/>
  <c r="AH35" i="98"/>
  <c r="AH36" i="98"/>
  <c r="AH37" i="98"/>
  <c r="AH38" i="98"/>
  <c r="AH39" i="98"/>
  <c r="AH40" i="98"/>
  <c r="G23" i="126" l="1"/>
  <c r="H23" i="126" s="1"/>
  <c r="C42" i="69"/>
  <c r="D42" i="69"/>
  <c r="E42" i="69"/>
  <c r="F42" i="69"/>
  <c r="G42" i="69"/>
  <c r="H42" i="69"/>
  <c r="I42" i="69"/>
  <c r="J42" i="69"/>
  <c r="K42" i="69"/>
  <c r="L42" i="69"/>
  <c r="M42" i="69"/>
  <c r="N42" i="69"/>
  <c r="O42" i="69"/>
  <c r="P42" i="69"/>
  <c r="Q42" i="69"/>
  <c r="R42" i="69"/>
  <c r="S42" i="69"/>
  <c r="T42" i="69"/>
  <c r="U42" i="69"/>
  <c r="V42" i="69"/>
  <c r="W42" i="69"/>
  <c r="X42" i="69"/>
  <c r="Y42" i="69"/>
  <c r="Z42" i="69"/>
  <c r="AA42" i="69"/>
  <c r="AB42" i="69"/>
  <c r="AC42" i="69"/>
  <c r="AD42" i="69"/>
  <c r="AE42" i="69"/>
  <c r="AF42" i="69"/>
  <c r="D37" i="141" l="1"/>
  <c r="E37" i="141"/>
  <c r="F37" i="141"/>
  <c r="G37" i="141"/>
  <c r="H37" i="141"/>
  <c r="I37" i="141"/>
  <c r="J37" i="141"/>
  <c r="K37" i="141"/>
  <c r="L37" i="141"/>
  <c r="M37" i="141"/>
  <c r="N37" i="141"/>
  <c r="O37" i="141"/>
  <c r="P37" i="141"/>
  <c r="Q37" i="141"/>
  <c r="R37" i="141"/>
  <c r="S37" i="141"/>
  <c r="T37" i="141"/>
  <c r="U37" i="141"/>
  <c r="V37" i="141"/>
  <c r="W19" i="141"/>
  <c r="D23" i="126" s="1"/>
  <c r="W4" i="141"/>
  <c r="D6" i="126" s="1"/>
  <c r="W5" i="141"/>
  <c r="D7" i="126" s="1"/>
  <c r="W6" i="141"/>
  <c r="D8" i="126" s="1"/>
  <c r="W7" i="141"/>
  <c r="D9" i="126" s="1"/>
  <c r="W8" i="141"/>
  <c r="D10" i="126" s="1"/>
  <c r="W9" i="141"/>
  <c r="D11" i="126" s="1"/>
  <c r="W10" i="141"/>
  <c r="D14" i="126" s="1"/>
  <c r="W11" i="141"/>
  <c r="D15" i="126" s="1"/>
  <c r="W12" i="141"/>
  <c r="D16" i="126" s="1"/>
  <c r="W13" i="141"/>
  <c r="D17" i="126" s="1"/>
  <c r="W14" i="141"/>
  <c r="D18" i="126" s="1"/>
  <c r="W15" i="141"/>
  <c r="D19" i="126" s="1"/>
  <c r="W16" i="141"/>
  <c r="D20" i="126" s="1"/>
  <c r="W17" i="141"/>
  <c r="D21" i="126" s="1"/>
  <c r="W18" i="141"/>
  <c r="D22" i="126" s="1"/>
  <c r="W20" i="141"/>
  <c r="D25" i="126" s="1"/>
  <c r="W21" i="141"/>
  <c r="D26" i="126" s="1"/>
  <c r="W22" i="141"/>
  <c r="D27" i="126" s="1"/>
  <c r="W23" i="141"/>
  <c r="D28" i="126" s="1"/>
  <c r="W24" i="141"/>
  <c r="D29" i="126" s="1"/>
  <c r="W25" i="141"/>
  <c r="D30" i="126" s="1"/>
  <c r="W26" i="141"/>
  <c r="D31" i="126" s="1"/>
  <c r="W27" i="141"/>
  <c r="D32" i="126" s="1"/>
  <c r="W28" i="141"/>
  <c r="D33" i="126" s="1"/>
  <c r="W29" i="141"/>
  <c r="D34" i="126" s="1"/>
  <c r="W30" i="141"/>
  <c r="D35" i="126" s="1"/>
  <c r="W31" i="141"/>
  <c r="D36" i="126" s="1"/>
  <c r="W32" i="141"/>
  <c r="D37" i="126" s="1"/>
  <c r="W33" i="141"/>
  <c r="D38" i="126" s="1"/>
  <c r="W34" i="141"/>
  <c r="D39" i="126" s="1"/>
  <c r="W35" i="141"/>
  <c r="D40" i="126" s="1"/>
  <c r="W36" i="141"/>
  <c r="D41" i="126" s="1"/>
  <c r="M23" i="126" l="1"/>
  <c r="W37" i="141"/>
  <c r="C12" i="126"/>
  <c r="C13" i="126"/>
  <c r="C5" i="126"/>
  <c r="N19" i="55"/>
  <c r="C23" i="126" s="1"/>
  <c r="L23" i="126" s="1"/>
  <c r="N23" i="126" l="1"/>
  <c r="E23" i="126"/>
  <c r="D42" i="117"/>
  <c r="E42" i="117"/>
  <c r="F42" i="117"/>
  <c r="G42" i="117"/>
  <c r="H42" i="117"/>
  <c r="I42" i="117"/>
  <c r="J42" i="117"/>
  <c r="K42" i="117"/>
  <c r="L42" i="117"/>
  <c r="M42" i="117"/>
  <c r="N42" i="117"/>
  <c r="C42" i="117"/>
  <c r="C16" i="118"/>
  <c r="D16" i="118"/>
  <c r="E16" i="118"/>
  <c r="F16" i="118"/>
  <c r="G16" i="118"/>
  <c r="H16" i="118"/>
  <c r="I16" i="118"/>
  <c r="J16" i="118"/>
  <c r="K16" i="118"/>
  <c r="L16" i="118"/>
  <c r="M16" i="118"/>
  <c r="B16" i="118"/>
  <c r="C37" i="141" l="1"/>
  <c r="M1" i="141"/>
  <c r="L12" i="126" l="1"/>
  <c r="L13" i="126"/>
  <c r="L5" i="126"/>
  <c r="D42" i="126"/>
  <c r="F42" i="126"/>
  <c r="I42" i="126"/>
  <c r="J42" i="126"/>
  <c r="K42" i="126" l="1"/>
  <c r="V20" i="124" l="1"/>
  <c r="U20" i="124"/>
  <c r="T20" i="124"/>
  <c r="S20" i="124"/>
  <c r="R20" i="124"/>
  <c r="Q20" i="124"/>
  <c r="P20" i="124"/>
  <c r="O20" i="124"/>
  <c r="N20" i="124"/>
  <c r="M20" i="124"/>
  <c r="L20" i="124"/>
  <c r="K20" i="124"/>
  <c r="J20" i="124"/>
  <c r="I20" i="124"/>
  <c r="H20" i="124"/>
  <c r="F20" i="124"/>
  <c r="E20" i="124"/>
  <c r="C20" i="124"/>
  <c r="B20" i="124"/>
  <c r="D20" i="124"/>
  <c r="G20" i="124"/>
  <c r="V16" i="124"/>
  <c r="U16" i="124"/>
  <c r="T16" i="124"/>
  <c r="S16" i="124"/>
  <c r="R16" i="124"/>
  <c r="Q16" i="124"/>
  <c r="P16" i="124"/>
  <c r="O16" i="124"/>
  <c r="N16" i="124"/>
  <c r="M16" i="124"/>
  <c r="L16" i="124"/>
  <c r="K16" i="124"/>
  <c r="J16" i="124"/>
  <c r="I16" i="124"/>
  <c r="H16" i="124"/>
  <c r="G16" i="124"/>
  <c r="F16" i="124"/>
  <c r="E16" i="124"/>
  <c r="D16" i="124"/>
  <c r="C16" i="124"/>
  <c r="B16" i="124"/>
  <c r="V20" i="123"/>
  <c r="U20" i="123"/>
  <c r="T20" i="123"/>
  <c r="O20" i="123"/>
  <c r="N20" i="123"/>
  <c r="L20" i="123"/>
  <c r="K20" i="123"/>
  <c r="I20" i="123"/>
  <c r="H20" i="123"/>
  <c r="F20" i="123"/>
  <c r="E20" i="123"/>
  <c r="C20" i="123"/>
  <c r="B20" i="123"/>
  <c r="Q20" i="123"/>
  <c r="P20" i="123"/>
  <c r="M20" i="123"/>
  <c r="J20" i="123"/>
  <c r="G20" i="123"/>
  <c r="D20" i="123"/>
  <c r="K17" i="123"/>
  <c r="V16" i="123"/>
  <c r="U16" i="123"/>
  <c r="T16" i="123"/>
  <c r="R16" i="123"/>
  <c r="Q16" i="123"/>
  <c r="P16" i="123"/>
  <c r="O16" i="123"/>
  <c r="N16" i="123"/>
  <c r="M16" i="123"/>
  <c r="L16" i="123"/>
  <c r="K16" i="123"/>
  <c r="J16" i="123"/>
  <c r="I16" i="123"/>
  <c r="H16" i="123"/>
  <c r="G16" i="123"/>
  <c r="F16" i="123"/>
  <c r="E16" i="123"/>
  <c r="D16" i="123"/>
  <c r="C16" i="123"/>
  <c r="B16" i="123"/>
  <c r="S16" i="123"/>
  <c r="R20" i="123" l="1"/>
  <c r="S20" i="123" l="1"/>
  <c r="W42" i="122" l="1"/>
  <c r="V42" i="122"/>
  <c r="U42" i="122"/>
  <c r="T42" i="122"/>
  <c r="S42" i="122"/>
  <c r="R42" i="122"/>
  <c r="Q42" i="122"/>
  <c r="P42" i="122"/>
  <c r="O42" i="122"/>
  <c r="N42" i="122"/>
  <c r="M42" i="122"/>
  <c r="L42" i="122"/>
  <c r="K42" i="122"/>
  <c r="J42" i="122"/>
  <c r="I42" i="122"/>
  <c r="H42" i="122"/>
  <c r="G42" i="122"/>
  <c r="F42" i="122"/>
  <c r="E42" i="122"/>
  <c r="D42" i="122"/>
  <c r="C42" i="122"/>
  <c r="L1" i="122"/>
  <c r="W42" i="121"/>
  <c r="V42" i="121"/>
  <c r="U42" i="121"/>
  <c r="T42" i="121"/>
  <c r="S42" i="121"/>
  <c r="R42" i="121"/>
  <c r="Q42" i="121"/>
  <c r="P42" i="121"/>
  <c r="O42" i="121"/>
  <c r="N42" i="121"/>
  <c r="M42" i="121"/>
  <c r="L42" i="121"/>
  <c r="K42" i="121"/>
  <c r="J42" i="121"/>
  <c r="I42" i="121"/>
  <c r="H42" i="121"/>
  <c r="G42" i="121"/>
  <c r="F42" i="121"/>
  <c r="E42" i="121"/>
  <c r="D42" i="121"/>
  <c r="C42" i="121"/>
  <c r="I1" i="121"/>
  <c r="O1" i="121" s="1"/>
  <c r="W42" i="120"/>
  <c r="V42" i="120"/>
  <c r="U42" i="120"/>
  <c r="T42" i="120"/>
  <c r="S42" i="120"/>
  <c r="R42" i="120"/>
  <c r="Q42" i="120"/>
  <c r="P42" i="120"/>
  <c r="O42" i="120"/>
  <c r="N42" i="120"/>
  <c r="M42" i="120"/>
  <c r="L42" i="120"/>
  <c r="K42" i="120"/>
  <c r="J42" i="120"/>
  <c r="I42" i="120"/>
  <c r="H42" i="120"/>
  <c r="G42" i="120"/>
  <c r="F42" i="120"/>
  <c r="E42" i="120"/>
  <c r="D42" i="120"/>
  <c r="C42" i="120"/>
  <c r="I1" i="120"/>
  <c r="O1" i="120" s="1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D61" i="80" l="1"/>
  <c r="E61" i="80"/>
  <c r="F61" i="80"/>
  <c r="G61" i="80"/>
  <c r="H61" i="80"/>
  <c r="I61" i="80"/>
  <c r="J61" i="80"/>
  <c r="K61" i="80"/>
  <c r="L61" i="80"/>
  <c r="M61" i="80"/>
  <c r="N61" i="80"/>
  <c r="C61" i="80"/>
  <c r="AA20" i="66" l="1"/>
  <c r="C20" i="66"/>
  <c r="D20" i="66"/>
  <c r="E20" i="66"/>
  <c r="F20" i="66"/>
  <c r="G20" i="66"/>
  <c r="H20" i="66"/>
  <c r="I20" i="66"/>
  <c r="J20" i="66"/>
  <c r="K20" i="66"/>
  <c r="L20" i="66"/>
  <c r="M20" i="66"/>
  <c r="N20" i="66"/>
  <c r="O20" i="66"/>
  <c r="P20" i="66"/>
  <c r="Q20" i="66"/>
  <c r="R20" i="66"/>
  <c r="S20" i="66"/>
  <c r="T20" i="66"/>
  <c r="U20" i="66"/>
  <c r="V20" i="66"/>
  <c r="W20" i="66"/>
  <c r="X20" i="66"/>
  <c r="Y20" i="66"/>
  <c r="Z20" i="66"/>
  <c r="H42" i="65"/>
  <c r="D42" i="65"/>
  <c r="F42" i="65"/>
  <c r="G42" i="65"/>
  <c r="I42" i="65"/>
  <c r="J42" i="65"/>
  <c r="L42" i="65"/>
  <c r="M42" i="65"/>
  <c r="O42" i="65"/>
  <c r="P42" i="65"/>
  <c r="R42" i="65"/>
  <c r="S42" i="65"/>
  <c r="U42" i="65"/>
  <c r="V42" i="65"/>
  <c r="C42" i="65"/>
  <c r="K42" i="65" l="1"/>
  <c r="N42" i="65"/>
  <c r="Q42" i="65"/>
  <c r="T42" i="65"/>
  <c r="W42" i="65"/>
  <c r="E42" i="65"/>
  <c r="H44" i="65" s="1"/>
  <c r="AB20" i="66"/>
  <c r="K44" i="65" l="1"/>
  <c r="J6" i="99"/>
  <c r="J7" i="99"/>
  <c r="J8" i="99"/>
  <c r="J9" i="99"/>
  <c r="J10" i="99"/>
  <c r="J11" i="99"/>
  <c r="J12" i="99"/>
  <c r="J13" i="99"/>
  <c r="J14" i="99"/>
  <c r="J15" i="99"/>
  <c r="J16" i="99"/>
  <c r="J17" i="99"/>
  <c r="J18" i="99"/>
  <c r="J19" i="99"/>
  <c r="J20" i="99"/>
  <c r="J21" i="99"/>
  <c r="J22" i="99"/>
  <c r="J24" i="99"/>
  <c r="L24" i="99" s="1"/>
  <c r="J25" i="99"/>
  <c r="J26" i="99"/>
  <c r="J27" i="99"/>
  <c r="J28" i="99"/>
  <c r="J29" i="99"/>
  <c r="J30" i="99"/>
  <c r="J31" i="99"/>
  <c r="J32" i="99"/>
  <c r="J33" i="99"/>
  <c r="J34" i="99"/>
  <c r="J35" i="99"/>
  <c r="J36" i="99"/>
  <c r="J37" i="99"/>
  <c r="J38" i="99"/>
  <c r="J39" i="99"/>
  <c r="J40" i="99"/>
  <c r="J41" i="99"/>
  <c r="J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4" i="99"/>
  <c r="G24" i="99" s="1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5" i="99"/>
  <c r="AH4" i="98"/>
  <c r="C6" i="25" l="1"/>
  <c r="D6" i="25"/>
  <c r="E6" i="25"/>
  <c r="F6" i="25"/>
  <c r="G6" i="25"/>
  <c r="H6" i="25"/>
  <c r="I6" i="25"/>
  <c r="J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C7" i="25"/>
  <c r="D7" i="25"/>
  <c r="E7" i="25"/>
  <c r="F7" i="25"/>
  <c r="G7" i="25"/>
  <c r="H7" i="25"/>
  <c r="I7" i="25"/>
  <c r="J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C8" i="25"/>
  <c r="D8" i="25"/>
  <c r="E8" i="25"/>
  <c r="F8" i="25"/>
  <c r="G8" i="25"/>
  <c r="H8" i="25"/>
  <c r="I8" i="25"/>
  <c r="J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C9" i="25"/>
  <c r="D9" i="25"/>
  <c r="E9" i="25"/>
  <c r="F9" i="25"/>
  <c r="G9" i="25"/>
  <c r="H9" i="25"/>
  <c r="I9" i="25"/>
  <c r="J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C10" i="25"/>
  <c r="D10" i="25"/>
  <c r="E10" i="25"/>
  <c r="F10" i="25"/>
  <c r="G10" i="25"/>
  <c r="H10" i="25"/>
  <c r="I10" i="25"/>
  <c r="J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C11" i="25"/>
  <c r="D11" i="25"/>
  <c r="E11" i="25"/>
  <c r="F11" i="25"/>
  <c r="G11" i="25"/>
  <c r="H11" i="25"/>
  <c r="I11" i="25"/>
  <c r="J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C12" i="25"/>
  <c r="D12" i="25"/>
  <c r="E12" i="25"/>
  <c r="F12" i="25"/>
  <c r="G12" i="25"/>
  <c r="H12" i="25"/>
  <c r="I12" i="25"/>
  <c r="J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C13" i="25"/>
  <c r="D13" i="25"/>
  <c r="E13" i="25"/>
  <c r="F13" i="25"/>
  <c r="G13" i="25"/>
  <c r="H13" i="25"/>
  <c r="I13" i="25"/>
  <c r="K13" i="25" s="1"/>
  <c r="J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C14" i="25"/>
  <c r="D14" i="25"/>
  <c r="E14" i="25"/>
  <c r="F14" i="25"/>
  <c r="G14" i="25"/>
  <c r="H14" i="25"/>
  <c r="I14" i="25"/>
  <c r="J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Z14" i="25"/>
  <c r="C15" i="25"/>
  <c r="D15" i="25"/>
  <c r="E15" i="25"/>
  <c r="F15" i="25"/>
  <c r="G15" i="25"/>
  <c r="H15" i="25"/>
  <c r="I15" i="25"/>
  <c r="J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Z15" i="25"/>
  <c r="C16" i="25"/>
  <c r="D16" i="25"/>
  <c r="E16" i="25"/>
  <c r="F16" i="25"/>
  <c r="G16" i="25"/>
  <c r="H16" i="25"/>
  <c r="I16" i="25"/>
  <c r="J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Z16" i="25"/>
  <c r="C17" i="25"/>
  <c r="D17" i="25"/>
  <c r="E17" i="25"/>
  <c r="F17" i="25"/>
  <c r="G17" i="25"/>
  <c r="H17" i="25"/>
  <c r="I17" i="25"/>
  <c r="J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Z17" i="25"/>
  <c r="C18" i="25"/>
  <c r="D18" i="25"/>
  <c r="E18" i="25"/>
  <c r="F18" i="25"/>
  <c r="G18" i="25"/>
  <c r="H18" i="25"/>
  <c r="I18" i="25"/>
  <c r="J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Z18" i="25"/>
  <c r="C19" i="25"/>
  <c r="D19" i="25"/>
  <c r="E19" i="25"/>
  <c r="F19" i="25"/>
  <c r="G19" i="25"/>
  <c r="H19" i="25"/>
  <c r="I19" i="25"/>
  <c r="J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Z19" i="25"/>
  <c r="C20" i="25"/>
  <c r="D20" i="25"/>
  <c r="E20" i="25"/>
  <c r="F20" i="25"/>
  <c r="G20" i="25"/>
  <c r="H20" i="25"/>
  <c r="I20" i="25"/>
  <c r="J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C21" i="25"/>
  <c r="D21" i="25"/>
  <c r="E21" i="25"/>
  <c r="F21" i="25"/>
  <c r="G21" i="25"/>
  <c r="H21" i="25"/>
  <c r="I21" i="25"/>
  <c r="J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Z21" i="25"/>
  <c r="C22" i="25"/>
  <c r="D22" i="25"/>
  <c r="E22" i="25"/>
  <c r="F22" i="25"/>
  <c r="G22" i="25"/>
  <c r="H22" i="25"/>
  <c r="I22" i="25"/>
  <c r="J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C25" i="25"/>
  <c r="D25" i="25"/>
  <c r="E25" i="25"/>
  <c r="F25" i="25"/>
  <c r="G25" i="25"/>
  <c r="H25" i="25"/>
  <c r="I25" i="25"/>
  <c r="J25" i="25"/>
  <c r="L25" i="25"/>
  <c r="M25" i="25"/>
  <c r="N25" i="25"/>
  <c r="O25" i="25"/>
  <c r="P25" i="25"/>
  <c r="Q25" i="25"/>
  <c r="R25" i="25"/>
  <c r="S25" i="25"/>
  <c r="T25" i="25"/>
  <c r="U25" i="25"/>
  <c r="V25" i="25"/>
  <c r="W25" i="25"/>
  <c r="X25" i="25"/>
  <c r="Y25" i="25"/>
  <c r="Z25" i="25"/>
  <c r="C26" i="25"/>
  <c r="D26" i="25"/>
  <c r="E26" i="25"/>
  <c r="F26" i="25"/>
  <c r="G26" i="25"/>
  <c r="H26" i="25"/>
  <c r="I26" i="25"/>
  <c r="J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Z26" i="25"/>
  <c r="C27" i="25"/>
  <c r="D27" i="25"/>
  <c r="E27" i="25"/>
  <c r="F27" i="25"/>
  <c r="G27" i="25"/>
  <c r="H27" i="25"/>
  <c r="I27" i="25"/>
  <c r="J27" i="25"/>
  <c r="L27" i="25"/>
  <c r="M27" i="25"/>
  <c r="N27" i="25"/>
  <c r="O27" i="25"/>
  <c r="P27" i="25"/>
  <c r="Q27" i="25"/>
  <c r="R27" i="25"/>
  <c r="S27" i="25"/>
  <c r="T27" i="25"/>
  <c r="U27" i="25"/>
  <c r="V27" i="25"/>
  <c r="W27" i="25"/>
  <c r="X27" i="25"/>
  <c r="Y27" i="25"/>
  <c r="Z27" i="25"/>
  <c r="C28" i="25"/>
  <c r="D28" i="25"/>
  <c r="E28" i="25"/>
  <c r="F28" i="25"/>
  <c r="G28" i="25"/>
  <c r="H28" i="25"/>
  <c r="I28" i="25"/>
  <c r="J28" i="25"/>
  <c r="L28" i="25"/>
  <c r="M28" i="25"/>
  <c r="N28" i="25"/>
  <c r="O28" i="25"/>
  <c r="P28" i="25"/>
  <c r="Q28" i="25"/>
  <c r="R28" i="25"/>
  <c r="S28" i="25"/>
  <c r="T28" i="25"/>
  <c r="U28" i="25"/>
  <c r="V28" i="25"/>
  <c r="W28" i="25"/>
  <c r="X28" i="25"/>
  <c r="Y28" i="25"/>
  <c r="Z28" i="25"/>
  <c r="C29" i="25"/>
  <c r="D29" i="25"/>
  <c r="E29" i="25"/>
  <c r="F29" i="25"/>
  <c r="G29" i="25"/>
  <c r="H29" i="25"/>
  <c r="I29" i="25"/>
  <c r="J29" i="25"/>
  <c r="L29" i="25"/>
  <c r="M29" i="25"/>
  <c r="N29" i="25"/>
  <c r="O29" i="25"/>
  <c r="P29" i="25"/>
  <c r="Q29" i="25"/>
  <c r="R29" i="25"/>
  <c r="S29" i="25"/>
  <c r="T29" i="25"/>
  <c r="U29" i="25"/>
  <c r="V29" i="25"/>
  <c r="W29" i="25"/>
  <c r="X29" i="25"/>
  <c r="Y29" i="25"/>
  <c r="Z29" i="25"/>
  <c r="C30" i="25"/>
  <c r="D30" i="25"/>
  <c r="E30" i="25"/>
  <c r="F30" i="25"/>
  <c r="G30" i="25"/>
  <c r="H30" i="25"/>
  <c r="I30" i="25"/>
  <c r="J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Z30" i="25"/>
  <c r="C31" i="25"/>
  <c r="D31" i="25"/>
  <c r="E31" i="25"/>
  <c r="F31" i="25"/>
  <c r="G31" i="25"/>
  <c r="H31" i="25"/>
  <c r="I31" i="25"/>
  <c r="J31" i="25"/>
  <c r="L31" i="25"/>
  <c r="M31" i="25"/>
  <c r="N31" i="25"/>
  <c r="O31" i="25"/>
  <c r="P31" i="25"/>
  <c r="Q31" i="25"/>
  <c r="R31" i="25"/>
  <c r="S31" i="25"/>
  <c r="T31" i="25"/>
  <c r="U31" i="25"/>
  <c r="V31" i="25"/>
  <c r="W31" i="25"/>
  <c r="X31" i="25"/>
  <c r="Y31" i="25"/>
  <c r="Z31" i="25"/>
  <c r="C32" i="25"/>
  <c r="D32" i="25"/>
  <c r="E32" i="25"/>
  <c r="F32" i="25"/>
  <c r="G32" i="25"/>
  <c r="H32" i="25"/>
  <c r="I32" i="25"/>
  <c r="J32" i="25"/>
  <c r="L32" i="25"/>
  <c r="M32" i="25"/>
  <c r="N32" i="25"/>
  <c r="O32" i="25"/>
  <c r="P32" i="25"/>
  <c r="Q32" i="25"/>
  <c r="R32" i="25"/>
  <c r="S32" i="25"/>
  <c r="T32" i="25"/>
  <c r="U32" i="25"/>
  <c r="V32" i="25"/>
  <c r="W32" i="25"/>
  <c r="X32" i="25"/>
  <c r="Y32" i="25"/>
  <c r="Z32" i="25"/>
  <c r="C33" i="25"/>
  <c r="D33" i="25"/>
  <c r="E33" i="25"/>
  <c r="F33" i="25"/>
  <c r="G33" i="25"/>
  <c r="H33" i="25"/>
  <c r="I33" i="25"/>
  <c r="J33" i="25"/>
  <c r="L33" i="25"/>
  <c r="M33" i="25"/>
  <c r="N33" i="25"/>
  <c r="O33" i="25"/>
  <c r="P33" i="25"/>
  <c r="Q33" i="25"/>
  <c r="R33" i="25"/>
  <c r="S33" i="25"/>
  <c r="T33" i="25"/>
  <c r="U33" i="25"/>
  <c r="V33" i="25"/>
  <c r="W33" i="25"/>
  <c r="X33" i="25"/>
  <c r="Y33" i="25"/>
  <c r="Z33" i="25"/>
  <c r="C34" i="25"/>
  <c r="D34" i="25"/>
  <c r="E34" i="25"/>
  <c r="F34" i="25"/>
  <c r="G34" i="25"/>
  <c r="H34" i="25"/>
  <c r="I34" i="25"/>
  <c r="J34" i="25"/>
  <c r="L34" i="25"/>
  <c r="M34" i="25"/>
  <c r="N34" i="25"/>
  <c r="O34" i="25"/>
  <c r="P34" i="25"/>
  <c r="Q34" i="25"/>
  <c r="R34" i="25"/>
  <c r="S34" i="25"/>
  <c r="T34" i="25"/>
  <c r="U34" i="25"/>
  <c r="V34" i="25"/>
  <c r="W34" i="25"/>
  <c r="X34" i="25"/>
  <c r="Y34" i="25"/>
  <c r="Z34" i="25"/>
  <c r="C35" i="25"/>
  <c r="D35" i="25"/>
  <c r="E35" i="25"/>
  <c r="F35" i="25"/>
  <c r="G35" i="25"/>
  <c r="H35" i="25"/>
  <c r="I35" i="25"/>
  <c r="J35" i="25"/>
  <c r="L35" i="25"/>
  <c r="M35" i="25"/>
  <c r="N35" i="25"/>
  <c r="O35" i="25"/>
  <c r="P35" i="25"/>
  <c r="Q35" i="25"/>
  <c r="R35" i="25"/>
  <c r="S35" i="25"/>
  <c r="T35" i="25"/>
  <c r="U35" i="25"/>
  <c r="V35" i="25"/>
  <c r="W35" i="25"/>
  <c r="X35" i="25"/>
  <c r="Y35" i="25"/>
  <c r="Z35" i="25"/>
  <c r="C36" i="25"/>
  <c r="D36" i="25"/>
  <c r="E36" i="25"/>
  <c r="F36" i="25"/>
  <c r="G36" i="25"/>
  <c r="H36" i="25"/>
  <c r="I36" i="25"/>
  <c r="J36" i="25"/>
  <c r="L36" i="25"/>
  <c r="M36" i="25"/>
  <c r="N36" i="25"/>
  <c r="O36" i="25"/>
  <c r="P36" i="25"/>
  <c r="Q36" i="25"/>
  <c r="R36" i="25"/>
  <c r="S36" i="25"/>
  <c r="T36" i="25"/>
  <c r="U36" i="25"/>
  <c r="V36" i="25"/>
  <c r="W36" i="25"/>
  <c r="X36" i="25"/>
  <c r="Y36" i="25"/>
  <c r="Z36" i="25"/>
  <c r="C37" i="25"/>
  <c r="D37" i="25"/>
  <c r="E37" i="25"/>
  <c r="F37" i="25"/>
  <c r="G37" i="25"/>
  <c r="H37" i="25"/>
  <c r="I37" i="25"/>
  <c r="J37" i="25"/>
  <c r="L37" i="25"/>
  <c r="M37" i="25"/>
  <c r="N37" i="25"/>
  <c r="O37" i="25"/>
  <c r="P37" i="25"/>
  <c r="Q37" i="25"/>
  <c r="R37" i="25"/>
  <c r="S37" i="25"/>
  <c r="T37" i="25"/>
  <c r="U37" i="25"/>
  <c r="V37" i="25"/>
  <c r="W37" i="25"/>
  <c r="X37" i="25"/>
  <c r="Y37" i="25"/>
  <c r="Z37" i="25"/>
  <c r="C38" i="25"/>
  <c r="D38" i="25"/>
  <c r="E38" i="25"/>
  <c r="F38" i="25"/>
  <c r="G38" i="25"/>
  <c r="H38" i="25"/>
  <c r="I38" i="25"/>
  <c r="J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Z38" i="25"/>
  <c r="C39" i="25"/>
  <c r="D39" i="25"/>
  <c r="E39" i="25"/>
  <c r="F39" i="25"/>
  <c r="G39" i="25"/>
  <c r="H39" i="25"/>
  <c r="I39" i="25"/>
  <c r="K39" i="25" s="1"/>
  <c r="J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C40" i="25"/>
  <c r="D40" i="25"/>
  <c r="E40" i="25"/>
  <c r="F40" i="25"/>
  <c r="G40" i="25"/>
  <c r="H40" i="25"/>
  <c r="I40" i="25"/>
  <c r="J40" i="25"/>
  <c r="L40" i="25"/>
  <c r="M40" i="25"/>
  <c r="N40" i="25"/>
  <c r="O40" i="25"/>
  <c r="P40" i="25"/>
  <c r="Q40" i="25"/>
  <c r="R40" i="25"/>
  <c r="S40" i="25"/>
  <c r="T40" i="25"/>
  <c r="U40" i="25"/>
  <c r="V40" i="25"/>
  <c r="W40" i="25"/>
  <c r="X40" i="25"/>
  <c r="Y40" i="25"/>
  <c r="Z40" i="25"/>
  <c r="C41" i="25"/>
  <c r="D41" i="25"/>
  <c r="E41" i="25"/>
  <c r="F41" i="25"/>
  <c r="G41" i="25"/>
  <c r="H41" i="25"/>
  <c r="I41" i="25"/>
  <c r="J41" i="25"/>
  <c r="L41" i="25"/>
  <c r="M41" i="25"/>
  <c r="N41" i="25"/>
  <c r="O41" i="25"/>
  <c r="P41" i="25"/>
  <c r="Q41" i="25"/>
  <c r="R41" i="25"/>
  <c r="S41" i="25"/>
  <c r="T41" i="25"/>
  <c r="U41" i="25"/>
  <c r="V41" i="25"/>
  <c r="W41" i="25"/>
  <c r="X41" i="25"/>
  <c r="Y41" i="25"/>
  <c r="Z41" i="25"/>
  <c r="D5" i="25"/>
  <c r="E5" i="25"/>
  <c r="F5" i="25"/>
  <c r="G5" i="25"/>
  <c r="H5" i="25"/>
  <c r="I5" i="25"/>
  <c r="J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C5" i="25"/>
  <c r="K17" i="25" l="1"/>
  <c r="K21" i="25"/>
  <c r="K5" i="25"/>
  <c r="K35" i="25"/>
  <c r="K27" i="25"/>
  <c r="K31" i="25"/>
  <c r="K9" i="25"/>
  <c r="K40" i="25"/>
  <c r="K36" i="25"/>
  <c r="K32" i="25"/>
  <c r="K22" i="25"/>
  <c r="K18" i="25"/>
  <c r="K14" i="25"/>
  <c r="K6" i="25"/>
  <c r="K29" i="25"/>
  <c r="K25" i="25"/>
  <c r="K19" i="25"/>
  <c r="K15" i="25"/>
  <c r="K11" i="25"/>
  <c r="K7" i="25"/>
  <c r="K28" i="25"/>
  <c r="K10" i="25"/>
  <c r="K41" i="25"/>
  <c r="K37" i="25"/>
  <c r="K33" i="25"/>
  <c r="K34" i="25"/>
  <c r="K30" i="25"/>
  <c r="K26" i="25"/>
  <c r="K20" i="25"/>
  <c r="K16" i="25"/>
  <c r="K12" i="25"/>
  <c r="K8" i="25"/>
  <c r="AA5" i="25"/>
  <c r="AB41" i="25"/>
  <c r="AA40" i="25"/>
  <c r="AB37" i="25"/>
  <c r="AA36" i="25"/>
  <c r="AB33" i="25"/>
  <c r="AA32" i="25"/>
  <c r="AB29" i="25"/>
  <c r="AA28" i="25"/>
  <c r="AB25" i="25"/>
  <c r="AB20" i="25"/>
  <c r="AA19" i="25"/>
  <c r="AB16" i="25"/>
  <c r="AA15" i="25"/>
  <c r="AB12" i="25"/>
  <c r="AA11" i="25"/>
  <c r="AB8" i="25"/>
  <c r="AA7" i="25"/>
  <c r="AA41" i="25"/>
  <c r="AB38" i="25"/>
  <c r="AA37" i="25"/>
  <c r="AB34" i="25"/>
  <c r="AA33" i="25"/>
  <c r="AB30" i="25"/>
  <c r="AA29" i="25"/>
  <c r="AB26" i="25"/>
  <c r="AA25" i="25"/>
  <c r="AB21" i="25"/>
  <c r="AA20" i="25"/>
  <c r="AB17" i="25"/>
  <c r="AA16" i="25"/>
  <c r="AB13" i="25"/>
  <c r="AA12" i="25"/>
  <c r="AB9" i="25"/>
  <c r="AA8" i="25"/>
  <c r="AB40" i="25"/>
  <c r="AA39" i="25"/>
  <c r="AB36" i="25"/>
  <c r="AA35" i="25"/>
  <c r="AB32" i="25"/>
  <c r="AA31" i="25"/>
  <c r="AB28" i="25"/>
  <c r="AA27" i="25"/>
  <c r="AA22" i="25"/>
  <c r="AB19" i="25"/>
  <c r="AA18" i="25"/>
  <c r="AB15" i="25"/>
  <c r="AA14" i="25"/>
  <c r="AB11" i="25"/>
  <c r="AA10" i="25"/>
  <c r="AB7" i="25"/>
  <c r="AA6" i="25"/>
  <c r="AB5" i="25"/>
  <c r="AB39" i="25"/>
  <c r="AA38" i="25"/>
  <c r="AB35" i="25"/>
  <c r="AA34" i="25"/>
  <c r="AB31" i="25"/>
  <c r="AA30" i="25"/>
  <c r="AB27" i="25"/>
  <c r="AA26" i="25"/>
  <c r="AB22" i="25"/>
  <c r="AA21" i="25"/>
  <c r="AB18" i="25"/>
  <c r="AA17" i="25"/>
  <c r="AB14" i="25"/>
  <c r="AA13" i="25"/>
  <c r="AB10" i="25"/>
  <c r="AA9" i="25"/>
  <c r="AB6" i="25"/>
  <c r="AC11" i="25" l="1"/>
  <c r="AC28" i="25"/>
  <c r="AC12" i="25"/>
  <c r="AC29" i="25"/>
  <c r="AC14" i="25"/>
  <c r="AC31" i="25"/>
  <c r="AC5" i="25"/>
  <c r="AC21" i="25"/>
  <c r="AC38" i="25"/>
  <c r="AC7" i="25"/>
  <c r="AC40" i="25"/>
  <c r="AC8" i="25"/>
  <c r="AC25" i="25"/>
  <c r="AC41" i="25"/>
  <c r="AC10" i="25"/>
  <c r="AC27" i="25"/>
  <c r="AC19" i="25"/>
  <c r="AC36" i="25"/>
  <c r="AC20" i="25"/>
  <c r="AC37" i="25"/>
  <c r="AC6" i="25"/>
  <c r="AC22" i="25"/>
  <c r="AC39" i="25"/>
  <c r="AC13" i="25"/>
  <c r="AC30" i="25"/>
  <c r="AC17" i="25"/>
  <c r="AC34" i="25"/>
  <c r="AC15" i="25"/>
  <c r="AC32" i="25"/>
  <c r="AC16" i="25"/>
  <c r="AC33" i="25"/>
  <c r="AC18" i="25"/>
  <c r="AC35" i="25"/>
  <c r="AC9" i="25"/>
  <c r="AC26" i="25"/>
  <c r="R42" i="99" l="1"/>
  <c r="Q42" i="99"/>
  <c r="P42" i="99"/>
  <c r="O42" i="99"/>
  <c r="N42" i="99"/>
  <c r="M42" i="99"/>
  <c r="K42" i="99"/>
  <c r="J42" i="99"/>
  <c r="I42" i="99"/>
  <c r="H42" i="99"/>
  <c r="F42" i="99"/>
  <c r="E42" i="99"/>
  <c r="D42" i="99"/>
  <c r="C42" i="99"/>
  <c r="T41" i="99"/>
  <c r="S41" i="99"/>
  <c r="L41" i="99"/>
  <c r="G41" i="99"/>
  <c r="G41" i="126" s="1"/>
  <c r="T40" i="99"/>
  <c r="S40" i="99"/>
  <c r="L40" i="99"/>
  <c r="G40" i="99"/>
  <c r="G40" i="126" s="1"/>
  <c r="T39" i="99"/>
  <c r="S39" i="99"/>
  <c r="L39" i="99"/>
  <c r="G39" i="99"/>
  <c r="G39" i="126" s="1"/>
  <c r="T38" i="99"/>
  <c r="S38" i="99"/>
  <c r="L38" i="99"/>
  <c r="G38" i="99"/>
  <c r="G38" i="126" s="1"/>
  <c r="T37" i="99"/>
  <c r="S37" i="99"/>
  <c r="L37" i="99"/>
  <c r="G37" i="99"/>
  <c r="G37" i="126" s="1"/>
  <c r="T36" i="99"/>
  <c r="S36" i="99"/>
  <c r="L36" i="99"/>
  <c r="G36" i="99"/>
  <c r="G36" i="126" s="1"/>
  <c r="T35" i="99"/>
  <c r="S35" i="99"/>
  <c r="L35" i="99"/>
  <c r="G35" i="99"/>
  <c r="G35" i="126" s="1"/>
  <c r="T34" i="99"/>
  <c r="S34" i="99"/>
  <c r="L34" i="99"/>
  <c r="G34" i="99"/>
  <c r="G34" i="126" s="1"/>
  <c r="T33" i="99"/>
  <c r="S33" i="99"/>
  <c r="L33" i="99"/>
  <c r="G33" i="99"/>
  <c r="G33" i="126" s="1"/>
  <c r="T32" i="99"/>
  <c r="S32" i="99"/>
  <c r="L32" i="99"/>
  <c r="G32" i="99"/>
  <c r="G32" i="126" s="1"/>
  <c r="T31" i="99"/>
  <c r="S31" i="99"/>
  <c r="L31" i="99"/>
  <c r="G31" i="99"/>
  <c r="G31" i="126" s="1"/>
  <c r="T30" i="99"/>
  <c r="S30" i="99"/>
  <c r="L30" i="99"/>
  <c r="G30" i="99"/>
  <c r="G30" i="126" s="1"/>
  <c r="T29" i="99"/>
  <c r="S29" i="99"/>
  <c r="L29" i="99"/>
  <c r="G29" i="99"/>
  <c r="G29" i="126" s="1"/>
  <c r="T28" i="99"/>
  <c r="S28" i="99"/>
  <c r="L28" i="99"/>
  <c r="G28" i="99"/>
  <c r="G28" i="126" s="1"/>
  <c r="T27" i="99"/>
  <c r="S27" i="99"/>
  <c r="L27" i="99"/>
  <c r="G27" i="99"/>
  <c r="G27" i="126" s="1"/>
  <c r="T26" i="99"/>
  <c r="S26" i="99"/>
  <c r="L26" i="99"/>
  <c r="G26" i="99"/>
  <c r="G26" i="126" s="1"/>
  <c r="T25" i="99"/>
  <c r="S25" i="99"/>
  <c r="L25" i="99"/>
  <c r="G25" i="99"/>
  <c r="G25" i="126" s="1"/>
  <c r="T24" i="99"/>
  <c r="S24" i="99"/>
  <c r="T22" i="99"/>
  <c r="S22" i="99"/>
  <c r="L22" i="99"/>
  <c r="G22" i="99"/>
  <c r="G22" i="126" s="1"/>
  <c r="T21" i="99"/>
  <c r="S21" i="99"/>
  <c r="L21" i="99"/>
  <c r="G21" i="99"/>
  <c r="G21" i="126" s="1"/>
  <c r="T20" i="99"/>
  <c r="S20" i="99"/>
  <c r="L20" i="99"/>
  <c r="G20" i="99"/>
  <c r="G20" i="126" s="1"/>
  <c r="T19" i="99"/>
  <c r="S19" i="99"/>
  <c r="L19" i="99"/>
  <c r="G19" i="99"/>
  <c r="G19" i="126" s="1"/>
  <c r="T18" i="99"/>
  <c r="S18" i="99"/>
  <c r="L18" i="99"/>
  <c r="G18" i="99"/>
  <c r="G18" i="126" s="1"/>
  <c r="T17" i="99"/>
  <c r="S17" i="99"/>
  <c r="L17" i="99"/>
  <c r="G17" i="99"/>
  <c r="G17" i="126" s="1"/>
  <c r="T16" i="99"/>
  <c r="S16" i="99"/>
  <c r="L16" i="99"/>
  <c r="G16" i="99"/>
  <c r="G16" i="126" s="1"/>
  <c r="T15" i="99"/>
  <c r="S15" i="99"/>
  <c r="L15" i="99"/>
  <c r="G15" i="99"/>
  <c r="G15" i="126" s="1"/>
  <c r="T14" i="99"/>
  <c r="S14" i="99"/>
  <c r="L14" i="99"/>
  <c r="G14" i="99"/>
  <c r="G14" i="126" s="1"/>
  <c r="T13" i="99"/>
  <c r="S13" i="99"/>
  <c r="L13" i="99"/>
  <c r="G13" i="99"/>
  <c r="G13" i="126" s="1"/>
  <c r="T12" i="99"/>
  <c r="S12" i="99"/>
  <c r="L12" i="99"/>
  <c r="G12" i="99"/>
  <c r="G12" i="126" s="1"/>
  <c r="T11" i="99"/>
  <c r="S11" i="99"/>
  <c r="L11" i="99"/>
  <c r="G11" i="99"/>
  <c r="G11" i="126" s="1"/>
  <c r="T10" i="99"/>
  <c r="S10" i="99"/>
  <c r="L10" i="99"/>
  <c r="G10" i="99"/>
  <c r="G10" i="126" s="1"/>
  <c r="T9" i="99"/>
  <c r="S9" i="99"/>
  <c r="L9" i="99"/>
  <c r="G9" i="99"/>
  <c r="G9" i="126" s="1"/>
  <c r="T8" i="99"/>
  <c r="S8" i="99"/>
  <c r="L8" i="99"/>
  <c r="G8" i="99"/>
  <c r="G8" i="126" s="1"/>
  <c r="T7" i="99"/>
  <c r="S7" i="99"/>
  <c r="L7" i="99"/>
  <c r="G7" i="99"/>
  <c r="G7" i="126" s="1"/>
  <c r="T6" i="99"/>
  <c r="S6" i="99"/>
  <c r="L6" i="99"/>
  <c r="G6" i="99"/>
  <c r="G6" i="126" s="1"/>
  <c r="T5" i="99"/>
  <c r="S5" i="99"/>
  <c r="L5" i="99"/>
  <c r="G5" i="99"/>
  <c r="G5" i="126" s="1"/>
  <c r="AH41" i="98"/>
  <c r="AG41" i="98"/>
  <c r="AF41" i="98"/>
  <c r="AE41" i="98"/>
  <c r="AD41" i="98"/>
  <c r="AC41" i="98"/>
  <c r="AB41" i="98"/>
  <c r="AA41" i="98"/>
  <c r="Z41" i="98"/>
  <c r="Y41" i="98"/>
  <c r="X41" i="98"/>
  <c r="W41" i="98"/>
  <c r="V41" i="98"/>
  <c r="U41" i="98"/>
  <c r="T41" i="98"/>
  <c r="S41" i="98"/>
  <c r="R41" i="98"/>
  <c r="Q41" i="98"/>
  <c r="P41" i="98"/>
  <c r="O41" i="98"/>
  <c r="N41" i="98"/>
  <c r="M41" i="98"/>
  <c r="L41" i="98"/>
  <c r="K41" i="98"/>
  <c r="J41" i="98"/>
  <c r="I41" i="98"/>
  <c r="H41" i="98"/>
  <c r="G41" i="98"/>
  <c r="F41" i="98"/>
  <c r="E41" i="98"/>
  <c r="D41" i="98"/>
  <c r="C41" i="98"/>
  <c r="X1" i="98"/>
  <c r="N1" i="98"/>
  <c r="H13" i="126" l="1"/>
  <c r="M13" i="126"/>
  <c r="N13" i="126" s="1"/>
  <c r="M15" i="126"/>
  <c r="H15" i="126"/>
  <c r="H16" i="126"/>
  <c r="M16" i="126"/>
  <c r="H17" i="126"/>
  <c r="M17" i="126"/>
  <c r="M18" i="126"/>
  <c r="H18" i="126"/>
  <c r="M19" i="126"/>
  <c r="H19" i="126"/>
  <c r="H20" i="126"/>
  <c r="M20" i="126"/>
  <c r="H21" i="126"/>
  <c r="M21" i="126"/>
  <c r="M22" i="126"/>
  <c r="H22" i="126"/>
  <c r="M6" i="126"/>
  <c r="H6" i="126"/>
  <c r="H8" i="126"/>
  <c r="M8" i="126"/>
  <c r="M10" i="126"/>
  <c r="H10" i="126"/>
  <c r="H12" i="126"/>
  <c r="M12" i="126"/>
  <c r="N12" i="126" s="1"/>
  <c r="M25" i="126"/>
  <c r="H25" i="126"/>
  <c r="H27" i="126"/>
  <c r="M27" i="126"/>
  <c r="H29" i="126"/>
  <c r="M29" i="126"/>
  <c r="M31" i="126"/>
  <c r="H31" i="126"/>
  <c r="M33" i="126"/>
  <c r="H33" i="126"/>
  <c r="H34" i="126"/>
  <c r="M34" i="126"/>
  <c r="M36" i="126"/>
  <c r="H36" i="126"/>
  <c r="H39" i="126"/>
  <c r="M39" i="126"/>
  <c r="M41" i="126"/>
  <c r="H41" i="126"/>
  <c r="M5" i="126"/>
  <c r="N5" i="126" s="1"/>
  <c r="H5" i="126"/>
  <c r="G42" i="126"/>
  <c r="M7" i="126"/>
  <c r="H7" i="126"/>
  <c r="H9" i="126"/>
  <c r="M9" i="126"/>
  <c r="M11" i="126"/>
  <c r="H11" i="126"/>
  <c r="M14" i="126"/>
  <c r="H14" i="126"/>
  <c r="H26" i="126"/>
  <c r="M26" i="126"/>
  <c r="M28" i="126"/>
  <c r="H28" i="126"/>
  <c r="H30" i="126"/>
  <c r="M30" i="126"/>
  <c r="M32" i="126"/>
  <c r="H32" i="126"/>
  <c r="H35" i="126"/>
  <c r="M35" i="126"/>
  <c r="H37" i="126"/>
  <c r="M37" i="126"/>
  <c r="H38" i="126"/>
  <c r="M38" i="126"/>
  <c r="M40" i="126"/>
  <c r="H40" i="126"/>
  <c r="T42" i="99"/>
  <c r="S42" i="99"/>
  <c r="L42" i="99"/>
  <c r="G42" i="99"/>
  <c r="C42" i="97"/>
  <c r="D42" i="97"/>
  <c r="E42" i="97"/>
  <c r="F42" i="97"/>
  <c r="G42" i="97"/>
  <c r="H42" i="97"/>
  <c r="I42" i="97"/>
  <c r="J42" i="97"/>
  <c r="K42" i="97"/>
  <c r="L42" i="97"/>
  <c r="M42" i="97"/>
  <c r="N42" i="97"/>
  <c r="O42" i="97"/>
  <c r="P42" i="97"/>
  <c r="Q42" i="97"/>
  <c r="R42" i="97"/>
  <c r="S42" i="97"/>
  <c r="T42" i="97"/>
  <c r="U42" i="97"/>
  <c r="V42" i="97"/>
  <c r="W42" i="97"/>
  <c r="Q42" i="96"/>
  <c r="P42" i="96"/>
  <c r="O42" i="96"/>
  <c r="N42" i="96"/>
  <c r="M42" i="96"/>
  <c r="L42" i="96"/>
  <c r="J42" i="96"/>
  <c r="I42" i="96"/>
  <c r="G42" i="96"/>
  <c r="C42" i="96"/>
  <c r="H42" i="126" l="1"/>
  <c r="M42" i="126"/>
  <c r="F42" i="96"/>
  <c r="E42" i="96"/>
  <c r="H42" i="96"/>
  <c r="K42" i="96"/>
  <c r="D42" i="96"/>
  <c r="I1" i="80" l="1"/>
  <c r="I1" i="79"/>
  <c r="Y42" i="72" l="1"/>
  <c r="U42" i="72"/>
  <c r="S42" i="72"/>
  <c r="O42" i="72"/>
  <c r="M42" i="72"/>
  <c r="I42" i="72"/>
  <c r="G42" i="72"/>
  <c r="C42" i="72"/>
  <c r="U1" i="72"/>
  <c r="D42" i="72" l="1"/>
  <c r="H42" i="72"/>
  <c r="P42" i="72"/>
  <c r="W42" i="72"/>
  <c r="L42" i="72"/>
  <c r="X42" i="72"/>
  <c r="E42" i="72"/>
  <c r="F42" i="72"/>
  <c r="J42" i="72"/>
  <c r="R42" i="72"/>
  <c r="V42" i="72"/>
  <c r="Z42" i="72"/>
  <c r="K42" i="72"/>
  <c r="AS43" i="17"/>
  <c r="AA43" i="17"/>
  <c r="O43" i="17"/>
  <c r="AW43" i="17"/>
  <c r="AV43" i="17"/>
  <c r="AU43" i="17"/>
  <c r="AT43" i="17"/>
  <c r="AE43" i="17"/>
  <c r="AD43" i="17"/>
  <c r="AC43" i="17"/>
  <c r="AB43" i="17"/>
  <c r="V43" i="17"/>
  <c r="Z43" i="17" s="1"/>
  <c r="J43" i="17"/>
  <c r="K43" i="17"/>
  <c r="L43" i="17"/>
  <c r="M43" i="17"/>
  <c r="I43" i="17"/>
  <c r="E43" i="17"/>
  <c r="F43" i="17"/>
  <c r="G43" i="17"/>
  <c r="D43" i="17"/>
  <c r="C43" i="17"/>
  <c r="AF43" i="17" l="1"/>
  <c r="AX43" i="17"/>
  <c r="N43" i="17"/>
  <c r="H43" i="17"/>
  <c r="AB42" i="72"/>
  <c r="N42" i="72"/>
  <c r="T42" i="72"/>
  <c r="AA42" i="72"/>
  <c r="AC42" i="72"/>
  <c r="Q42" i="72"/>
  <c r="U43" i="17"/>
  <c r="M1" i="69" l="1"/>
  <c r="X1" i="69" s="1"/>
  <c r="D42" i="16" l="1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C42" i="16"/>
  <c r="C42" i="68" l="1"/>
  <c r="D42" i="68" l="1"/>
  <c r="E42" i="68" l="1"/>
  <c r="F42" i="68" l="1"/>
  <c r="G42" i="68" l="1"/>
  <c r="H42" i="68" l="1"/>
  <c r="I42" i="68" l="1"/>
  <c r="K42" i="68" l="1"/>
  <c r="J42" i="68"/>
  <c r="Y42" i="63" l="1"/>
  <c r="X42" i="63"/>
  <c r="Z42" i="63" l="1"/>
  <c r="A17" i="67" l="1"/>
  <c r="O16" i="67" l="1"/>
  <c r="B16" i="67"/>
  <c r="L16" i="67"/>
  <c r="K16" i="67"/>
  <c r="U16" i="67"/>
  <c r="H16" i="67"/>
  <c r="F16" i="67"/>
  <c r="R16" i="67"/>
  <c r="Q16" i="67"/>
  <c r="C16" i="67"/>
  <c r="N16" i="67"/>
  <c r="T16" i="67"/>
  <c r="I16" i="67"/>
  <c r="E16" i="67"/>
  <c r="V16" i="67"/>
  <c r="B20" i="66"/>
  <c r="U16" i="66"/>
  <c r="N16" i="66"/>
  <c r="I16" i="66"/>
  <c r="R16" i="66"/>
  <c r="B16" i="66"/>
  <c r="F16" i="66"/>
  <c r="Q16" i="66"/>
  <c r="O16" i="66"/>
  <c r="C16" i="66"/>
  <c r="W16" i="66"/>
  <c r="L16" i="66"/>
  <c r="X16" i="66"/>
  <c r="E16" i="66"/>
  <c r="K16" i="66"/>
  <c r="H16" i="66"/>
  <c r="T16" i="66"/>
  <c r="H21" i="67" l="1"/>
  <c r="K21" i="67"/>
  <c r="Q21" i="67"/>
  <c r="F21" i="67"/>
  <c r="G16" i="67"/>
  <c r="L21" i="67"/>
  <c r="U21" i="67"/>
  <c r="S16" i="67"/>
  <c r="N21" i="67"/>
  <c r="T21" i="67"/>
  <c r="I21" i="67"/>
  <c r="P16" i="67"/>
  <c r="R21" i="67"/>
  <c r="E21" i="67"/>
  <c r="J16" i="67"/>
  <c r="O21" i="67"/>
  <c r="M16" i="66"/>
  <c r="M16" i="67"/>
  <c r="V16" i="66"/>
  <c r="G16" i="66"/>
  <c r="D16" i="66"/>
  <c r="P16" i="66"/>
  <c r="D16" i="67"/>
  <c r="Y16" i="66"/>
  <c r="AA16" i="66"/>
  <c r="Z16" i="66"/>
  <c r="S16" i="66"/>
  <c r="J16" i="66"/>
  <c r="AE6" i="66" l="1"/>
  <c r="AE10" i="66"/>
  <c r="AE14" i="66"/>
  <c r="AE5" i="66"/>
  <c r="AE7" i="66"/>
  <c r="AE11" i="66"/>
  <c r="AE15" i="66"/>
  <c r="AE13" i="66"/>
  <c r="AE8" i="66"/>
  <c r="AE12" i="66"/>
  <c r="AE16" i="66"/>
  <c r="AE9" i="66"/>
  <c r="B21" i="67"/>
  <c r="C21" i="67"/>
  <c r="AD19" i="66"/>
  <c r="AD18" i="66"/>
  <c r="AD6" i="66"/>
  <c r="AD13" i="66"/>
  <c r="AD7" i="66"/>
  <c r="AD14" i="66"/>
  <c r="J21" i="67"/>
  <c r="V21" i="67"/>
  <c r="M21" i="67"/>
  <c r="G21" i="67"/>
  <c r="S21" i="67"/>
  <c r="P21" i="67"/>
  <c r="AD11" i="66"/>
  <c r="AD12" i="66"/>
  <c r="AD9" i="66"/>
  <c r="AB16" i="66"/>
  <c r="AD15" i="66"/>
  <c r="AD8" i="66"/>
  <c r="AD10" i="66"/>
  <c r="AC6" i="66" l="1"/>
  <c r="AC16" i="66"/>
  <c r="D21" i="67"/>
  <c r="AC20" i="66"/>
  <c r="AD20" i="66"/>
  <c r="AD16" i="66"/>
  <c r="AD5" i="66"/>
  <c r="O1" i="63" l="1"/>
  <c r="AA1" i="63" s="1"/>
  <c r="D42" i="61" l="1"/>
  <c r="C42" i="61" l="1"/>
  <c r="I37" i="55" l="1"/>
  <c r="F37" i="55"/>
  <c r="K37" i="55" l="1"/>
  <c r="H37" i="55"/>
  <c r="J37" i="55"/>
  <c r="E37" i="55"/>
  <c r="D37" i="55"/>
  <c r="L37" i="55"/>
  <c r="G37" i="55"/>
  <c r="N36" i="55"/>
  <c r="C41" i="126" s="1"/>
  <c r="M37" i="55"/>
  <c r="N6" i="55"/>
  <c r="C8" i="126" s="1"/>
  <c r="N31" i="55"/>
  <c r="C36" i="126" s="1"/>
  <c r="C37" i="55"/>
  <c r="N5" i="55"/>
  <c r="C7" i="126" s="1"/>
  <c r="N7" i="55"/>
  <c r="C9" i="126" s="1"/>
  <c r="N9" i="55"/>
  <c r="C11" i="126" s="1"/>
  <c r="N11" i="55"/>
  <c r="C15" i="126" s="1"/>
  <c r="N13" i="55"/>
  <c r="C17" i="126" s="1"/>
  <c r="N15" i="55"/>
  <c r="C19" i="126" s="1"/>
  <c r="N17" i="55"/>
  <c r="C21" i="126" s="1"/>
  <c r="N20" i="55"/>
  <c r="C25" i="126" s="1"/>
  <c r="N22" i="55"/>
  <c r="C27" i="126" s="1"/>
  <c r="N24" i="55"/>
  <c r="C29" i="126" s="1"/>
  <c r="N26" i="55"/>
  <c r="C31" i="126" s="1"/>
  <c r="N28" i="55"/>
  <c r="C33" i="126" s="1"/>
  <c r="N30" i="55"/>
  <c r="C35" i="126" s="1"/>
  <c r="N32" i="55"/>
  <c r="C37" i="126" s="1"/>
  <c r="N34" i="55"/>
  <c r="C39" i="126" s="1"/>
  <c r="N14" i="55"/>
  <c r="C18" i="126" s="1"/>
  <c r="N23" i="55"/>
  <c r="C28" i="126" s="1"/>
  <c r="N8" i="55"/>
  <c r="C10" i="126" s="1"/>
  <c r="N10" i="55"/>
  <c r="C14" i="126" s="1"/>
  <c r="N12" i="55"/>
  <c r="C16" i="126" s="1"/>
  <c r="N16" i="55"/>
  <c r="C20" i="126" s="1"/>
  <c r="N18" i="55"/>
  <c r="C22" i="126" s="1"/>
  <c r="N21" i="55"/>
  <c r="C26" i="126" s="1"/>
  <c r="N25" i="55"/>
  <c r="C30" i="126" s="1"/>
  <c r="N27" i="55"/>
  <c r="C32" i="126" s="1"/>
  <c r="N29" i="55"/>
  <c r="C34" i="126" s="1"/>
  <c r="N33" i="55"/>
  <c r="C38" i="126" s="1"/>
  <c r="N35" i="55"/>
  <c r="C40" i="126" s="1"/>
  <c r="N4" i="55"/>
  <c r="C6" i="126" s="1"/>
  <c r="L40" i="126" l="1"/>
  <c r="N40" i="126" s="1"/>
  <c r="E40" i="126"/>
  <c r="E30" i="126"/>
  <c r="L30" i="126"/>
  <c r="N30" i="126" s="1"/>
  <c r="E16" i="126"/>
  <c r="L16" i="126"/>
  <c r="N16" i="126" s="1"/>
  <c r="E18" i="126"/>
  <c r="L18" i="126"/>
  <c r="N18" i="126" s="1"/>
  <c r="E33" i="126"/>
  <c r="L33" i="126"/>
  <c r="N33" i="126" s="1"/>
  <c r="E25" i="126"/>
  <c r="L25" i="126"/>
  <c r="N25" i="126" s="1"/>
  <c r="E15" i="126"/>
  <c r="L15" i="126"/>
  <c r="N15" i="126" s="1"/>
  <c r="E41" i="126"/>
  <c r="L41" i="126"/>
  <c r="N41" i="126" s="1"/>
  <c r="L38" i="126"/>
  <c r="N38" i="126" s="1"/>
  <c r="E38" i="126"/>
  <c r="E26" i="126"/>
  <c r="L26" i="126"/>
  <c r="N26" i="126" s="1"/>
  <c r="E14" i="126"/>
  <c r="L14" i="126"/>
  <c r="N14" i="126" s="1"/>
  <c r="L39" i="126"/>
  <c r="N39" i="126" s="1"/>
  <c r="E39" i="126"/>
  <c r="E31" i="126"/>
  <c r="L31" i="126"/>
  <c r="N31" i="126" s="1"/>
  <c r="E21" i="126"/>
  <c r="L21" i="126"/>
  <c r="N21" i="126" s="1"/>
  <c r="E11" i="126"/>
  <c r="L11" i="126"/>
  <c r="N11" i="126" s="1"/>
  <c r="L36" i="126"/>
  <c r="N36" i="126" s="1"/>
  <c r="E36" i="126"/>
  <c r="E34" i="126"/>
  <c r="L34" i="126"/>
  <c r="N34" i="126" s="1"/>
  <c r="E22" i="126"/>
  <c r="L22" i="126"/>
  <c r="N22" i="126" s="1"/>
  <c r="E10" i="126"/>
  <c r="L10" i="126"/>
  <c r="N10" i="126" s="1"/>
  <c r="E37" i="126"/>
  <c r="L37" i="126"/>
  <c r="N37" i="126" s="1"/>
  <c r="E29" i="126"/>
  <c r="L29" i="126"/>
  <c r="N29" i="126" s="1"/>
  <c r="E19" i="126"/>
  <c r="L19" i="126"/>
  <c r="N19" i="126" s="1"/>
  <c r="E9" i="126"/>
  <c r="L9" i="126"/>
  <c r="N9" i="126" s="1"/>
  <c r="E8" i="126"/>
  <c r="L8" i="126"/>
  <c r="N8" i="126" s="1"/>
  <c r="L6" i="126"/>
  <c r="N6" i="126" s="1"/>
  <c r="E6" i="126"/>
  <c r="C42" i="126"/>
  <c r="E32" i="126"/>
  <c r="L32" i="126"/>
  <c r="N32" i="126" s="1"/>
  <c r="E20" i="126"/>
  <c r="L20" i="126"/>
  <c r="N20" i="126" s="1"/>
  <c r="E28" i="126"/>
  <c r="L28" i="126"/>
  <c r="N28" i="126" s="1"/>
  <c r="L35" i="126"/>
  <c r="N35" i="126" s="1"/>
  <c r="E35" i="126"/>
  <c r="E27" i="126"/>
  <c r="L27" i="126"/>
  <c r="N27" i="126" s="1"/>
  <c r="E17" i="126"/>
  <c r="L17" i="126"/>
  <c r="N17" i="126" s="1"/>
  <c r="E7" i="126"/>
  <c r="L7" i="126"/>
  <c r="N7" i="126" s="1"/>
  <c r="N37" i="55"/>
  <c r="E42" i="126" l="1"/>
  <c r="L42" i="126"/>
  <c r="N42" i="126" s="1"/>
  <c r="G40" i="53"/>
  <c r="G39" i="53"/>
  <c r="G38" i="53"/>
  <c r="G37" i="53"/>
  <c r="G35" i="53"/>
  <c r="G34" i="53"/>
  <c r="G33" i="53"/>
  <c r="G32" i="53"/>
  <c r="G31" i="53"/>
  <c r="G30" i="53"/>
  <c r="G29" i="53"/>
  <c r="G28" i="53"/>
  <c r="G27" i="53"/>
  <c r="G26" i="53"/>
  <c r="G25" i="53"/>
  <c r="G24" i="53"/>
  <c r="G23" i="53"/>
  <c r="G21" i="53"/>
  <c r="G20" i="53"/>
  <c r="G19" i="53"/>
  <c r="G18" i="53"/>
  <c r="G17" i="53"/>
  <c r="G16" i="53"/>
  <c r="G15" i="53"/>
  <c r="G14" i="53"/>
  <c r="G13" i="53"/>
  <c r="G12" i="53"/>
  <c r="G11" i="53"/>
  <c r="G10" i="53"/>
  <c r="G9" i="53"/>
  <c r="G8" i="53"/>
  <c r="G7" i="53"/>
  <c r="G6" i="53"/>
  <c r="G5" i="53"/>
  <c r="G4" i="53"/>
  <c r="G41" i="53" l="1"/>
  <c r="D34" i="34" l="1"/>
  <c r="D7" i="34"/>
  <c r="D29" i="34"/>
  <c r="D15" i="34"/>
  <c r="D5" i="34"/>
  <c r="D31" i="34"/>
  <c r="D19" i="34"/>
  <c r="D35" i="34"/>
  <c r="D36" i="34"/>
  <c r="D20" i="34"/>
  <c r="D28" i="34"/>
  <c r="D12" i="34"/>
  <c r="D18" i="34"/>
  <c r="D23" i="34"/>
  <c r="D21" i="34"/>
  <c r="D14" i="34"/>
  <c r="D11" i="34"/>
  <c r="D16" i="34"/>
  <c r="D37" i="34"/>
  <c r="D8" i="34"/>
  <c r="D4" i="34"/>
  <c r="D26" i="34"/>
  <c r="D25" i="34"/>
  <c r="D32" i="34"/>
  <c r="D27" i="34"/>
  <c r="D13" i="34"/>
  <c r="D30" i="34"/>
  <c r="D17" i="34"/>
  <c r="D9" i="34"/>
  <c r="D33" i="34"/>
  <c r="D10" i="34"/>
  <c r="D24" i="34"/>
  <c r="D3" i="34"/>
  <c r="D22" i="34"/>
  <c r="D6" i="34"/>
  <c r="G23" i="9" l="1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5" i="9"/>
  <c r="U1" i="25" l="1"/>
  <c r="L1" i="25"/>
  <c r="O1" i="17" l="1"/>
  <c r="AA1" i="17" s="1"/>
  <c r="AM1" i="17" s="1"/>
  <c r="D40" i="11"/>
  <c r="C40" i="11"/>
  <c r="B40" i="11"/>
  <c r="J37" i="11"/>
  <c r="H37" i="11"/>
  <c r="G37" i="11"/>
  <c r="E37" i="11"/>
  <c r="C37" i="11"/>
  <c r="B37" i="11"/>
  <c r="I36" i="11"/>
  <c r="K36" i="11" s="1"/>
  <c r="D36" i="11"/>
  <c r="F36" i="11" s="1"/>
  <c r="M36" i="11" s="1"/>
  <c r="I35" i="11"/>
  <c r="K35" i="11" s="1"/>
  <c r="D35" i="11"/>
  <c r="F35" i="11" s="1"/>
  <c r="M35" i="11" s="1"/>
  <c r="I34" i="11"/>
  <c r="K34" i="11" s="1"/>
  <c r="D34" i="11"/>
  <c r="F34" i="11" s="1"/>
  <c r="M34" i="11" s="1"/>
  <c r="I33" i="11"/>
  <c r="K33" i="11" s="1"/>
  <c r="D33" i="11"/>
  <c r="F33" i="11" s="1"/>
  <c r="M33" i="11" s="1"/>
  <c r="I32" i="11"/>
  <c r="K32" i="11" s="1"/>
  <c r="D32" i="11"/>
  <c r="F32" i="11" s="1"/>
  <c r="M32" i="11" s="1"/>
  <c r="I31" i="11"/>
  <c r="K31" i="11" s="1"/>
  <c r="D31" i="11"/>
  <c r="F31" i="11" s="1"/>
  <c r="M31" i="11" s="1"/>
  <c r="I30" i="11"/>
  <c r="K30" i="11" s="1"/>
  <c r="D30" i="11"/>
  <c r="F30" i="11" s="1"/>
  <c r="M30" i="11" s="1"/>
  <c r="I29" i="11"/>
  <c r="K29" i="11" s="1"/>
  <c r="D29" i="11"/>
  <c r="F29" i="11" s="1"/>
  <c r="M29" i="11" s="1"/>
  <c r="I28" i="11"/>
  <c r="K28" i="11" s="1"/>
  <c r="D28" i="11"/>
  <c r="F28" i="11" s="1"/>
  <c r="M28" i="11" s="1"/>
  <c r="I27" i="11"/>
  <c r="K27" i="11" s="1"/>
  <c r="D27" i="11"/>
  <c r="F27" i="11" s="1"/>
  <c r="M27" i="11" s="1"/>
  <c r="I26" i="11"/>
  <c r="K26" i="11" s="1"/>
  <c r="D26" i="11"/>
  <c r="F26" i="11" s="1"/>
  <c r="M26" i="11" s="1"/>
  <c r="I25" i="11"/>
  <c r="K25" i="11" s="1"/>
  <c r="D25" i="11"/>
  <c r="F25" i="11" s="1"/>
  <c r="M25" i="11" s="1"/>
  <c r="I24" i="11"/>
  <c r="K24" i="11" s="1"/>
  <c r="D24" i="11"/>
  <c r="F24" i="11" s="1"/>
  <c r="M24" i="11" s="1"/>
  <c r="I23" i="11"/>
  <c r="K23" i="11" s="1"/>
  <c r="D23" i="11"/>
  <c r="F23" i="11" s="1"/>
  <c r="M23" i="11" s="1"/>
  <c r="I22" i="11"/>
  <c r="K22" i="11" s="1"/>
  <c r="D22" i="11"/>
  <c r="F22" i="11" s="1"/>
  <c r="M22" i="11" s="1"/>
  <c r="I21" i="11"/>
  <c r="K21" i="11" s="1"/>
  <c r="D21" i="11"/>
  <c r="F21" i="11" s="1"/>
  <c r="M21" i="11" s="1"/>
  <c r="I20" i="11"/>
  <c r="K20" i="11" s="1"/>
  <c r="D20" i="11"/>
  <c r="F20" i="11" s="1"/>
  <c r="M20" i="11" s="1"/>
  <c r="I19" i="11"/>
  <c r="K19" i="11" s="1"/>
  <c r="D19" i="11"/>
  <c r="F19" i="11" s="1"/>
  <c r="M19" i="11" s="1"/>
  <c r="I18" i="11"/>
  <c r="K18" i="11" s="1"/>
  <c r="D18" i="11"/>
  <c r="F18" i="11" s="1"/>
  <c r="M18" i="11" s="1"/>
  <c r="I17" i="11"/>
  <c r="K17" i="11" s="1"/>
  <c r="D17" i="11"/>
  <c r="F17" i="11" s="1"/>
  <c r="M17" i="11" s="1"/>
  <c r="I16" i="11"/>
  <c r="K16" i="11" s="1"/>
  <c r="D16" i="11"/>
  <c r="F16" i="11" s="1"/>
  <c r="M16" i="11" s="1"/>
  <c r="I15" i="11"/>
  <c r="K15" i="11" s="1"/>
  <c r="D15" i="11"/>
  <c r="F15" i="11" s="1"/>
  <c r="M15" i="11" s="1"/>
  <c r="I14" i="11"/>
  <c r="K14" i="11" s="1"/>
  <c r="D14" i="11"/>
  <c r="F14" i="11" s="1"/>
  <c r="M14" i="11" s="1"/>
  <c r="I13" i="11"/>
  <c r="K13" i="11" s="1"/>
  <c r="D13" i="11"/>
  <c r="F13" i="11" s="1"/>
  <c r="M13" i="11" s="1"/>
  <c r="I12" i="11"/>
  <c r="K12" i="11" s="1"/>
  <c r="D12" i="11"/>
  <c r="F12" i="11" s="1"/>
  <c r="M12" i="11" s="1"/>
  <c r="I11" i="11"/>
  <c r="K11" i="11" s="1"/>
  <c r="D11" i="11"/>
  <c r="F11" i="11" s="1"/>
  <c r="M11" i="11" s="1"/>
  <c r="I10" i="11"/>
  <c r="K10" i="11" s="1"/>
  <c r="D10" i="11"/>
  <c r="F10" i="11" s="1"/>
  <c r="M10" i="11" s="1"/>
  <c r="I9" i="11"/>
  <c r="K9" i="11" s="1"/>
  <c r="D9" i="11"/>
  <c r="F9" i="11" s="1"/>
  <c r="M9" i="11" s="1"/>
  <c r="I8" i="11"/>
  <c r="K8" i="11" s="1"/>
  <c r="D8" i="11"/>
  <c r="F8" i="11" s="1"/>
  <c r="M8" i="11" s="1"/>
  <c r="I7" i="11"/>
  <c r="K7" i="11" s="1"/>
  <c r="D7" i="11"/>
  <c r="F7" i="11" s="1"/>
  <c r="M7" i="11" s="1"/>
  <c r="I6" i="11"/>
  <c r="K6" i="11" s="1"/>
  <c r="D6" i="11"/>
  <c r="F6" i="11" s="1"/>
  <c r="M6" i="11" s="1"/>
  <c r="I5" i="11"/>
  <c r="K5" i="11" s="1"/>
  <c r="D5" i="11"/>
  <c r="F5" i="11" s="1"/>
  <c r="M5" i="11" s="1"/>
  <c r="I4" i="11"/>
  <c r="K4" i="11" s="1"/>
  <c r="D4" i="11"/>
  <c r="F4" i="11" s="1"/>
  <c r="M4" i="11" s="1"/>
  <c r="I3" i="11"/>
  <c r="D3" i="11"/>
  <c r="D37" i="11" l="1"/>
  <c r="I37" i="11"/>
  <c r="F3" i="11"/>
  <c r="K3" i="11"/>
  <c r="K37" i="11" s="1"/>
  <c r="D42" i="11" s="1"/>
  <c r="B42" i="11" l="1"/>
  <c r="C42" i="11"/>
  <c r="F37" i="11"/>
  <c r="M3" i="11"/>
  <c r="D41" i="11" l="1"/>
  <c r="C41" i="11"/>
  <c r="B41" i="11"/>
  <c r="M37" i="11"/>
  <c r="K37" i="3" l="1"/>
  <c r="J37" i="3"/>
  <c r="H37" i="3"/>
  <c r="G37" i="3"/>
  <c r="F37" i="3"/>
  <c r="E37" i="3"/>
  <c r="D37" i="3"/>
  <c r="C37" i="3"/>
  <c r="B37" i="3"/>
  <c r="K36" i="3"/>
  <c r="J36" i="3"/>
  <c r="H36" i="3"/>
  <c r="G36" i="3"/>
  <c r="F36" i="3"/>
  <c r="E36" i="3"/>
  <c r="D36" i="3"/>
  <c r="C36" i="3"/>
  <c r="B36" i="3"/>
  <c r="K35" i="3"/>
  <c r="J35" i="3"/>
  <c r="H35" i="3"/>
  <c r="G35" i="3"/>
  <c r="F35" i="3"/>
  <c r="E35" i="3"/>
  <c r="D35" i="3"/>
  <c r="C35" i="3"/>
  <c r="B35" i="3"/>
  <c r="K34" i="3"/>
  <c r="J34" i="3"/>
  <c r="H34" i="3"/>
  <c r="G34" i="3"/>
  <c r="F34" i="3"/>
  <c r="E34" i="3"/>
  <c r="D34" i="3"/>
  <c r="C34" i="3"/>
  <c r="B34" i="3"/>
  <c r="K33" i="3"/>
  <c r="J33" i="3"/>
  <c r="H33" i="3"/>
  <c r="G33" i="3"/>
  <c r="F33" i="3"/>
  <c r="E33" i="3"/>
  <c r="D33" i="3"/>
  <c r="C33" i="3"/>
  <c r="B33" i="3"/>
  <c r="K32" i="3"/>
  <c r="J32" i="3"/>
  <c r="H32" i="3"/>
  <c r="G32" i="3"/>
  <c r="F32" i="3"/>
  <c r="E32" i="3"/>
  <c r="D32" i="3"/>
  <c r="C32" i="3"/>
  <c r="B32" i="3"/>
  <c r="K31" i="3"/>
  <c r="J31" i="3"/>
  <c r="H31" i="3"/>
  <c r="G31" i="3"/>
  <c r="F31" i="3"/>
  <c r="E31" i="3"/>
  <c r="D31" i="3"/>
  <c r="C31" i="3"/>
  <c r="B31" i="3"/>
  <c r="K30" i="3"/>
  <c r="J30" i="3"/>
  <c r="H30" i="3"/>
  <c r="G30" i="3"/>
  <c r="F30" i="3"/>
  <c r="E30" i="3"/>
  <c r="D30" i="3"/>
  <c r="C30" i="3"/>
  <c r="B30" i="3"/>
  <c r="K29" i="3"/>
  <c r="J29" i="3"/>
  <c r="H29" i="3"/>
  <c r="G29" i="3"/>
  <c r="F29" i="3"/>
  <c r="E29" i="3"/>
  <c r="D29" i="3"/>
  <c r="C29" i="3"/>
  <c r="B29" i="3"/>
  <c r="K28" i="3"/>
  <c r="J28" i="3"/>
  <c r="H28" i="3"/>
  <c r="G28" i="3"/>
  <c r="F28" i="3"/>
  <c r="E28" i="3"/>
  <c r="D28" i="3"/>
  <c r="C28" i="3"/>
  <c r="B28" i="3"/>
  <c r="K27" i="3"/>
  <c r="J27" i="3"/>
  <c r="H27" i="3"/>
  <c r="G27" i="3"/>
  <c r="F27" i="3"/>
  <c r="E27" i="3"/>
  <c r="D27" i="3"/>
  <c r="C27" i="3"/>
  <c r="B27" i="3"/>
  <c r="K26" i="3"/>
  <c r="J26" i="3"/>
  <c r="H26" i="3"/>
  <c r="G26" i="3"/>
  <c r="F26" i="3"/>
  <c r="E26" i="3"/>
  <c r="D26" i="3"/>
  <c r="C26" i="3"/>
  <c r="B26" i="3"/>
  <c r="K25" i="3"/>
  <c r="J25" i="3"/>
  <c r="H25" i="3"/>
  <c r="G25" i="3"/>
  <c r="F25" i="3"/>
  <c r="E25" i="3"/>
  <c r="D25" i="3"/>
  <c r="C25" i="3"/>
  <c r="B25" i="3"/>
  <c r="K24" i="3"/>
  <c r="J24" i="3"/>
  <c r="H24" i="3"/>
  <c r="G24" i="3"/>
  <c r="F24" i="3"/>
  <c r="E24" i="3"/>
  <c r="D24" i="3"/>
  <c r="C24" i="3"/>
  <c r="B24" i="3"/>
  <c r="K23" i="3"/>
  <c r="J23" i="3"/>
  <c r="H23" i="3"/>
  <c r="G23" i="3"/>
  <c r="F23" i="3"/>
  <c r="E23" i="3"/>
  <c r="D23" i="3"/>
  <c r="C23" i="3"/>
  <c r="B23" i="3"/>
  <c r="K22" i="3"/>
  <c r="J22" i="3"/>
  <c r="H22" i="3"/>
  <c r="G22" i="3"/>
  <c r="F22" i="3"/>
  <c r="E22" i="3"/>
  <c r="D22" i="3"/>
  <c r="C22" i="3"/>
  <c r="B22" i="3"/>
  <c r="K21" i="3"/>
  <c r="J21" i="3"/>
  <c r="L21" i="3" s="1"/>
  <c r="H21" i="3"/>
  <c r="G21" i="3"/>
  <c r="F21" i="3"/>
  <c r="E21" i="3"/>
  <c r="D21" i="3"/>
  <c r="C21" i="3"/>
  <c r="B21" i="3"/>
  <c r="K20" i="3"/>
  <c r="J20" i="3"/>
  <c r="H20" i="3"/>
  <c r="G20" i="3"/>
  <c r="F20" i="3"/>
  <c r="E20" i="3"/>
  <c r="D20" i="3"/>
  <c r="C20" i="3"/>
  <c r="B20" i="3"/>
  <c r="K19" i="3"/>
  <c r="J19" i="3"/>
  <c r="H19" i="3"/>
  <c r="G19" i="3"/>
  <c r="F19" i="3"/>
  <c r="E19" i="3"/>
  <c r="D19" i="3"/>
  <c r="C19" i="3"/>
  <c r="B19" i="3"/>
  <c r="K18" i="3"/>
  <c r="J18" i="3"/>
  <c r="H18" i="3"/>
  <c r="G18" i="3"/>
  <c r="F18" i="3"/>
  <c r="E18" i="3"/>
  <c r="D18" i="3"/>
  <c r="C18" i="3"/>
  <c r="B18" i="3"/>
  <c r="K17" i="3"/>
  <c r="J17" i="3"/>
  <c r="H17" i="3"/>
  <c r="G17" i="3"/>
  <c r="F17" i="3"/>
  <c r="E17" i="3"/>
  <c r="D17" i="3"/>
  <c r="C17" i="3"/>
  <c r="B17" i="3"/>
  <c r="K16" i="3"/>
  <c r="J16" i="3"/>
  <c r="H16" i="3"/>
  <c r="G16" i="3"/>
  <c r="F16" i="3"/>
  <c r="E16" i="3"/>
  <c r="D16" i="3"/>
  <c r="C16" i="3"/>
  <c r="B16" i="3"/>
  <c r="K15" i="3"/>
  <c r="J15" i="3"/>
  <c r="H15" i="3"/>
  <c r="G15" i="3"/>
  <c r="F15" i="3"/>
  <c r="E15" i="3"/>
  <c r="D15" i="3"/>
  <c r="C15" i="3"/>
  <c r="B15" i="3"/>
  <c r="K14" i="3"/>
  <c r="J14" i="3"/>
  <c r="H14" i="3"/>
  <c r="G14" i="3"/>
  <c r="F14" i="3"/>
  <c r="E14" i="3"/>
  <c r="D14" i="3"/>
  <c r="C14" i="3"/>
  <c r="B14" i="3"/>
  <c r="K13" i="3"/>
  <c r="J13" i="3"/>
  <c r="H13" i="3"/>
  <c r="G13" i="3"/>
  <c r="F13" i="3"/>
  <c r="E13" i="3"/>
  <c r="D13" i="3"/>
  <c r="C13" i="3"/>
  <c r="B13" i="3"/>
  <c r="K12" i="3"/>
  <c r="J12" i="3"/>
  <c r="H12" i="3"/>
  <c r="G12" i="3"/>
  <c r="F12" i="3"/>
  <c r="E12" i="3"/>
  <c r="D12" i="3"/>
  <c r="C12" i="3"/>
  <c r="B12" i="3"/>
  <c r="K11" i="3"/>
  <c r="J11" i="3"/>
  <c r="H11" i="3"/>
  <c r="G11" i="3"/>
  <c r="F11" i="3"/>
  <c r="E11" i="3"/>
  <c r="D11" i="3"/>
  <c r="C11" i="3"/>
  <c r="B11" i="3"/>
  <c r="K10" i="3"/>
  <c r="J10" i="3"/>
  <c r="H10" i="3"/>
  <c r="G10" i="3"/>
  <c r="F10" i="3"/>
  <c r="E10" i="3"/>
  <c r="D10" i="3"/>
  <c r="C10" i="3"/>
  <c r="B10" i="3"/>
  <c r="K9" i="3"/>
  <c r="J9" i="3"/>
  <c r="H9" i="3"/>
  <c r="G9" i="3"/>
  <c r="F9" i="3"/>
  <c r="E9" i="3"/>
  <c r="D9" i="3"/>
  <c r="C9" i="3"/>
  <c r="B9" i="3"/>
  <c r="K8" i="3"/>
  <c r="J8" i="3"/>
  <c r="H8" i="3"/>
  <c r="G8" i="3"/>
  <c r="F8" i="3"/>
  <c r="E8" i="3"/>
  <c r="D8" i="3"/>
  <c r="C8" i="3"/>
  <c r="B8" i="3"/>
  <c r="K7" i="3"/>
  <c r="J7" i="3"/>
  <c r="H7" i="3"/>
  <c r="G7" i="3"/>
  <c r="F7" i="3"/>
  <c r="E7" i="3"/>
  <c r="D7" i="3"/>
  <c r="C7" i="3"/>
  <c r="B7" i="3"/>
  <c r="K6" i="3"/>
  <c r="J6" i="3"/>
  <c r="H6" i="3"/>
  <c r="G6" i="3"/>
  <c r="F6" i="3"/>
  <c r="E6" i="3"/>
  <c r="D6" i="3"/>
  <c r="C6" i="3"/>
  <c r="B6" i="3"/>
  <c r="K5" i="3"/>
  <c r="J5" i="3"/>
  <c r="H5" i="3"/>
  <c r="G5" i="3"/>
  <c r="F5" i="3"/>
  <c r="E5" i="3"/>
  <c r="D5" i="3"/>
  <c r="C5" i="3"/>
  <c r="B5" i="3"/>
  <c r="K4" i="3"/>
  <c r="J4" i="3"/>
  <c r="H4" i="3"/>
  <c r="G4" i="3"/>
  <c r="F4" i="3"/>
  <c r="E4" i="3"/>
  <c r="D4" i="3"/>
  <c r="C4" i="3"/>
  <c r="B4" i="3"/>
  <c r="K3" i="3"/>
  <c r="J3" i="3"/>
  <c r="L3" i="3" s="1"/>
  <c r="H3" i="3"/>
  <c r="G3" i="3"/>
  <c r="F3" i="3"/>
  <c r="E3" i="3"/>
  <c r="D3" i="3"/>
  <c r="C3" i="3"/>
  <c r="B3" i="3"/>
  <c r="L7" i="3" l="1"/>
  <c r="L5" i="3"/>
  <c r="L11" i="3"/>
  <c r="L15" i="3"/>
  <c r="L19" i="3"/>
  <c r="L23" i="3"/>
  <c r="L27" i="3"/>
  <c r="L31" i="3"/>
  <c r="L35" i="3"/>
  <c r="L9" i="3"/>
  <c r="L13" i="3"/>
  <c r="L17" i="3"/>
  <c r="L25" i="3"/>
  <c r="L29" i="3"/>
  <c r="L33" i="3"/>
  <c r="I27" i="3"/>
  <c r="I28" i="3"/>
  <c r="C38" i="3"/>
  <c r="G38" i="3"/>
  <c r="I4" i="3"/>
  <c r="I8" i="3"/>
  <c r="I11" i="3"/>
  <c r="I12" i="3"/>
  <c r="I19" i="3"/>
  <c r="I20" i="3"/>
  <c r="I35" i="3"/>
  <c r="I36" i="3"/>
  <c r="L37" i="3"/>
  <c r="I7" i="3"/>
  <c r="I15" i="3"/>
  <c r="I16" i="3"/>
  <c r="I23" i="3"/>
  <c r="I24" i="3"/>
  <c r="I31" i="3"/>
  <c r="I32" i="3"/>
  <c r="I5" i="3"/>
  <c r="I10" i="3"/>
  <c r="I13" i="3"/>
  <c r="I14" i="3"/>
  <c r="I17" i="3"/>
  <c r="I18" i="3"/>
  <c r="I21" i="3"/>
  <c r="I22" i="3"/>
  <c r="I25" i="3"/>
  <c r="I26" i="3"/>
  <c r="I29" i="3"/>
  <c r="I30" i="3"/>
  <c r="I33" i="3"/>
  <c r="I34" i="3"/>
  <c r="E38" i="3"/>
  <c r="I6" i="3"/>
  <c r="I9" i="3"/>
  <c r="B38" i="3"/>
  <c r="D38" i="3"/>
  <c r="F38" i="3"/>
  <c r="H38" i="3"/>
  <c r="K38" i="3"/>
  <c r="L4" i="3"/>
  <c r="L6" i="3"/>
  <c r="L8" i="3"/>
  <c r="L10" i="3"/>
  <c r="L12" i="3"/>
  <c r="L14" i="3"/>
  <c r="L16" i="3"/>
  <c r="L18" i="3"/>
  <c r="L20" i="3"/>
  <c r="L22" i="3"/>
  <c r="L24" i="3"/>
  <c r="L26" i="3"/>
  <c r="L28" i="3"/>
  <c r="L30" i="3"/>
  <c r="L32" i="3"/>
  <c r="L34" i="3"/>
  <c r="L36" i="3"/>
  <c r="I37" i="3"/>
  <c r="I3" i="3"/>
  <c r="J38" i="3"/>
  <c r="L38" i="3" l="1"/>
  <c r="I38" i="3"/>
  <c r="AE42" i="63" l="1"/>
  <c r="AG42" i="63"/>
  <c r="AB42" i="63"/>
  <c r="AH42" i="63"/>
  <c r="AD42" i="63"/>
  <c r="AI42" i="63" l="1"/>
  <c r="AF42" i="63"/>
  <c r="M42" i="63" l="1"/>
  <c r="S42" i="63"/>
  <c r="F42" i="63"/>
  <c r="G42" i="63"/>
  <c r="V42" i="63"/>
  <c r="P42" i="63"/>
  <c r="J42" i="63"/>
  <c r="D42" i="63"/>
  <c r="AA42" i="63"/>
  <c r="AC42" i="63"/>
  <c r="U42" i="63"/>
  <c r="R42" i="63"/>
  <c r="O42" i="63"/>
  <c r="Q42" i="63"/>
  <c r="N42" i="63"/>
  <c r="L42" i="63"/>
  <c r="I42" i="63"/>
  <c r="C42" i="63"/>
  <c r="AK42" i="63" l="1"/>
  <c r="E42" i="63"/>
  <c r="H42" i="63"/>
  <c r="K42" i="63"/>
  <c r="W42" i="63"/>
  <c r="T42" i="63"/>
  <c r="AJ42" i="63"/>
  <c r="AL42" i="63" l="1"/>
  <c r="C23" i="67" l="1"/>
  <c r="C20" i="67" l="1"/>
  <c r="C22" i="67"/>
  <c r="F24" i="67"/>
  <c r="B22" i="67"/>
  <c r="R24" i="67"/>
  <c r="L24" i="67"/>
  <c r="U24" i="67"/>
  <c r="O24" i="67"/>
  <c r="I24" i="67"/>
  <c r="C24" i="67" l="1"/>
  <c r="N23" i="67"/>
  <c r="N20" i="67"/>
  <c r="F20" i="67"/>
  <c r="F23" i="67"/>
  <c r="I23" i="67"/>
  <c r="I20" i="67"/>
  <c r="E24" i="67"/>
  <c r="H24" i="67"/>
  <c r="U23" i="67"/>
  <c r="U20" i="67"/>
  <c r="E20" i="67"/>
  <c r="E23" i="67"/>
  <c r="N24" i="67"/>
  <c r="D23" i="67"/>
  <c r="B23" i="67"/>
  <c r="H20" i="67"/>
  <c r="H23" i="67"/>
  <c r="T20" i="67"/>
  <c r="T23" i="67"/>
  <c r="K24" i="67"/>
  <c r="T24" i="67"/>
  <c r="Q20" i="67"/>
  <c r="Q23" i="67"/>
  <c r="L20" i="67"/>
  <c r="L23" i="67"/>
  <c r="Q24" i="67"/>
  <c r="O23" i="67"/>
  <c r="O20" i="67"/>
  <c r="K23" i="67"/>
  <c r="K20" i="67"/>
  <c r="B20" i="67"/>
  <c r="R20" i="67"/>
  <c r="R23" i="67"/>
  <c r="B24" i="67" l="1"/>
  <c r="S24" i="67"/>
  <c r="V24" i="67"/>
  <c r="M24" i="67"/>
  <c r="J24" i="67"/>
  <c r="P24" i="67"/>
  <c r="P23" i="67"/>
  <c r="P20" i="67"/>
  <c r="V20" i="67"/>
  <c r="V23" i="67"/>
  <c r="M23" i="67"/>
  <c r="M20" i="67"/>
  <c r="J20" i="67"/>
  <c r="J23" i="67"/>
  <c r="G24" i="67"/>
  <c r="D20" i="67"/>
  <c r="D22" i="67"/>
  <c r="S20" i="67"/>
  <c r="S23" i="67"/>
  <c r="G23" i="67"/>
  <c r="G20" i="67"/>
  <c r="D24" i="67" l="1"/>
  <c r="R42" i="13" l="1"/>
  <c r="J42" i="25"/>
  <c r="J42" i="13"/>
  <c r="I42" i="13"/>
  <c r="M42" i="25"/>
  <c r="M42" i="13"/>
  <c r="G42" i="13"/>
  <c r="F42" i="13"/>
  <c r="X42" i="13"/>
  <c r="L42" i="13"/>
  <c r="S42" i="13"/>
  <c r="P42" i="25"/>
  <c r="D42" i="13"/>
  <c r="Y42" i="25"/>
  <c r="U42" i="13"/>
  <c r="S42" i="25"/>
  <c r="P42" i="13"/>
  <c r="Y42" i="13"/>
  <c r="V42" i="13"/>
  <c r="O42" i="13"/>
  <c r="I42" i="61"/>
  <c r="U42" i="61"/>
  <c r="Z42" i="61"/>
  <c r="L42" i="61"/>
  <c r="N42" i="61"/>
  <c r="K42" i="61"/>
  <c r="R42" i="61"/>
  <c r="V42" i="25" l="1"/>
  <c r="N42" i="25"/>
  <c r="K42" i="13"/>
  <c r="G42" i="25"/>
  <c r="Z42" i="25"/>
  <c r="W42" i="25"/>
  <c r="O42" i="25"/>
  <c r="AB42" i="13"/>
  <c r="W42" i="13"/>
  <c r="T42" i="13"/>
  <c r="Z42" i="13"/>
  <c r="X42" i="25"/>
  <c r="Q42" i="13"/>
  <c r="D42" i="25"/>
  <c r="T42" i="25"/>
  <c r="F42" i="25"/>
  <c r="R42" i="25"/>
  <c r="N42" i="13"/>
  <c r="H42" i="13"/>
  <c r="L42" i="25"/>
  <c r="U42" i="25"/>
  <c r="Q42" i="25"/>
  <c r="E42" i="13"/>
  <c r="C42" i="13"/>
  <c r="I42" i="25"/>
  <c r="M42" i="61"/>
  <c r="W42" i="61"/>
  <c r="AA42" i="61"/>
  <c r="E42" i="61"/>
  <c r="P42" i="61"/>
  <c r="O42" i="61"/>
  <c r="Q42" i="61"/>
  <c r="S42" i="61"/>
  <c r="F42" i="61"/>
  <c r="AB42" i="25" l="1"/>
  <c r="AA42" i="13"/>
  <c r="C42" i="25"/>
  <c r="E42" i="25"/>
  <c r="X42" i="61"/>
  <c r="Y42" i="61"/>
  <c r="V42" i="61"/>
  <c r="T42" i="61"/>
  <c r="G42" i="61"/>
  <c r="J42" i="61"/>
  <c r="H42" i="61"/>
  <c r="AB42" i="61"/>
  <c r="AC42" i="13" l="1"/>
  <c r="AC42" i="25"/>
  <c r="AA42" i="25"/>
  <c r="AE42" i="61" l="1"/>
  <c r="H42" i="12" l="1"/>
  <c r="D42" i="12"/>
  <c r="C42" i="12"/>
  <c r="G42" i="12"/>
  <c r="F42" i="12"/>
  <c r="F15" i="34"/>
  <c r="F37" i="34"/>
  <c r="F18" i="34"/>
  <c r="F19" i="34"/>
  <c r="F36" i="34"/>
  <c r="F21" i="34"/>
  <c r="F22" i="34"/>
  <c r="F25" i="34"/>
  <c r="F23" i="34"/>
  <c r="F34" i="34"/>
  <c r="F31" i="34"/>
  <c r="F13" i="34"/>
  <c r="F5" i="34"/>
  <c r="F12" i="34"/>
  <c r="F33" i="34"/>
  <c r="F26" i="34"/>
  <c r="F6" i="34"/>
  <c r="F7" i="34"/>
  <c r="F32" i="34"/>
  <c r="F17" i="34"/>
  <c r="F3" i="34"/>
  <c r="F8" i="34"/>
  <c r="F10" i="34"/>
  <c r="F11" i="34"/>
  <c r="F29" i="34"/>
  <c r="F16" i="34"/>
  <c r="F30" i="34"/>
  <c r="F24" i="34"/>
  <c r="F14" i="34"/>
  <c r="F9" i="34"/>
  <c r="F4" i="34"/>
  <c r="F28" i="34"/>
  <c r="F35" i="34"/>
  <c r="F20" i="34"/>
  <c r="F27" i="34"/>
  <c r="AB200" i="145"/>
  <c r="Z200" i="145"/>
  <c r="AB188" i="145"/>
  <c r="Z188" i="145"/>
  <c r="AB152" i="145"/>
  <c r="Z152" i="145"/>
  <c r="AB36" i="145"/>
  <c r="Z36" i="145"/>
  <c r="AB182" i="145"/>
  <c r="Z182" i="145"/>
  <c r="AB66" i="145"/>
  <c r="Z66" i="145"/>
  <c r="AA176" i="145"/>
  <c r="C176" i="145"/>
  <c r="AB206" i="145"/>
  <c r="Z206" i="145"/>
  <c r="AB54" i="145"/>
  <c r="Z54" i="145"/>
  <c r="AB224" i="145"/>
  <c r="Z224" i="145"/>
  <c r="AB170" i="145"/>
  <c r="Z170" i="145"/>
  <c r="AA182" i="145"/>
  <c r="C182" i="145"/>
  <c r="AB24" i="145"/>
  <c r="Z24" i="145"/>
  <c r="AA140" i="145"/>
  <c r="C140" i="145"/>
  <c r="AA122" i="145"/>
  <c r="C122" i="145"/>
  <c r="AA48" i="145"/>
  <c r="C48" i="145"/>
  <c r="AB90" i="145"/>
  <c r="Z90" i="145"/>
  <c r="AA158" i="145"/>
  <c r="C158" i="145"/>
  <c r="AA24" i="145"/>
  <c r="C24" i="145"/>
  <c r="AA66" i="145"/>
  <c r="C66" i="145"/>
  <c r="AA54" i="145"/>
  <c r="C54" i="145"/>
  <c r="AB108" i="145"/>
  <c r="Z108" i="145"/>
  <c r="AA128" i="145"/>
  <c r="C128" i="145"/>
  <c r="AA90" i="145"/>
  <c r="C90" i="145"/>
  <c r="AA200" i="145"/>
  <c r="C200" i="145"/>
  <c r="AA146" i="145"/>
  <c r="C146" i="145"/>
  <c r="AB122" i="145"/>
  <c r="Z122" i="145"/>
  <c r="AA188" i="145"/>
  <c r="C188" i="145"/>
  <c r="AA108" i="145"/>
  <c r="C108" i="145"/>
  <c r="AA78" i="145"/>
  <c r="C78" i="145"/>
  <c r="AB158" i="145"/>
  <c r="Z158" i="145"/>
  <c r="AA84" i="145"/>
  <c r="C84" i="145"/>
  <c r="AA36" i="145"/>
  <c r="C36" i="145"/>
  <c r="AA96" i="145"/>
  <c r="C96" i="145"/>
  <c r="AA102" i="145"/>
  <c r="C102" i="145"/>
  <c r="AB102" i="145"/>
  <c r="Z102" i="145"/>
  <c r="AB96" i="145"/>
  <c r="Z96" i="145"/>
  <c r="AB164" i="145"/>
  <c r="Z164" i="145"/>
  <c r="AA224" i="145"/>
  <c r="C224" i="145"/>
  <c r="AA194" i="145"/>
  <c r="C194" i="145"/>
  <c r="AA152" i="145"/>
  <c r="C152" i="145"/>
  <c r="AB60" i="145"/>
  <c r="Z60" i="145"/>
  <c r="AB48" i="145"/>
  <c r="Z48" i="145"/>
  <c r="AA206" i="145"/>
  <c r="C206" i="145"/>
  <c r="AB30" i="145"/>
  <c r="Z30" i="145"/>
  <c r="AA12" i="145"/>
  <c r="C12" i="145"/>
  <c r="AA134" i="145"/>
  <c r="C134" i="145"/>
  <c r="AA212" i="145"/>
  <c r="C212" i="145"/>
  <c r="AA60" i="145"/>
  <c r="C60" i="145"/>
  <c r="AB12" i="145"/>
  <c r="Z12" i="145"/>
  <c r="AB194" i="145"/>
  <c r="Z194" i="145"/>
  <c r="AB120" i="145"/>
  <c r="Z120" i="145"/>
  <c r="AA30" i="145"/>
  <c r="C30" i="145"/>
  <c r="AB140" i="145"/>
  <c r="Z140" i="145"/>
  <c r="AB212" i="145"/>
  <c r="Z212" i="145"/>
  <c r="AA164" i="145"/>
  <c r="C164" i="145"/>
  <c r="AB84" i="145"/>
  <c r="Z84" i="145"/>
  <c r="AB78" i="145"/>
  <c r="Z78" i="145"/>
  <c r="AA120" i="145"/>
  <c r="C120" i="145"/>
  <c r="AB42" i="145"/>
  <c r="Z42" i="145"/>
  <c r="AB128" i="145"/>
  <c r="Z128" i="145"/>
  <c r="AA18" i="145"/>
  <c r="C18" i="145"/>
  <c r="AA42" i="145"/>
  <c r="C42" i="145"/>
  <c r="AA170" i="145"/>
  <c r="C170" i="145"/>
  <c r="AB72" i="145"/>
  <c r="Z72" i="145"/>
  <c r="AB18" i="145"/>
  <c r="Z18" i="145"/>
  <c r="Q108" i="145"/>
  <c r="R108" i="145"/>
  <c r="V108" i="145"/>
  <c r="K108" i="145"/>
  <c r="M108" i="145"/>
  <c r="E108" i="145"/>
  <c r="F108" i="145"/>
  <c r="P108" i="145"/>
  <c r="H108" i="145"/>
  <c r="U108" i="145"/>
  <c r="S108" i="145"/>
  <c r="G108" i="145"/>
  <c r="N108" i="145"/>
  <c r="W108" i="145"/>
  <c r="X108" i="145"/>
  <c r="T108" i="145"/>
  <c r="D108" i="145"/>
  <c r="J108" i="145"/>
  <c r="Y108" i="145"/>
  <c r="L108" i="145"/>
  <c r="O108" i="145"/>
  <c r="B108" i="145"/>
  <c r="I108" i="145"/>
  <c r="N30" i="145"/>
  <c r="E30" i="145"/>
  <c r="P30" i="145"/>
  <c r="U30" i="145"/>
  <c r="X30" i="145"/>
  <c r="Q30" i="145"/>
  <c r="Y30" i="145"/>
  <c r="V30" i="145"/>
  <c r="S30" i="145"/>
  <c r="R30" i="145"/>
  <c r="W30" i="145"/>
  <c r="I30" i="145"/>
  <c r="J30" i="145"/>
  <c r="F30" i="145"/>
  <c r="D30" i="145"/>
  <c r="L30" i="145"/>
  <c r="G30" i="145"/>
  <c r="K30" i="145"/>
  <c r="O30" i="145"/>
  <c r="T30" i="145"/>
  <c r="H30" i="145"/>
  <c r="B30" i="145"/>
  <c r="M30" i="145"/>
  <c r="H182" i="145"/>
  <c r="G182" i="145"/>
  <c r="J182" i="145"/>
  <c r="I182" i="145"/>
  <c r="S182" i="145"/>
  <c r="U182" i="145"/>
  <c r="Q182" i="145"/>
  <c r="L182" i="145"/>
  <c r="P182" i="145"/>
  <c r="O182" i="145"/>
  <c r="V182" i="145"/>
  <c r="T182" i="145"/>
  <c r="M182" i="145"/>
  <c r="E182" i="145"/>
  <c r="X182" i="145"/>
  <c r="D182" i="145"/>
  <c r="R182" i="145"/>
  <c r="N182" i="145"/>
  <c r="K182" i="145"/>
  <c r="F182" i="145"/>
  <c r="W182" i="145"/>
  <c r="B182" i="145"/>
  <c r="Y182" i="145"/>
  <c r="AB218" i="145"/>
  <c r="Z218" i="145"/>
  <c r="I96" i="145"/>
  <c r="T96" i="145"/>
  <c r="L96" i="145"/>
  <c r="O96" i="145"/>
  <c r="D96" i="145"/>
  <c r="U96" i="145"/>
  <c r="F96" i="145"/>
  <c r="G96" i="145"/>
  <c r="R96" i="145"/>
  <c r="V96" i="145"/>
  <c r="Y96" i="145"/>
  <c r="W96" i="145"/>
  <c r="E96" i="145"/>
  <c r="Q96" i="145"/>
  <c r="K96" i="145"/>
  <c r="S96" i="145"/>
  <c r="N96" i="145"/>
  <c r="M96" i="145"/>
  <c r="X96" i="145"/>
  <c r="H96" i="145"/>
  <c r="J96" i="145"/>
  <c r="B96" i="145"/>
  <c r="P96" i="145"/>
  <c r="N158" i="145"/>
  <c r="F158" i="145"/>
  <c r="P158" i="145"/>
  <c r="G158" i="145"/>
  <c r="I158" i="145"/>
  <c r="K158" i="145"/>
  <c r="J158" i="145"/>
  <c r="W158" i="145"/>
  <c r="X158" i="145"/>
  <c r="O158" i="145"/>
  <c r="Y158" i="145"/>
  <c r="L158" i="145"/>
  <c r="M158" i="145"/>
  <c r="E158" i="145"/>
  <c r="D158" i="145"/>
  <c r="S158" i="145"/>
  <c r="Q158" i="145"/>
  <c r="R158" i="145"/>
  <c r="H158" i="145"/>
  <c r="U158" i="145"/>
  <c r="T158" i="145"/>
  <c r="B158" i="145"/>
  <c r="V158" i="145"/>
  <c r="V122" i="145"/>
  <c r="E122" i="145"/>
  <c r="Q122" i="145"/>
  <c r="D122" i="145"/>
  <c r="L122" i="145"/>
  <c r="O122" i="145"/>
  <c r="N122" i="145"/>
  <c r="T122" i="145"/>
  <c r="S122" i="145"/>
  <c r="J122" i="145"/>
  <c r="Y122" i="145"/>
  <c r="R122" i="145"/>
  <c r="F122" i="145"/>
  <c r="U122" i="145"/>
  <c r="X122" i="145"/>
  <c r="W122" i="145"/>
  <c r="K122" i="145"/>
  <c r="M122" i="145"/>
  <c r="G122" i="145"/>
  <c r="I122" i="145"/>
  <c r="H122" i="145"/>
  <c r="B122" i="145"/>
  <c r="P122" i="145"/>
  <c r="M66" i="145"/>
  <c r="T66" i="145"/>
  <c r="U66" i="145"/>
  <c r="S66" i="145"/>
  <c r="H66" i="145"/>
  <c r="E66" i="145"/>
  <c r="V66" i="145"/>
  <c r="K66" i="145"/>
  <c r="P66" i="145"/>
  <c r="N66" i="145"/>
  <c r="Q66" i="145"/>
  <c r="I66" i="145"/>
  <c r="Y66" i="145"/>
  <c r="G66" i="145"/>
  <c r="R66" i="145"/>
  <c r="X66" i="145"/>
  <c r="W66" i="145"/>
  <c r="J66" i="145"/>
  <c r="F66" i="145"/>
  <c r="D66" i="145"/>
  <c r="O66" i="145"/>
  <c r="B66" i="145"/>
  <c r="L66" i="145"/>
  <c r="O146" i="145"/>
  <c r="Y146" i="145"/>
  <c r="I146" i="145"/>
  <c r="P146" i="145"/>
  <c r="L146" i="145"/>
  <c r="U146" i="145"/>
  <c r="W146" i="145"/>
  <c r="K146" i="145"/>
  <c r="R146" i="145"/>
  <c r="V146" i="145"/>
  <c r="M146" i="145"/>
  <c r="G146" i="145"/>
  <c r="S146" i="145"/>
  <c r="F146" i="145"/>
  <c r="H146" i="145"/>
  <c r="X146" i="145"/>
  <c r="E146" i="145"/>
  <c r="J146" i="145"/>
  <c r="Q146" i="145"/>
  <c r="N146" i="145"/>
  <c r="D146" i="145"/>
  <c r="T146" i="145"/>
  <c r="U224" i="145"/>
  <c r="V224" i="145"/>
  <c r="O224" i="145"/>
  <c r="X224" i="145"/>
  <c r="R224" i="145"/>
  <c r="P224" i="145"/>
  <c r="G224" i="145"/>
  <c r="H224" i="145"/>
  <c r="N224" i="145"/>
  <c r="D224" i="145"/>
  <c r="W224" i="145"/>
  <c r="Y224" i="145"/>
  <c r="K224" i="145"/>
  <c r="L224" i="145"/>
  <c r="T224" i="145"/>
  <c r="S224" i="145"/>
  <c r="F224" i="145"/>
  <c r="M224" i="145"/>
  <c r="J224" i="145"/>
  <c r="E224" i="145"/>
  <c r="I224" i="145"/>
  <c r="B224" i="145"/>
  <c r="Q224" i="145"/>
  <c r="S72" i="145"/>
  <c r="D72" i="145"/>
  <c r="T72" i="145"/>
  <c r="Q72" i="145"/>
  <c r="R72" i="145"/>
  <c r="X72" i="145"/>
  <c r="U72" i="145"/>
  <c r="K72" i="145"/>
  <c r="V72" i="145"/>
  <c r="M72" i="145"/>
  <c r="O72" i="145"/>
  <c r="Y72" i="145"/>
  <c r="E72" i="145"/>
  <c r="L72" i="145"/>
  <c r="P72" i="145"/>
  <c r="I72" i="145"/>
  <c r="W72" i="145"/>
  <c r="N72" i="145"/>
  <c r="H72" i="145"/>
  <c r="J72" i="145"/>
  <c r="G72" i="145"/>
  <c r="F72" i="145"/>
  <c r="O114" i="145"/>
  <c r="R114" i="145"/>
  <c r="Y114" i="145"/>
  <c r="H114" i="145"/>
  <c r="T114" i="145"/>
  <c r="L114" i="145"/>
  <c r="X114" i="145"/>
  <c r="I114" i="145"/>
  <c r="J114" i="145"/>
  <c r="P114" i="145"/>
  <c r="Q114" i="145"/>
  <c r="F114" i="145"/>
  <c r="N114" i="145"/>
  <c r="D114" i="145"/>
  <c r="K114" i="145"/>
  <c r="E114" i="145"/>
  <c r="V114" i="145"/>
  <c r="G114" i="145"/>
  <c r="S114" i="145"/>
  <c r="W114" i="145"/>
  <c r="M114" i="145"/>
  <c r="U114" i="145"/>
  <c r="F24" i="145"/>
  <c r="S24" i="145"/>
  <c r="H24" i="145"/>
  <c r="J24" i="145"/>
  <c r="U24" i="145"/>
  <c r="X24" i="145"/>
  <c r="I24" i="145"/>
  <c r="M24" i="145"/>
  <c r="G24" i="145"/>
  <c r="E24" i="145"/>
  <c r="W24" i="145"/>
  <c r="T24" i="145"/>
  <c r="L24" i="145"/>
  <c r="V24" i="145"/>
  <c r="N24" i="145"/>
  <c r="R24" i="145"/>
  <c r="Q24" i="145"/>
  <c r="P24" i="145"/>
  <c r="D24" i="145"/>
  <c r="K24" i="145"/>
  <c r="Y24" i="145"/>
  <c r="B24" i="145"/>
  <c r="O24" i="145"/>
  <c r="X212" i="145"/>
  <c r="O212" i="145"/>
  <c r="L212" i="145"/>
  <c r="E212" i="145"/>
  <c r="I212" i="145"/>
  <c r="N212" i="145"/>
  <c r="K212" i="145"/>
  <c r="M212" i="145"/>
  <c r="S212" i="145"/>
  <c r="Q212" i="145"/>
  <c r="Y212" i="145"/>
  <c r="F212" i="145"/>
  <c r="G212" i="145"/>
  <c r="J212" i="145"/>
  <c r="D212" i="145"/>
  <c r="P212" i="145"/>
  <c r="V212" i="145"/>
  <c r="R212" i="145"/>
  <c r="H212" i="145"/>
  <c r="T212" i="145"/>
  <c r="W212" i="145"/>
  <c r="B212" i="145"/>
  <c r="U212" i="145"/>
  <c r="K134" i="145"/>
  <c r="P134" i="145"/>
  <c r="H134" i="145"/>
  <c r="X134" i="145"/>
  <c r="N134" i="145"/>
  <c r="M134" i="145"/>
  <c r="U134" i="145"/>
  <c r="L134" i="145"/>
  <c r="V134" i="145"/>
  <c r="Y134" i="145"/>
  <c r="R134" i="145"/>
  <c r="J134" i="145"/>
  <c r="T134" i="145"/>
  <c r="D134" i="145"/>
  <c r="W134" i="145"/>
  <c r="E134" i="145"/>
  <c r="G134" i="145"/>
  <c r="O134" i="145"/>
  <c r="F134" i="145"/>
  <c r="S134" i="145"/>
  <c r="I134" i="145"/>
  <c r="Q134" i="145"/>
  <c r="N164" i="145"/>
  <c r="H164" i="145"/>
  <c r="E164" i="145"/>
  <c r="G164" i="145"/>
  <c r="I164" i="145"/>
  <c r="K164" i="145"/>
  <c r="W164" i="145"/>
  <c r="Y164" i="145"/>
  <c r="O164" i="145"/>
  <c r="S164" i="145"/>
  <c r="U164" i="145"/>
  <c r="R164" i="145"/>
  <c r="P164" i="145"/>
  <c r="V164" i="145"/>
  <c r="D164" i="145"/>
  <c r="L164" i="145"/>
  <c r="M164" i="145"/>
  <c r="F164" i="145"/>
  <c r="X164" i="145"/>
  <c r="J164" i="145"/>
  <c r="Q164" i="145"/>
  <c r="B164" i="145"/>
  <c r="T164" i="145"/>
  <c r="J128" i="145"/>
  <c r="E128" i="145"/>
  <c r="X128" i="145"/>
  <c r="K128" i="145"/>
  <c r="D128" i="145"/>
  <c r="O128" i="145"/>
  <c r="V128" i="145"/>
  <c r="Y128" i="145"/>
  <c r="I128" i="145"/>
  <c r="L128" i="145"/>
  <c r="N128" i="145"/>
  <c r="G128" i="145"/>
  <c r="T128" i="145"/>
  <c r="P128" i="145"/>
  <c r="M128" i="145"/>
  <c r="Q128" i="145"/>
  <c r="W128" i="145"/>
  <c r="F128" i="145"/>
  <c r="R128" i="145"/>
  <c r="H128" i="145"/>
  <c r="S128" i="145"/>
  <c r="B128" i="145"/>
  <c r="U128" i="145"/>
  <c r="D188" i="145"/>
  <c r="I188" i="145"/>
  <c r="F188" i="145"/>
  <c r="M188" i="145"/>
  <c r="L188" i="145"/>
  <c r="X188" i="145"/>
  <c r="O188" i="145"/>
  <c r="U188" i="145"/>
  <c r="Q188" i="145"/>
  <c r="N188" i="145"/>
  <c r="S188" i="145"/>
  <c r="G188" i="145"/>
  <c r="R188" i="145"/>
  <c r="Y188" i="145"/>
  <c r="H188" i="145"/>
  <c r="W188" i="145"/>
  <c r="E188" i="145"/>
  <c r="V188" i="145"/>
  <c r="J188" i="145"/>
  <c r="T188" i="145"/>
  <c r="K188" i="145"/>
  <c r="B188" i="145"/>
  <c r="P188" i="145"/>
  <c r="H84" i="145"/>
  <c r="K84" i="145"/>
  <c r="J84" i="145"/>
  <c r="U84" i="145"/>
  <c r="D84" i="145"/>
  <c r="N84" i="145"/>
  <c r="F84" i="145"/>
  <c r="Y84" i="145"/>
  <c r="L84" i="145"/>
  <c r="P84" i="145"/>
  <c r="S84" i="145"/>
  <c r="G84" i="145"/>
  <c r="W84" i="145"/>
  <c r="M84" i="145"/>
  <c r="R84" i="145"/>
  <c r="V84" i="145"/>
  <c r="Q84" i="145"/>
  <c r="I84" i="145"/>
  <c r="O84" i="145"/>
  <c r="E84" i="145"/>
  <c r="T84" i="145"/>
  <c r="B84" i="145"/>
  <c r="X84" i="145"/>
  <c r="M90" i="145"/>
  <c r="H90" i="145"/>
  <c r="G90" i="145"/>
  <c r="D90" i="145"/>
  <c r="W90" i="145"/>
  <c r="P90" i="145"/>
  <c r="I90" i="145"/>
  <c r="Q90" i="145"/>
  <c r="K90" i="145"/>
  <c r="S90" i="145"/>
  <c r="E90" i="145"/>
  <c r="X90" i="145"/>
  <c r="Y90" i="145"/>
  <c r="V90" i="145"/>
  <c r="R90" i="145"/>
  <c r="O90" i="145"/>
  <c r="T90" i="145"/>
  <c r="N90" i="145"/>
  <c r="L90" i="145"/>
  <c r="U90" i="145"/>
  <c r="F90" i="145"/>
  <c r="B90" i="145"/>
  <c r="J90" i="145"/>
  <c r="V12" i="145"/>
  <c r="F12" i="145"/>
  <c r="P12" i="145"/>
  <c r="M12" i="145"/>
  <c r="T12" i="145"/>
  <c r="W12" i="145"/>
  <c r="S12" i="145"/>
  <c r="I12" i="145"/>
  <c r="E12" i="145"/>
  <c r="H12" i="145"/>
  <c r="G12" i="145"/>
  <c r="K12" i="145"/>
  <c r="O12" i="145"/>
  <c r="X12" i="145"/>
  <c r="N12" i="145"/>
  <c r="Q12" i="145"/>
  <c r="L12" i="145"/>
  <c r="J12" i="145"/>
  <c r="U12" i="145"/>
  <c r="Y12" i="145"/>
  <c r="D12" i="145"/>
  <c r="B12" i="145"/>
  <c r="R12" i="145"/>
  <c r="S78" i="145"/>
  <c r="F78" i="145"/>
  <c r="P78" i="145"/>
  <c r="Y78" i="145"/>
  <c r="T78" i="145"/>
  <c r="O78" i="145"/>
  <c r="X78" i="145"/>
  <c r="M78" i="145"/>
  <c r="V78" i="145"/>
  <c r="W78" i="145"/>
  <c r="L78" i="145"/>
  <c r="I78" i="145"/>
  <c r="D78" i="145"/>
  <c r="E78" i="145"/>
  <c r="K78" i="145"/>
  <c r="J78" i="145"/>
  <c r="N78" i="145"/>
  <c r="G78" i="145"/>
  <c r="R78" i="145"/>
  <c r="Q78" i="145"/>
  <c r="H78" i="145"/>
  <c r="B78" i="145"/>
  <c r="U78" i="145"/>
  <c r="J140" i="145"/>
  <c r="D140" i="145"/>
  <c r="F140" i="145"/>
  <c r="I140" i="145"/>
  <c r="Y140" i="145"/>
  <c r="N140" i="145"/>
  <c r="L140" i="145"/>
  <c r="V140" i="145"/>
  <c r="T140" i="145"/>
  <c r="P140" i="145"/>
  <c r="G140" i="145"/>
  <c r="R140" i="145"/>
  <c r="O140" i="145"/>
  <c r="M140" i="145"/>
  <c r="W140" i="145"/>
  <c r="X140" i="145"/>
  <c r="E140" i="145"/>
  <c r="K140" i="145"/>
  <c r="Q140" i="145"/>
  <c r="U140" i="145"/>
  <c r="H140" i="145"/>
  <c r="B140" i="145"/>
  <c r="S140" i="145"/>
  <c r="U102" i="145"/>
  <c r="Y102" i="145"/>
  <c r="P102" i="145"/>
  <c r="S102" i="145"/>
  <c r="J102" i="145"/>
  <c r="N102" i="145"/>
  <c r="Q102" i="145"/>
  <c r="W102" i="145"/>
  <c r="I102" i="145"/>
  <c r="X102" i="145"/>
  <c r="R102" i="145"/>
  <c r="T102" i="145"/>
  <c r="V102" i="145"/>
  <c r="F102" i="145"/>
  <c r="M102" i="145"/>
  <c r="K102" i="145"/>
  <c r="O102" i="145"/>
  <c r="L102" i="145"/>
  <c r="D102" i="145"/>
  <c r="G102" i="145"/>
  <c r="H102" i="145"/>
  <c r="B102" i="145"/>
  <c r="E102" i="145"/>
  <c r="M60" i="145"/>
  <c r="T60" i="145"/>
  <c r="F60" i="145"/>
  <c r="O60" i="145"/>
  <c r="D60" i="145"/>
  <c r="K60" i="145"/>
  <c r="P60" i="145"/>
  <c r="I60" i="145"/>
  <c r="R60" i="145"/>
  <c r="E60" i="145"/>
  <c r="H60" i="145"/>
  <c r="Q60" i="145"/>
  <c r="X60" i="145"/>
  <c r="G60" i="145"/>
  <c r="S60" i="145"/>
  <c r="V60" i="145"/>
  <c r="J60" i="145"/>
  <c r="Y60" i="145"/>
  <c r="W60" i="145"/>
  <c r="U60" i="145"/>
  <c r="L60" i="145"/>
  <c r="B60" i="145"/>
  <c r="N60" i="145"/>
  <c r="L42" i="145"/>
  <c r="M42" i="145"/>
  <c r="T42" i="145"/>
  <c r="N42" i="145"/>
  <c r="S42" i="145"/>
  <c r="R42" i="145"/>
  <c r="E42" i="145"/>
  <c r="U42" i="145"/>
  <c r="G42" i="145"/>
  <c r="Y42" i="145"/>
  <c r="V42" i="145"/>
  <c r="I42" i="145"/>
  <c r="J42" i="145"/>
  <c r="H42" i="145"/>
  <c r="F42" i="145"/>
  <c r="P42" i="145"/>
  <c r="D42" i="145"/>
  <c r="X42" i="145"/>
  <c r="O42" i="145"/>
  <c r="K42" i="145"/>
  <c r="Q42" i="145"/>
  <c r="B42" i="145"/>
  <c r="W42" i="145"/>
  <c r="G176" i="145"/>
  <c r="E176" i="145"/>
  <c r="H176" i="145"/>
  <c r="I176" i="145"/>
  <c r="R176" i="145"/>
  <c r="V176" i="145"/>
  <c r="W176" i="145"/>
  <c r="J176" i="145"/>
  <c r="Q176" i="145"/>
  <c r="Y176" i="145"/>
  <c r="L176" i="145"/>
  <c r="P176" i="145"/>
  <c r="S176" i="145"/>
  <c r="O176" i="145"/>
  <c r="F176" i="145"/>
  <c r="T176" i="145"/>
  <c r="X176" i="145"/>
  <c r="K176" i="145"/>
  <c r="M176" i="145"/>
  <c r="N176" i="145"/>
  <c r="U176" i="145"/>
  <c r="D176" i="145"/>
  <c r="X170" i="145"/>
  <c r="Q170" i="145"/>
  <c r="R170" i="145"/>
  <c r="N170" i="145"/>
  <c r="J170" i="145"/>
  <c r="L170" i="145"/>
  <c r="P170" i="145"/>
  <c r="F170" i="145"/>
  <c r="T170" i="145"/>
  <c r="V170" i="145"/>
  <c r="U170" i="145"/>
  <c r="W170" i="145"/>
  <c r="O170" i="145"/>
  <c r="K170" i="145"/>
  <c r="H170" i="145"/>
  <c r="M170" i="145"/>
  <c r="E170" i="145"/>
  <c r="G170" i="145"/>
  <c r="D170" i="145"/>
  <c r="S170" i="145"/>
  <c r="I170" i="145"/>
  <c r="B170" i="145"/>
  <c r="Y170" i="145"/>
  <c r="L36" i="145"/>
  <c r="D36" i="145"/>
  <c r="S36" i="145"/>
  <c r="Y36" i="145"/>
  <c r="H36" i="145"/>
  <c r="J36" i="145"/>
  <c r="W36" i="145"/>
  <c r="I36" i="145"/>
  <c r="K36" i="145"/>
  <c r="U36" i="145"/>
  <c r="P36" i="145"/>
  <c r="M36" i="145"/>
  <c r="N36" i="145"/>
  <c r="R36" i="145"/>
  <c r="E36" i="145"/>
  <c r="X36" i="145"/>
  <c r="F36" i="145"/>
  <c r="Q36" i="145"/>
  <c r="O36" i="145"/>
  <c r="T36" i="145"/>
  <c r="G36" i="145"/>
  <c r="B36" i="145"/>
  <c r="V36" i="145"/>
  <c r="S206" i="145"/>
  <c r="I206" i="145"/>
  <c r="E206" i="145"/>
  <c r="O206" i="145"/>
  <c r="N206" i="145"/>
  <c r="L206" i="145"/>
  <c r="X206" i="145"/>
  <c r="Y206" i="145"/>
  <c r="K206" i="145"/>
  <c r="T206" i="145"/>
  <c r="R206" i="145"/>
  <c r="H206" i="145"/>
  <c r="G206" i="145"/>
  <c r="W206" i="145"/>
  <c r="U206" i="145"/>
  <c r="V206" i="145"/>
  <c r="M206" i="145"/>
  <c r="D206" i="145"/>
  <c r="P206" i="145"/>
  <c r="J206" i="145"/>
  <c r="F206" i="145"/>
  <c r="B206" i="145"/>
  <c r="Q206" i="145"/>
  <c r="U48" i="145"/>
  <c r="F48" i="145"/>
  <c r="Q48" i="145"/>
  <c r="D48" i="145"/>
  <c r="J48" i="145"/>
  <c r="T48" i="145"/>
  <c r="X48" i="145"/>
  <c r="P48" i="145"/>
  <c r="L48" i="145"/>
  <c r="S48" i="145"/>
  <c r="E48" i="145"/>
  <c r="Y48" i="145"/>
  <c r="M48" i="145"/>
  <c r="K48" i="145"/>
  <c r="V48" i="145"/>
  <c r="I48" i="145"/>
  <c r="N48" i="145"/>
  <c r="O48" i="145"/>
  <c r="W48" i="145"/>
  <c r="R48" i="145"/>
  <c r="G48" i="145"/>
  <c r="B48" i="145"/>
  <c r="H48" i="145"/>
  <c r="P152" i="145"/>
  <c r="W152" i="145"/>
  <c r="R152" i="145"/>
  <c r="T152" i="145"/>
  <c r="U152" i="145"/>
  <c r="I152" i="145"/>
  <c r="M152" i="145"/>
  <c r="N152" i="145"/>
  <c r="J152" i="145"/>
  <c r="E152" i="145"/>
  <c r="Y152" i="145"/>
  <c r="L152" i="145"/>
  <c r="D152" i="145"/>
  <c r="K152" i="145"/>
  <c r="O152" i="145"/>
  <c r="G152" i="145"/>
  <c r="V152" i="145"/>
  <c r="F152" i="145"/>
  <c r="S152" i="145"/>
  <c r="H152" i="145"/>
  <c r="X152" i="145"/>
  <c r="B152" i="145"/>
  <c r="Q152" i="145"/>
  <c r="G200" i="145"/>
  <c r="X200" i="145"/>
  <c r="F200" i="145"/>
  <c r="W200" i="145"/>
  <c r="R200" i="145"/>
  <c r="D200" i="145"/>
  <c r="P200" i="145"/>
  <c r="T200" i="145"/>
  <c r="U200" i="145"/>
  <c r="Q200" i="145"/>
  <c r="L200" i="145"/>
  <c r="J200" i="145"/>
  <c r="M200" i="145"/>
  <c r="N200" i="145"/>
  <c r="Y200" i="145"/>
  <c r="S200" i="145"/>
  <c r="O200" i="145"/>
  <c r="I200" i="145"/>
  <c r="H200" i="145"/>
  <c r="E200" i="145"/>
  <c r="V200" i="145"/>
  <c r="B200" i="145"/>
  <c r="K200" i="145"/>
  <c r="R120" i="145"/>
  <c r="H120" i="145"/>
  <c r="V120" i="145"/>
  <c r="P120" i="145"/>
  <c r="J120" i="145"/>
  <c r="G120" i="145"/>
  <c r="L120" i="145"/>
  <c r="U120" i="145"/>
  <c r="F120" i="145"/>
  <c r="K120" i="145"/>
  <c r="N120" i="145"/>
  <c r="M120" i="145"/>
  <c r="Q120" i="145"/>
  <c r="W120" i="145"/>
  <c r="D120" i="145"/>
  <c r="E120" i="145"/>
  <c r="X120" i="145"/>
  <c r="Y120" i="145"/>
  <c r="T120" i="145"/>
  <c r="I120" i="145"/>
  <c r="O120" i="145"/>
  <c r="B120" i="145"/>
  <c r="S120" i="145"/>
  <c r="K18" i="145"/>
  <c r="M18" i="145"/>
  <c r="Y18" i="145"/>
  <c r="O18" i="145"/>
  <c r="F18" i="145"/>
  <c r="I18" i="145"/>
  <c r="N18" i="145"/>
  <c r="R18" i="145"/>
  <c r="U18" i="145"/>
  <c r="P18" i="145"/>
  <c r="W18" i="145"/>
  <c r="J18" i="145"/>
  <c r="V18" i="145"/>
  <c r="T18" i="145"/>
  <c r="S18" i="145"/>
  <c r="L18" i="145"/>
  <c r="X18" i="145"/>
  <c r="E18" i="145"/>
  <c r="G18" i="145"/>
  <c r="D18" i="145"/>
  <c r="H18" i="145"/>
  <c r="B18" i="145"/>
  <c r="Q18" i="145"/>
  <c r="G54" i="145"/>
  <c r="U54" i="145"/>
  <c r="D54" i="145"/>
  <c r="V54" i="145"/>
  <c r="P54" i="145"/>
  <c r="M54" i="145"/>
  <c r="E54" i="145"/>
  <c r="R54" i="145"/>
  <c r="F54" i="145"/>
  <c r="L54" i="145"/>
  <c r="X54" i="145"/>
  <c r="S54" i="145"/>
  <c r="K54" i="145"/>
  <c r="Q54" i="145"/>
  <c r="H54" i="145"/>
  <c r="W54" i="145"/>
  <c r="J54" i="145"/>
  <c r="Y54" i="145"/>
  <c r="I54" i="145"/>
  <c r="T54" i="145"/>
  <c r="N54" i="145"/>
  <c r="B54" i="145"/>
  <c r="O54" i="145"/>
  <c r="P218" i="145"/>
  <c r="G218" i="145"/>
  <c r="S218" i="145"/>
  <c r="I218" i="145"/>
  <c r="J218" i="145"/>
  <c r="Y218" i="145"/>
  <c r="D218" i="145"/>
  <c r="H218" i="145"/>
  <c r="N218" i="145"/>
  <c r="R218" i="145"/>
  <c r="W218" i="145"/>
  <c r="X218" i="145"/>
  <c r="V218" i="145"/>
  <c r="Q218" i="145"/>
  <c r="K218" i="145"/>
  <c r="L218" i="145"/>
  <c r="E218" i="145"/>
  <c r="M218" i="145"/>
  <c r="T218" i="145"/>
  <c r="U218" i="145"/>
  <c r="O218" i="145"/>
  <c r="F218" i="145"/>
  <c r="B176" i="145"/>
  <c r="Z176" i="145"/>
  <c r="AB176" i="145"/>
  <c r="I194" i="145"/>
  <c r="V194" i="145"/>
  <c r="P194" i="145"/>
  <c r="M194" i="145"/>
  <c r="H194" i="145"/>
  <c r="Y194" i="145"/>
  <c r="O194" i="145"/>
  <c r="L194" i="145"/>
  <c r="W194" i="145"/>
  <c r="J194" i="145"/>
  <c r="X194" i="145"/>
  <c r="T194" i="145"/>
  <c r="U194" i="145"/>
  <c r="S194" i="145"/>
  <c r="E194" i="145"/>
  <c r="G194" i="145"/>
  <c r="F194" i="145"/>
  <c r="D194" i="145"/>
  <c r="R194" i="145"/>
  <c r="K194" i="145"/>
  <c r="N194" i="145"/>
  <c r="B194" i="145"/>
  <c r="Q194" i="145"/>
  <c r="B72" i="145"/>
  <c r="C72" i="145"/>
  <c r="AA72" i="145"/>
  <c r="B134" i="145"/>
  <c r="Z134" i="145"/>
  <c r="AB134" i="145"/>
  <c r="C114" i="145"/>
  <c r="AA114" i="145"/>
  <c r="B218" i="145"/>
  <c r="C218" i="145"/>
  <c r="AA218" i="145"/>
  <c r="B146" i="145"/>
  <c r="Z146" i="145"/>
  <c r="AB146" i="145"/>
  <c r="B114" i="145"/>
  <c r="Z114" i="145"/>
  <c r="AB114" i="145"/>
</calcChain>
</file>

<file path=xl/sharedStrings.xml><?xml version="1.0" encoding="utf-8"?>
<sst xmlns="http://schemas.openxmlformats.org/spreadsheetml/2006/main" count="6680" uniqueCount="921">
  <si>
    <t>Number Of Institutions - Report 9</t>
  </si>
  <si>
    <t>State &amp; Specialisation - Wise Number Of Institutions</t>
  </si>
  <si>
    <t>State</t>
  </si>
  <si>
    <t>University</t>
  </si>
  <si>
    <t>College/Recognised Institution</t>
  </si>
  <si>
    <t>General</t>
  </si>
  <si>
    <t>Agriculture</t>
  </si>
  <si>
    <t>Medical</t>
  </si>
  <si>
    <t>Law</t>
  </si>
  <si>
    <t>Technical</t>
  </si>
  <si>
    <t>Veterinary</t>
  </si>
  <si>
    <t>Others</t>
  </si>
  <si>
    <t>Total</t>
  </si>
  <si>
    <t>Women Out of Total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</si>
  <si>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</si>
  <si>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</si>
  <si>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</si>
  <si>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</si>
  <si>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</si>
  <si>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</si>
  <si>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</si>
  <si>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</si>
  <si>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</si>
  <si>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</si>
  <si>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</si>
  <si>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</si>
  <si>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</si>
  <si>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</si>
  <si>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</si>
  <si>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</si>
  <si>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</si>
  <si>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</si>
  <si>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</si>
  <si>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</si>
  <si>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</si>
  <si>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</si>
  <si>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</si>
  <si>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</si>
  <si>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</si>
  <si>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</si>
  <si>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</si>
  <si>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</si>
  <si>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</si>
  <si>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</si>
  <si>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</si>
  <si>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</si>
  <si>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</si>
  <si>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</si>
  <si>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</si>
  <si>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All India</t>
  </si>
  <si>
    <t>Percentage of Women's College</t>
  </si>
  <si>
    <t>% of Women's College</t>
  </si>
  <si>
    <t>Women's College</t>
  </si>
  <si>
    <t>Table</t>
  </si>
  <si>
    <t>1. State &amp; Specialisation - Wise Number Of Universities</t>
  </si>
  <si>
    <t>Andaman &amp; Nicobar Islands</t>
  </si>
  <si>
    <t>Chhatisgarh</t>
  </si>
  <si>
    <t>Jammu and Kashmir</t>
  </si>
  <si>
    <t>Uttrakhand</t>
  </si>
  <si>
    <r>
      <rPr>
        <b/>
        <sz val="11"/>
        <rFont val="Calibri"/>
        <family val="2"/>
      </rPr>
      <t>All India</t>
    </r>
  </si>
  <si>
    <t>Grand Total</t>
  </si>
  <si>
    <t>Private Un-Aided</t>
  </si>
  <si>
    <t>Private Aided</t>
  </si>
  <si>
    <t>Total Private</t>
  </si>
  <si>
    <t>Government</t>
  </si>
  <si>
    <t>% Number</t>
  </si>
  <si>
    <t>% Enrolment</t>
  </si>
  <si>
    <t>Enrolment in Private and Government Colleges</t>
  </si>
  <si>
    <t>Count of College Name</t>
  </si>
  <si>
    <t>Column Labels</t>
  </si>
  <si>
    <t>Row Labels</t>
  </si>
  <si>
    <t>Affiliated College</t>
  </si>
  <si>
    <t>Constituent / University College</t>
  </si>
  <si>
    <t>PG Center / Off-Campus Center</t>
  </si>
  <si>
    <t>Recognized Center</t>
  </si>
  <si>
    <t>Teacher Training</t>
  </si>
  <si>
    <t>Nursing</t>
  </si>
  <si>
    <t>PGDM</t>
  </si>
  <si>
    <t>Private</t>
  </si>
  <si>
    <t>5. Number of Private and Government Colleges</t>
  </si>
  <si>
    <t>Sl.
No.</t>
  </si>
  <si>
    <t>STATES/UTs</t>
  </si>
  <si>
    <t>Table 4. Number of College per Lakh Population(18-23 YEARS), Average Enrolment per College</t>
  </si>
  <si>
    <t>No. of College</t>
  </si>
  <si>
    <t>Sl No</t>
  </si>
  <si>
    <t>Post Graduate</t>
  </si>
  <si>
    <t>Under Graduate</t>
  </si>
  <si>
    <t>Male</t>
  </si>
  <si>
    <t>Female</t>
  </si>
  <si>
    <t>Ph.D.</t>
  </si>
  <si>
    <t>M.Phil.</t>
  </si>
  <si>
    <t>PG Diploma</t>
  </si>
  <si>
    <t>Diploma</t>
  </si>
  <si>
    <t>Certificate</t>
  </si>
  <si>
    <t>Integrated</t>
  </si>
  <si>
    <t>SCHEDULED CASTE</t>
  </si>
  <si>
    <t>SCHEDULED TRIBE</t>
  </si>
  <si>
    <t>OTHER BACKWARD CLASSES</t>
  </si>
  <si>
    <t>Responding</t>
  </si>
  <si>
    <t>Note - Constituent Colleges of State/Central University not included.</t>
  </si>
  <si>
    <t>Table 7.</t>
  </si>
  <si>
    <t>Number of Colleges</t>
  </si>
  <si>
    <t>Polytechnics</t>
  </si>
  <si>
    <t>All Stand Alone Institutions</t>
  </si>
  <si>
    <t>Number of Institutions</t>
  </si>
  <si>
    <t>Enrolment</t>
  </si>
  <si>
    <t>Per Institution Enrolment</t>
  </si>
  <si>
    <t>Persons with Disability</t>
  </si>
  <si>
    <t>Muslim</t>
  </si>
  <si>
    <t>Other Minority Communities</t>
  </si>
  <si>
    <t>SC</t>
  </si>
  <si>
    <t>ST</t>
  </si>
  <si>
    <t>OBC</t>
  </si>
  <si>
    <t>UT</t>
  </si>
  <si>
    <t>South</t>
  </si>
  <si>
    <t>North-East</t>
  </si>
  <si>
    <t>East</t>
  </si>
  <si>
    <t>North</t>
  </si>
  <si>
    <t>West</t>
  </si>
  <si>
    <t>Zone</t>
  </si>
  <si>
    <t>Population</t>
  </si>
  <si>
    <t>Institute under Ministries</t>
  </si>
  <si>
    <t>Type of University</t>
  </si>
  <si>
    <t>Central University</t>
  </si>
  <si>
    <t>Central Open University</t>
  </si>
  <si>
    <t>Institute of National Importance</t>
  </si>
  <si>
    <t>State Public University</t>
  </si>
  <si>
    <t>State Open University</t>
  </si>
  <si>
    <t>State Private University</t>
  </si>
  <si>
    <t>Institute under State Legislature Act</t>
  </si>
  <si>
    <t>Deemed University-Government</t>
  </si>
  <si>
    <t>Deemed University-Government Aided</t>
  </si>
  <si>
    <t>Deemed University-Private</t>
  </si>
  <si>
    <t>All</t>
  </si>
  <si>
    <t>Telangana</t>
  </si>
  <si>
    <t xml:space="preserve">Table </t>
  </si>
  <si>
    <t>State Private Open University</t>
  </si>
  <si>
    <t>PWD</t>
  </si>
  <si>
    <t>Average Enrolment per College</t>
  </si>
  <si>
    <t>Lakshdweep</t>
  </si>
  <si>
    <t>Table 26.</t>
  </si>
  <si>
    <t>Table 39.</t>
  </si>
  <si>
    <t>Number of College</t>
  </si>
  <si>
    <t>10-19</t>
  </si>
  <si>
    <t>20-49</t>
  </si>
  <si>
    <t>50-99</t>
  </si>
  <si>
    <t>100-199</t>
  </si>
  <si>
    <t>200-299</t>
  </si>
  <si>
    <t>300-399</t>
  </si>
  <si>
    <t>400-499</t>
  </si>
  <si>
    <t>500-999</t>
  </si>
  <si>
    <t>Table 6(a).</t>
  </si>
  <si>
    <t>Table 8.</t>
  </si>
  <si>
    <t>Table 9.</t>
  </si>
  <si>
    <t>Andaman and Nicobar Islands</t>
  </si>
  <si>
    <t>Dadra and Nagar Haveli</t>
  </si>
  <si>
    <t>Daman and Diu</t>
  </si>
  <si>
    <t>Central University Total</t>
  </si>
  <si>
    <t>State Public University Total</t>
  </si>
  <si>
    <t>State Private University Total</t>
  </si>
  <si>
    <t>Deemed University-Government Total</t>
  </si>
  <si>
    <t>Deemed University-Government Aided Total</t>
  </si>
  <si>
    <t>Deemed University-Private Total</t>
  </si>
  <si>
    <t>Institute of National Importance Total</t>
  </si>
  <si>
    <t>37. Number of different types of Institutions attached with University</t>
  </si>
  <si>
    <t>Sl. No.</t>
  </si>
  <si>
    <t>Cultural Studies</t>
  </si>
  <si>
    <t>Education</t>
  </si>
  <si>
    <t>Fine Arts</t>
  </si>
  <si>
    <t>Fisheries</t>
  </si>
  <si>
    <t>Journalism &amp; Mass Communication</t>
  </si>
  <si>
    <t>Language</t>
  </si>
  <si>
    <t>Oriental Learning</t>
  </si>
  <si>
    <t>Rural Development</t>
  </si>
  <si>
    <t>Sanskrit</t>
  </si>
  <si>
    <t>Science</t>
  </si>
  <si>
    <t>Sports/Yoga/Physical Education</t>
  </si>
  <si>
    <t>Number</t>
  </si>
  <si>
    <t>Table 33.</t>
  </si>
  <si>
    <t>Ph.D.-Doctor of Philosophy</t>
  </si>
  <si>
    <t>D.Phil.-Doctor of Philosophy</t>
  </si>
  <si>
    <t>D.M.-Doctor of Medicine</t>
  </si>
  <si>
    <t>M.Ch.-Master of Chirurgiae</t>
  </si>
  <si>
    <t>Vidya Varidhi-Vidya Varidhi</t>
  </si>
  <si>
    <t>Ayurveda Vachaspati-Ph.D in Ayurveda</t>
  </si>
  <si>
    <t>D.Sc.-Doctor of Science</t>
  </si>
  <si>
    <t>Vidya Vachaspati-Vidya Vachaspati</t>
  </si>
  <si>
    <t>L.L.D.-Doctor of Laws</t>
  </si>
  <si>
    <t>M.Phil.-Master of Philosophy</t>
  </si>
  <si>
    <t>M.A.-Master of Arts</t>
  </si>
  <si>
    <t>M.Sc.-Master of Science</t>
  </si>
  <si>
    <t>M.B.A.- Master of Business Administration</t>
  </si>
  <si>
    <t>M.Com.-Master of Commerce</t>
  </si>
  <si>
    <t>M.Tech. -Master of Technology</t>
  </si>
  <si>
    <t>M.C.A. -Master of Computer Applications</t>
  </si>
  <si>
    <t>M.E.-Master of Engineering</t>
  </si>
  <si>
    <t>M.S.W.-Master of Social Work</t>
  </si>
  <si>
    <t>M.Ed. -Master of Education</t>
  </si>
  <si>
    <t>Acharya-Acharya</t>
  </si>
  <si>
    <t>M.Pharm. -Master of Pharmacy</t>
  </si>
  <si>
    <t>M.D.-Doctor of Medicine</t>
  </si>
  <si>
    <t>P.G.D.M.-Post-Graduate Diploma in Management</t>
  </si>
  <si>
    <t>L.L.M.-Master of Law or Laws</t>
  </si>
  <si>
    <t>M.D.S.-Master of Dental Surgery</t>
  </si>
  <si>
    <t>M.Sc. Nursing-Master of Science in Nursing</t>
  </si>
  <si>
    <t>M.Lib.Sc. -Master of Library Science</t>
  </si>
  <si>
    <t>M.P.Ed.-Master of Physical Education</t>
  </si>
  <si>
    <t>M.S.-Master of Surgery</t>
  </si>
  <si>
    <t>M.S.-Master of Science</t>
  </si>
  <si>
    <t>M.Mgt.-Master of Management</t>
  </si>
  <si>
    <t>Pharm.D.-Doctor of Pharmacy</t>
  </si>
  <si>
    <t>M.L.I.Sc.-Master of Library &amp; Information Science</t>
  </si>
  <si>
    <t>M.F.A. -Master of Fine Arts</t>
  </si>
  <si>
    <t>P.G.P.-Post-Graduate Programme in Management</t>
  </si>
  <si>
    <t>M.P.T.-Master of Physiotherapy</t>
  </si>
  <si>
    <t>M.J.M.C.-Master of Journalism and Mass Communication</t>
  </si>
  <si>
    <t>M.V.Sc. -Master of Veterinary Sciences</t>
  </si>
  <si>
    <t>M.B.A.(Tech.)-Master of Business Administration in Technology</t>
  </si>
  <si>
    <t>M.Arch.-Master of Architecture</t>
  </si>
  <si>
    <t>M.H.R.D. -Master of Human Resource Development</t>
  </si>
  <si>
    <t>M.Sc. Tech. -Master of Science in Technology</t>
  </si>
  <si>
    <t>M.J.-Master of Journalism</t>
  </si>
  <si>
    <t>M.H.A. -Master of Hospital Administration</t>
  </si>
  <si>
    <t>M.F.M. -Master of Financial Management</t>
  </si>
  <si>
    <t>Vachaspati-Vachaspati</t>
  </si>
  <si>
    <t>M.Des.-Master of Design</t>
  </si>
  <si>
    <t>M.Mus. -Master of Music</t>
  </si>
  <si>
    <t>M.M.C.-Master in Mass Communication</t>
  </si>
  <si>
    <t>M.F.M.-Master of Fashion Management</t>
  </si>
  <si>
    <t>M.I.B.-Master of International Business</t>
  </si>
  <si>
    <t>M.Plan.-Master of Planning</t>
  </si>
  <si>
    <t>M.Mkt.M. -Master of Marketing Management</t>
  </si>
  <si>
    <t>Samaj Karya Parangat-Samaj Karya Parangat</t>
  </si>
  <si>
    <t>M.P.E.-Master of Physical Education</t>
  </si>
  <si>
    <t>M.F.Sc. -Master of Fishery Science</t>
  </si>
  <si>
    <t>M.P.A.-Master of Performing Arts</t>
  </si>
  <si>
    <t>Shiksha Acharya-Shiksha Acharya</t>
  </si>
  <si>
    <t>M.L. -Master of Laws</t>
  </si>
  <si>
    <t>Parangat-Parangat</t>
  </si>
  <si>
    <t>M.P.H. -Master of Public Health</t>
  </si>
  <si>
    <t>M.Litt.-Master of Literature or Master of Letters</t>
  </si>
  <si>
    <t>M.F.Tech.-Master of Fashion Technology</t>
  </si>
  <si>
    <t>M.B.A.(Pharma. Tech.)-Master of Business Administration in Pharmaceutical Technology</t>
  </si>
  <si>
    <t>M.Sc.(Medical Bio-Chemistry)-Master of Science in Medical Bio-Chemistry</t>
  </si>
  <si>
    <t>M.U.P.-Master of Urban Planning</t>
  </si>
  <si>
    <t>M.Dance-Master of Dance</t>
  </si>
  <si>
    <t>M.Stat. -Master of Statistics</t>
  </si>
  <si>
    <t>M.Sc. Tech.(Applied Geo-Physics)-Master of Science in Technology (Applied Geo-Physics)</t>
  </si>
  <si>
    <t>M.Sc.(Medical Microbiology)-Master of Science in Medical Microbiology</t>
  </si>
  <si>
    <t>M.Optom. -Master of Optometry</t>
  </si>
  <si>
    <t>M.O.T. -Master of Occupational Therapy</t>
  </si>
  <si>
    <t>Shikshan Parangat-Shikshan Parangat</t>
  </si>
  <si>
    <t>M.Sc.(Medical Anatomy) -Master of Science in Medical Anatomy</t>
  </si>
  <si>
    <t>M.P.S. -Master of Population Studies</t>
  </si>
  <si>
    <t>M.Sc.(Medical Physiology)-Master of Science in Medical Physiology</t>
  </si>
  <si>
    <t>M.O.L. -Master of Oriental Learning</t>
  </si>
  <si>
    <t>M.F.T. -Master of Foreign Trade</t>
  </si>
  <si>
    <t>M.A.M.S.-Master of Ayurved in Medicine and Surgery</t>
  </si>
  <si>
    <t>M.T.P.M.-Master in Transportation Planning and Management</t>
  </si>
  <si>
    <t>M.H.M.S.-Master of Homeopathic Medicine and Science</t>
  </si>
  <si>
    <t>M.Sc.(Medical Pharmacology)-Master of Science in Medical Pharmacology</t>
  </si>
  <si>
    <t>B.A.-Bachelor of Arts</t>
  </si>
  <si>
    <t>B.Sc.-Bachelor of Science</t>
  </si>
  <si>
    <t>B.Com.-Bachelor of Commerce</t>
  </si>
  <si>
    <t>B.Ed.-Bachelor of Education</t>
  </si>
  <si>
    <t>B.E.-Bachelor of Engineering</t>
  </si>
  <si>
    <t>B.Tech.-Bachelor of Technology</t>
  </si>
  <si>
    <t>B.A.(Hons)-Bachelor of Arts (Honors)</t>
  </si>
  <si>
    <t>B.Sc.(Hons)-Bachelor of Science (Honors)</t>
  </si>
  <si>
    <t>B.C.A.-Bachelor of Computer Applications</t>
  </si>
  <si>
    <t>B.B.A.-Bachelor of Business Administration</t>
  </si>
  <si>
    <t>L.L.B.-Bachelor of Law or Laws</t>
  </si>
  <si>
    <t>B.Sc.(Nursing)-Bachelor of Science in Nursing</t>
  </si>
  <si>
    <t>M.B.B.S.-Bachelor of Medicine and Bachelor of Surgery</t>
  </si>
  <si>
    <t>B.Pharm.-Bachelor of Pharmacy</t>
  </si>
  <si>
    <t>Shastri-Shastri</t>
  </si>
  <si>
    <t>B.Agri.-Bachelor of Agriculture</t>
  </si>
  <si>
    <t>B.D.S.-Bachelor of Dental Surgery</t>
  </si>
  <si>
    <t>B.Lib.I.Sc.-Bachelor of Library &amp; Information Science</t>
  </si>
  <si>
    <t>B.P.Ed.-Bachelor of Physical Education</t>
  </si>
  <si>
    <t>B.B.M.-Bachelor of Business Management</t>
  </si>
  <si>
    <t>B.Architecture-Bachelor of Architecture</t>
  </si>
  <si>
    <t>B.Sc.(Post Basic)-B.Sc (Post Basic)</t>
  </si>
  <si>
    <t>B.H.M.S.-Bachelor of Homeopathic Medicine and Surgery</t>
  </si>
  <si>
    <t>B.M.S.-Bachelor of Management Studies</t>
  </si>
  <si>
    <t>B.P.T.-Bachelor of Physiotherapy</t>
  </si>
  <si>
    <t>B.S.W.-Bachelor of Social Work</t>
  </si>
  <si>
    <t>B.F.A.-Bachelor of Fine Arts</t>
  </si>
  <si>
    <t>B.A.M.S.-Bachelor of Ayurved Medicine &amp; Surgery</t>
  </si>
  <si>
    <t>B.L.-Bachelor of Law or Laws</t>
  </si>
  <si>
    <t>B.H.A.-Bachelor of Hospital Administration</t>
  </si>
  <si>
    <t>Shiksha Shastri-Shiksha Shastri</t>
  </si>
  <si>
    <t>B.P.E.-Bachelor of Physical Education</t>
  </si>
  <si>
    <t>B.H.M.-Bachelor of Hotel Management</t>
  </si>
  <si>
    <t>B.J.M.C.-Bachelor of Journalism and Mass Communication</t>
  </si>
  <si>
    <t>B.Litt.-Bachelor of Literature</t>
  </si>
  <si>
    <t>B.Des.-Bachelor of Design</t>
  </si>
  <si>
    <t>B.H.M.C.T.-Bachelor of Hotel Management and Catering Technology</t>
  </si>
  <si>
    <t>B.Lib.Sc.-Bachelor of Library Science</t>
  </si>
  <si>
    <t>B.Voc.-Bachelor of Vocational Education</t>
  </si>
  <si>
    <t>Ayurvedacharya-Ayurvedacharya</t>
  </si>
  <si>
    <t>B.V.Sc.&amp;A.H.-Bachelor of Veterinary Science &amp; Animal Husbandry</t>
  </si>
  <si>
    <t>B.Pharm.(Ayu.) -Bachelor of Ayurved in Pharmacy</t>
  </si>
  <si>
    <t>B.M.M.-Bachelor of Multi Media</t>
  </si>
  <si>
    <t>B.Optom.-Bachelor of Clinical Optometry</t>
  </si>
  <si>
    <t>B.U.M.S.-Bachelor of Unani Medicine and Surgery</t>
  </si>
  <si>
    <t>B.Mus.-Bachelor of Music</t>
  </si>
  <si>
    <t>B.J.-Bachelor of Journalism</t>
  </si>
  <si>
    <t>B.Nat.(Yogic Sciences)-Bachelor of Naturopathy and Yogic Sciences</t>
  </si>
  <si>
    <t>B.A.S.L.P.-Bachelor of Audiology and Speech Language Pathology</t>
  </si>
  <si>
    <t>B.S.Course-Bachelor of Science (Physician Assistant and Emergency &amp; Trauma Care Management)</t>
  </si>
  <si>
    <t>B.F.Sc.-Bachelor of Fisheries Science</t>
  </si>
  <si>
    <t>B.P.A.-Bachelor of Performing Arts</t>
  </si>
  <si>
    <t>B.H.M.T.T.-Bachelor of Hotel Management, Travel and Tourism</t>
  </si>
  <si>
    <t>B.F.Tech.-Bachelor of Fashion Technology</t>
  </si>
  <si>
    <t>B.O.T.-Bachelor of Occupational Therapy</t>
  </si>
  <si>
    <t>B.H.T.M.-Bachelor of Hotel and Tourism Management</t>
  </si>
  <si>
    <t>B.Sc.(Sericulture)-Bachelor of Science in Sericulture</t>
  </si>
  <si>
    <t>B.S.M.S.-Bachelor of Sridhar Medicine and Surgery</t>
  </si>
  <si>
    <t>Visharad-Visharad</t>
  </si>
  <si>
    <t>B.V.Sc.-Bachelor of Veterinary Science</t>
  </si>
  <si>
    <t>B.N.Y.S.-Bachelor of Naturopathy and Yogic Sciences</t>
  </si>
  <si>
    <t>B.A.M.-Bachelor of Ayurved Medicine</t>
  </si>
  <si>
    <t>B.Plan.-Bachelor of Planning</t>
  </si>
  <si>
    <t>B.B.S.-Bachelor of Business Studies</t>
  </si>
  <si>
    <t>B.Ch.E.-Bachelor of Chemical Engineering</t>
  </si>
  <si>
    <t>B.Dance-Bachelor of Dance</t>
  </si>
  <si>
    <t>B.S.S.-Bachelor in Social Sciences</t>
  </si>
  <si>
    <t>B.C.E.-Bachelor of Civil Engineering</t>
  </si>
  <si>
    <t>B.P.S.-Bachelor of Professional Studies</t>
  </si>
  <si>
    <t>B.O.L.-Bachelor of Oriental Learning</t>
  </si>
  <si>
    <t>B.G.L.-Bachelor of General Law</t>
  </si>
  <si>
    <t>B.Stat.-Bachelor of Statistics</t>
  </si>
  <si>
    <t>Samaj Vidya Visharad-Samaj Vidya Visharad</t>
  </si>
  <si>
    <t>Hindi Shiksha Visharad-Hindi Shiksha Visharad</t>
  </si>
  <si>
    <t>Alankar-Alankar</t>
  </si>
  <si>
    <t>B.C.L.-Bachelor of Civil Law</t>
  </si>
  <si>
    <t>B.I.B.F.-Bachelor of International Business and Finance</t>
  </si>
  <si>
    <t>Vidhyalankar-Vidhyalankar</t>
  </si>
  <si>
    <t>B.Chem.Tech.-Bachelor of Chemical Technology</t>
  </si>
  <si>
    <t>PG Diploma-Post Graduate Diploma</t>
  </si>
  <si>
    <t>Diploma-Diploma</t>
  </si>
  <si>
    <t>D.Ed.-Diploma in Education</t>
  </si>
  <si>
    <t>G.N.M.-General Nursing &amp; Midwifery</t>
  </si>
  <si>
    <t>A.N.M.-Auxiliary Nurse &amp; Midwife</t>
  </si>
  <si>
    <t>D.Pharma-Diploma in Pharmacy</t>
  </si>
  <si>
    <t>D.Voc.-Diploma in Vocational Education</t>
  </si>
  <si>
    <t>Certificate-Certificate</t>
  </si>
  <si>
    <t>B.A. L.L.B.-Bachelor of Arts, Bachelor of Law or Laws</t>
  </si>
  <si>
    <t>B.A. B.Ed.-Bachelor of Arts, Bachelor of Education</t>
  </si>
  <si>
    <t>B.Tech M.Tech-Bachelor of Technology, Master of Technology</t>
  </si>
  <si>
    <t>Integrated M.Sc.-Integrated Master of Science</t>
  </si>
  <si>
    <t>Integrated M.B.A.-Integrated Master of Business Administration</t>
  </si>
  <si>
    <t>B.B.A. L.L.B.-Bachelor of Business Administration, Bachelor of Law or Laws</t>
  </si>
  <si>
    <t>Integrated M.A.-Integrated Master of Arts</t>
  </si>
  <si>
    <t>B.Com. L.L.B.-Bachelor of Commerce, Bachelor of Law</t>
  </si>
  <si>
    <t>B.S. M.S.-Bachelor of Science, Master of Science</t>
  </si>
  <si>
    <t>B.Sc. B.Ed.-Bachelor of Science, Bachelor of Education</t>
  </si>
  <si>
    <t>Integrated M.C.A.-Integrated Master of Computer Applications</t>
  </si>
  <si>
    <t>Integrated Ph.D-Integrated Doctor of Philosophy</t>
  </si>
  <si>
    <t>M.A. B.Ed.-Master of Arts, Bachelor of Education</t>
  </si>
  <si>
    <t>B.Sc. L.L.B.-Bachelor of Science, Bachelor of Law or Laws</t>
  </si>
  <si>
    <t>B.Com. B.Ed.-Bachelor of Commerce, Bachelor of Education</t>
  </si>
  <si>
    <t>M.Sc. B.Ed.-Master of Science, Bachelor of Education</t>
  </si>
  <si>
    <t>Discipline</t>
  </si>
  <si>
    <t>Arts</t>
  </si>
  <si>
    <t>Commerce</t>
  </si>
  <si>
    <t>Engineering &amp; Technology</t>
  </si>
  <si>
    <t>Mechanical Engineering</t>
  </si>
  <si>
    <t>Electronics Engineering</t>
  </si>
  <si>
    <t>IT &amp; Computer</t>
  </si>
  <si>
    <t>Computer Engineering</t>
  </si>
  <si>
    <t>Medical Science</t>
  </si>
  <si>
    <t>Civil Engineering</t>
  </si>
  <si>
    <t>Social Science</t>
  </si>
  <si>
    <t>Electrical Engineering</t>
  </si>
  <si>
    <t>Other Engineering &amp; Technology</t>
  </si>
  <si>
    <t>Information Technology</t>
  </si>
  <si>
    <t>Chemical Engineering</t>
  </si>
  <si>
    <t>Architecture</t>
  </si>
  <si>
    <t>Agriculture Engineering</t>
  </si>
  <si>
    <t>Aeronautical Engineering</t>
  </si>
  <si>
    <t>Metallurgical Engineering</t>
  </si>
  <si>
    <t>Food Technology</t>
  </si>
  <si>
    <t>Mining Engineering</t>
  </si>
  <si>
    <t>Marine Engineering</t>
  </si>
  <si>
    <t>Dairy Technology</t>
  </si>
  <si>
    <t>Planning</t>
  </si>
  <si>
    <t>Engineering &amp; Technology Total</t>
  </si>
  <si>
    <t>Pharmacy</t>
  </si>
  <si>
    <t>General Medicine</t>
  </si>
  <si>
    <t>Dentistry</t>
  </si>
  <si>
    <t>Homeopathy</t>
  </si>
  <si>
    <t>Ayurveda</t>
  </si>
  <si>
    <t>Physiotherapy</t>
  </si>
  <si>
    <t>Hospital Administration</t>
  </si>
  <si>
    <t>Ophthalmology</t>
  </si>
  <si>
    <t>Unani</t>
  </si>
  <si>
    <t>Pathology</t>
  </si>
  <si>
    <t>Medical Management</t>
  </si>
  <si>
    <t>Occupational Therapy</t>
  </si>
  <si>
    <t>General Surgery</t>
  </si>
  <si>
    <t>Other Medical Science</t>
  </si>
  <si>
    <t>Medical Science Total</t>
  </si>
  <si>
    <t>Management</t>
  </si>
  <si>
    <t>Indian Language</t>
  </si>
  <si>
    <t>Foreign Language</t>
  </si>
  <si>
    <t>Library &amp; Information Science</t>
  </si>
  <si>
    <t>Home Science</t>
  </si>
  <si>
    <t>Physical Education</t>
  </si>
  <si>
    <t>Area Studies</t>
  </si>
  <si>
    <t>Social Work</t>
  </si>
  <si>
    <t>Fashion Technology</t>
  </si>
  <si>
    <t>Linguistics</t>
  </si>
  <si>
    <t>Design</t>
  </si>
  <si>
    <t>Veterinary &amp; Animal Sciences</t>
  </si>
  <si>
    <t>Religious Studies</t>
  </si>
  <si>
    <t>Women Studies</t>
  </si>
  <si>
    <t>Fisheries Science</t>
  </si>
  <si>
    <t>Defence Studies</t>
  </si>
  <si>
    <t>Criminology &amp; Forensic Science</t>
  </si>
  <si>
    <t>Gandhian Studies</t>
  </si>
  <si>
    <t>Marine Science / Oceanography</t>
  </si>
  <si>
    <t>Horticulture</t>
  </si>
  <si>
    <t>Forestry</t>
  </si>
  <si>
    <t>Sericulture</t>
  </si>
  <si>
    <t>Agriculture Total</t>
  </si>
  <si>
    <t>Foreign Trade</t>
  </si>
  <si>
    <t>Commerce Total</t>
  </si>
  <si>
    <t>Interior Design</t>
  </si>
  <si>
    <t>Design Total</t>
  </si>
  <si>
    <t xml:space="preserve">Disability Studies
</t>
  </si>
  <si>
    <t>Urban Planning</t>
  </si>
  <si>
    <t>Transportation Planning</t>
  </si>
  <si>
    <t>Performing Arts</t>
  </si>
  <si>
    <t>Music</t>
  </si>
  <si>
    <t>Visual Arts</t>
  </si>
  <si>
    <t>Fine Arts Total</t>
  </si>
  <si>
    <t>English</t>
  </si>
  <si>
    <t>Other Foreign Languages</t>
  </si>
  <si>
    <t>French</t>
  </si>
  <si>
    <t>German</t>
  </si>
  <si>
    <t>Spanish</t>
  </si>
  <si>
    <t>Foreign Language Total</t>
  </si>
  <si>
    <t>Nutrition</t>
  </si>
  <si>
    <t>Home Science Total</t>
  </si>
  <si>
    <t>Hindi</t>
  </si>
  <si>
    <t>Other Indian Languages</t>
  </si>
  <si>
    <t>Bengali</t>
  </si>
  <si>
    <t>Urdu</t>
  </si>
  <si>
    <t>Telugu</t>
  </si>
  <si>
    <t>Tamil</t>
  </si>
  <si>
    <t>Kannada</t>
  </si>
  <si>
    <t>Punjabi</t>
  </si>
  <si>
    <t>Malayalam</t>
  </si>
  <si>
    <t>Odiya</t>
  </si>
  <si>
    <t>Indian Language Total</t>
  </si>
  <si>
    <t>Computer Application</t>
  </si>
  <si>
    <t>Computer Science</t>
  </si>
  <si>
    <t>Animation</t>
  </si>
  <si>
    <t>Multi Media</t>
  </si>
  <si>
    <t>IT &amp; Computer Total</t>
  </si>
  <si>
    <t>International Law</t>
  </si>
  <si>
    <t>Constitutional Law</t>
  </si>
  <si>
    <t>Civil Law</t>
  </si>
  <si>
    <t>Cyber Crime</t>
  </si>
  <si>
    <t>Law Total</t>
  </si>
  <si>
    <t>Business Administration</t>
  </si>
  <si>
    <t>Business Management</t>
  </si>
  <si>
    <t>Other Management</t>
  </si>
  <si>
    <t>Technology</t>
  </si>
  <si>
    <t>Financial Management</t>
  </si>
  <si>
    <t>Human Resource Management</t>
  </si>
  <si>
    <t>Marketing Management</t>
  </si>
  <si>
    <t>Agri-Business Management</t>
  </si>
  <si>
    <t>International Business</t>
  </si>
  <si>
    <t>Pharmaceutical Technology</t>
  </si>
  <si>
    <t>Tourism Management</t>
  </si>
  <si>
    <t>Hotel Management</t>
  </si>
  <si>
    <t>Management Total</t>
  </si>
  <si>
    <t>Anesthesiology</t>
  </si>
  <si>
    <t>Pediatrics</t>
  </si>
  <si>
    <t>Gynaecology</t>
  </si>
  <si>
    <t>Orthopaedics</t>
  </si>
  <si>
    <t>Radiology</t>
  </si>
  <si>
    <t>ENT</t>
  </si>
  <si>
    <t>Public Health</t>
  </si>
  <si>
    <t>Microbiology</t>
  </si>
  <si>
    <t>Dermatology</t>
  </si>
  <si>
    <t>Psychiatry</t>
  </si>
  <si>
    <t>Bio-Chemistry</t>
  </si>
  <si>
    <t>Physiology</t>
  </si>
  <si>
    <t>Anatomy</t>
  </si>
  <si>
    <t>Indian Medicine</t>
  </si>
  <si>
    <t>Radiothrapy</t>
  </si>
  <si>
    <t>Bio-Physics</t>
  </si>
  <si>
    <t>Bio-Technology</t>
  </si>
  <si>
    <t>Forensic Medicine/ Toxicology</t>
  </si>
  <si>
    <t>Cardiology</t>
  </si>
  <si>
    <t>Medical Physics</t>
  </si>
  <si>
    <t>Lab Medicine</t>
  </si>
  <si>
    <t>Oncology</t>
  </si>
  <si>
    <t>Haematology</t>
  </si>
  <si>
    <t>Nuclear Medicine</t>
  </si>
  <si>
    <t>Gastroenterology</t>
  </si>
  <si>
    <t>Urology</t>
  </si>
  <si>
    <t>Neurology</t>
  </si>
  <si>
    <t>Nephrology</t>
  </si>
  <si>
    <t>Bio-Statistics</t>
  </si>
  <si>
    <t>Plastic Surgery</t>
  </si>
  <si>
    <t>Endocrinology</t>
  </si>
  <si>
    <t>Hepatology</t>
  </si>
  <si>
    <t>Jyotisha</t>
  </si>
  <si>
    <t>Veda</t>
  </si>
  <si>
    <t>Oriental Learning Total</t>
  </si>
  <si>
    <t>Yoga</t>
  </si>
  <si>
    <t>Physical Education Total</t>
  </si>
  <si>
    <t>Islamic Studies</t>
  </si>
  <si>
    <t>Theology</t>
  </si>
  <si>
    <t>Christian Studies</t>
  </si>
  <si>
    <t>Buddhist Studies</t>
  </si>
  <si>
    <t>Jainism</t>
  </si>
  <si>
    <t>Religious Studies Total</t>
  </si>
  <si>
    <t>Mathematics</t>
  </si>
  <si>
    <t>Chemistry</t>
  </si>
  <si>
    <t>Physics</t>
  </si>
  <si>
    <t>Other Science</t>
  </si>
  <si>
    <t>Zoology</t>
  </si>
  <si>
    <t>Botany</t>
  </si>
  <si>
    <t>Life Science</t>
  </si>
  <si>
    <t>Statistics</t>
  </si>
  <si>
    <t>Environmental Science</t>
  </si>
  <si>
    <t>Geology</t>
  </si>
  <si>
    <t>Bio-Science</t>
  </si>
  <si>
    <t>Electronics</t>
  </si>
  <si>
    <t>Geo-Physics</t>
  </si>
  <si>
    <t>Genetics</t>
  </si>
  <si>
    <t>Science Total</t>
  </si>
  <si>
    <t>Sociology</t>
  </si>
  <si>
    <t>History</t>
  </si>
  <si>
    <t>Political Science</t>
  </si>
  <si>
    <t>Other Social Science</t>
  </si>
  <si>
    <t>Economics</t>
  </si>
  <si>
    <t>Geography</t>
  </si>
  <si>
    <t>Psychology</t>
  </si>
  <si>
    <t>Public Administration</t>
  </si>
  <si>
    <t>Philosophy</t>
  </si>
  <si>
    <t>Anthropology</t>
  </si>
  <si>
    <t>Population Studies</t>
  </si>
  <si>
    <t>Social Science Total</t>
  </si>
  <si>
    <t>Dairy Science</t>
  </si>
  <si>
    <t>Veterinary &amp; Animal Sciences Total</t>
  </si>
  <si>
    <t>Table 16.</t>
  </si>
  <si>
    <t>NEPAL</t>
  </si>
  <si>
    <t>AFGHANISTAN</t>
  </si>
  <si>
    <t>AUSTRALIA</t>
  </si>
  <si>
    <t>SUDAN</t>
  </si>
  <si>
    <t>INDONESIA</t>
  </si>
  <si>
    <t>BHUTAN</t>
  </si>
  <si>
    <t>NIGERIA</t>
  </si>
  <si>
    <t>IRAN, ISLAMIC REPUBLIC OF</t>
  </si>
  <si>
    <t>BANGLADESH</t>
  </si>
  <si>
    <t>YEMEN</t>
  </si>
  <si>
    <t>UNITED STATES</t>
  </si>
  <si>
    <t>ANGOLA</t>
  </si>
  <si>
    <t>MALAYSIA</t>
  </si>
  <si>
    <t>SRI LANKA</t>
  </si>
  <si>
    <t>UNITED ARAB EMIRATES</t>
  </si>
  <si>
    <t>TANZANIA, UNITED REPUBLIC OF</t>
  </si>
  <si>
    <t>ETHIOPIA</t>
  </si>
  <si>
    <t>CONGO</t>
  </si>
  <si>
    <t>TIBETAN REFUGEES</t>
  </si>
  <si>
    <t>IRAQ</t>
  </si>
  <si>
    <t>KENYA</t>
  </si>
  <si>
    <t>ZAMBIA</t>
  </si>
  <si>
    <t>SOMALIA</t>
  </si>
  <si>
    <t>THAILAND</t>
  </si>
  <si>
    <t>SAUDI ARABIA</t>
  </si>
  <si>
    <t>ICELAND</t>
  </si>
  <si>
    <t>KUWAIT</t>
  </si>
  <si>
    <t>BAHRAIN</t>
  </si>
  <si>
    <t>ZIMBABWE</t>
  </si>
  <si>
    <t>MYANMAR</t>
  </si>
  <si>
    <t>OMAN</t>
  </si>
  <si>
    <t>CANADA</t>
  </si>
  <si>
    <t>RWANDA</t>
  </si>
  <si>
    <t>VIET NAM</t>
  </si>
  <si>
    <t>UGANDA</t>
  </si>
  <si>
    <t>QATAR</t>
  </si>
  <si>
    <t>SYRIAN ARAB REPUBLIC</t>
  </si>
  <si>
    <t>CONGO, THE DEMOCRATIC REPUBLIC OF THE</t>
  </si>
  <si>
    <t>MAURITIUS</t>
  </si>
  <si>
    <t>SOUTH AFRICA</t>
  </si>
  <si>
    <t>MALDIVES</t>
  </si>
  <si>
    <t>SWITZERLAND</t>
  </si>
  <si>
    <t>CHINA</t>
  </si>
  <si>
    <t>MOZAMBIQUE</t>
  </si>
  <si>
    <t>UNITED KINGDOM</t>
  </si>
  <si>
    <t>KOREA, REPUBLIC OF</t>
  </si>
  <si>
    <t>LIBYAN ARAB JAMAHIRIYA</t>
  </si>
  <si>
    <t>GHANA</t>
  </si>
  <si>
    <t>CÃ”TE D'IVOIRE</t>
  </si>
  <si>
    <t>SINGAPORE</t>
  </si>
  <si>
    <t>MALI</t>
  </si>
  <si>
    <t>CAMEROON</t>
  </si>
  <si>
    <t>FRANCE</t>
  </si>
  <si>
    <t>ERITREA</t>
  </si>
  <si>
    <t>TURKMENISTAN</t>
  </si>
  <si>
    <t>MALAWI</t>
  </si>
  <si>
    <t>JORDAN</t>
  </si>
  <si>
    <t>EGYPT</t>
  </si>
  <si>
    <t>BURUNDI</t>
  </si>
  <si>
    <t>COMOROS</t>
  </si>
  <si>
    <t>NAMIBIA</t>
  </si>
  <si>
    <t>AUSTRIA</t>
  </si>
  <si>
    <t>CHAD</t>
  </si>
  <si>
    <t>DJIBOUTI</t>
  </si>
  <si>
    <t>ALGERIA</t>
  </si>
  <si>
    <t>GAMBIA</t>
  </si>
  <si>
    <t>TOGO</t>
  </si>
  <si>
    <t>LESOTHO</t>
  </si>
  <si>
    <t>PALESTINIAN TERRITORY, OCCUPIED</t>
  </si>
  <si>
    <t>UZBEKISTAN</t>
  </si>
  <si>
    <t>PAPUA NEW GUINEA</t>
  </si>
  <si>
    <t>JAPAN</t>
  </si>
  <si>
    <t>NIGER</t>
  </si>
  <si>
    <t>GUINEA</t>
  </si>
  <si>
    <t>TURKEY</t>
  </si>
  <si>
    <t>RUSSIAN FEDERATION</t>
  </si>
  <si>
    <t>CAMBODIA</t>
  </si>
  <si>
    <t>MADAGASCAR</t>
  </si>
  <si>
    <t>FIJI</t>
  </si>
  <si>
    <t>AMERICAN SAMOA</t>
  </si>
  <si>
    <t>KOREA, DEMOCRATIC PEOPLE'S REPUBLIC OF</t>
  </si>
  <si>
    <t>LIBERIA</t>
  </si>
  <si>
    <t>GERMANY</t>
  </si>
  <si>
    <t>BOTSWANA</t>
  </si>
  <si>
    <t>MONGOLIA</t>
  </si>
  <si>
    <t>ITALY</t>
  </si>
  <si>
    <t>PHILIPPINES</t>
  </si>
  <si>
    <t>PAKISTAN</t>
  </si>
  <si>
    <t>TAJIKISTAN</t>
  </si>
  <si>
    <t>NEW ZEALAND</t>
  </si>
  <si>
    <t>LAO PEOPLE'S DEMOCRATIC REPUBLIC</t>
  </si>
  <si>
    <t>SIERRA LEONE</t>
  </si>
  <si>
    <t>MEXICO</t>
  </si>
  <si>
    <t>BRAZIL</t>
  </si>
  <si>
    <t>GABON</t>
  </si>
  <si>
    <t>SEYCHELLES</t>
  </si>
  <si>
    <t>ALBANIA</t>
  </si>
  <si>
    <t>IRELAND</t>
  </si>
  <si>
    <t>KAZAKHSTAN</t>
  </si>
  <si>
    <t>SAMOA</t>
  </si>
  <si>
    <t>TIMOR-LESTE</t>
  </si>
  <si>
    <t>BRITISH INDIAN OCEAN TERRITORY</t>
  </si>
  <si>
    <t>SWEDEN</t>
  </si>
  <si>
    <t>SWAZILAND</t>
  </si>
  <si>
    <t>SPAIN</t>
  </si>
  <si>
    <t>GUYANA</t>
  </si>
  <si>
    <t>BENIN</t>
  </si>
  <si>
    <t>MAURITANIA</t>
  </si>
  <si>
    <t>NETHERLANDS</t>
  </si>
  <si>
    <t>CAPE VERDE</t>
  </si>
  <si>
    <t>KYRGYZSTAN</t>
  </si>
  <si>
    <t>TAIWAN, PROVINCE OF CHINA</t>
  </si>
  <si>
    <t>ISRAEL</t>
  </si>
  <si>
    <t>BURKINA FASO</t>
  </si>
  <si>
    <t>UKRAINE</t>
  </si>
  <si>
    <t>ARGENTINA</t>
  </si>
  <si>
    <t>PORTUGAL</t>
  </si>
  <si>
    <t>POLAND</t>
  </si>
  <si>
    <t>GUINEA-BISSAU</t>
  </si>
  <si>
    <t>BELGIUM</t>
  </si>
  <si>
    <t>DENMARK</t>
  </si>
  <si>
    <t>NORWAY</t>
  </si>
  <si>
    <t>BULGARIA</t>
  </si>
  <si>
    <t>HONG KONG</t>
  </si>
  <si>
    <t>CHILE</t>
  </si>
  <si>
    <t>TUNISIA</t>
  </si>
  <si>
    <t>ROMANIA</t>
  </si>
  <si>
    <t>HUNGARY</t>
  </si>
  <si>
    <t>MOROCCO</t>
  </si>
  <si>
    <t>ISLE OF MAN</t>
  </si>
  <si>
    <t>BELIZE</t>
  </si>
  <si>
    <t>TRINIDAD AND TOBAGO</t>
  </si>
  <si>
    <t>FINLAND</t>
  </si>
  <si>
    <t>ARMENIA</t>
  </si>
  <si>
    <t>COLOMBIA</t>
  </si>
  <si>
    <t>SURINAME</t>
  </si>
  <si>
    <t>NICARAGUA</t>
  </si>
  <si>
    <t>BOLIVIA</t>
  </si>
  <si>
    <t>PANAMA</t>
  </si>
  <si>
    <t>LEBANON</t>
  </si>
  <si>
    <t>LITHUANIA</t>
  </si>
  <si>
    <t>CZECH REPUBLIC</t>
  </si>
  <si>
    <t>JAMAICA</t>
  </si>
  <si>
    <t>PERU</t>
  </si>
  <si>
    <t>BELARUS</t>
  </si>
  <si>
    <t>TONGA</t>
  </si>
  <si>
    <t>ECUADOR</t>
  </si>
  <si>
    <t>ANTARCTICA</t>
  </si>
  <si>
    <t>BARBADOS</t>
  </si>
  <si>
    <t>LATVIA</t>
  </si>
  <si>
    <t>BAHAMAS</t>
  </si>
  <si>
    <t>SENEGAL</t>
  </si>
  <si>
    <t>COSTA RICA</t>
  </si>
  <si>
    <t>CENTRAL AFRICAN REPUBLIC</t>
  </si>
  <si>
    <t>Table 17.</t>
  </si>
  <si>
    <t xml:space="preserve"> Male</t>
  </si>
  <si>
    <t xml:space="preserve"> Female</t>
  </si>
  <si>
    <t>More than 1000</t>
  </si>
  <si>
    <t>Table 11.</t>
  </si>
  <si>
    <t>Table 11(a).</t>
  </si>
  <si>
    <t>State/UTs</t>
  </si>
  <si>
    <t>Both</t>
  </si>
  <si>
    <t>All Institutions</t>
  </si>
  <si>
    <t>University &amp; Colleges</t>
  </si>
  <si>
    <t>University &amp; its Constituent Units</t>
  </si>
  <si>
    <t>Regular &amp; Distance Mode</t>
  </si>
  <si>
    <t>Regular Mode</t>
  </si>
  <si>
    <t>Professor &amp; Equivalent</t>
  </si>
  <si>
    <t>Reader &amp; Associate Professor</t>
  </si>
  <si>
    <t>Lecturer/ Assistant Professor</t>
  </si>
  <si>
    <t>Demonstrator/ Tutor</t>
  </si>
  <si>
    <t>Temporary Teacher etc</t>
  </si>
  <si>
    <t>Visiting Teacher</t>
  </si>
  <si>
    <t>Table 23.</t>
  </si>
  <si>
    <t>Group-A</t>
  </si>
  <si>
    <t>Group-B</t>
  </si>
  <si>
    <t>Group-C</t>
  </si>
  <si>
    <t>Group-D</t>
  </si>
  <si>
    <t>Table 24.</t>
  </si>
  <si>
    <t>Education/Teacher Education</t>
  </si>
  <si>
    <t xml:space="preserve">Home Sceince </t>
  </si>
  <si>
    <t>Hotel &amp; Tourism Management</t>
  </si>
  <si>
    <t>Medical-Allopathy</t>
  </si>
  <si>
    <t>Medical-Ayurveda</t>
  </si>
  <si>
    <t>Medical-Dental</t>
  </si>
  <si>
    <t>Medical-Homeopathy</t>
  </si>
  <si>
    <t>Medical-Others</t>
  </si>
  <si>
    <t>Para Medical</t>
  </si>
  <si>
    <t>Boys Hostel</t>
  </si>
  <si>
    <t>Girls Hostel</t>
  </si>
  <si>
    <t>Others Hostel</t>
  </si>
  <si>
    <t>Total Hostel</t>
  </si>
  <si>
    <t>Intake</t>
  </si>
  <si>
    <t>Residing</t>
  </si>
  <si>
    <t>Table 32.</t>
  </si>
  <si>
    <t>Table 21.</t>
  </si>
  <si>
    <t>Table 22.</t>
  </si>
  <si>
    <t>Sl. No,</t>
  </si>
  <si>
    <t>Table 22a.</t>
  </si>
  <si>
    <t>Table 22b.</t>
  </si>
  <si>
    <t>Table 29.</t>
  </si>
  <si>
    <t>Table 30.</t>
  </si>
  <si>
    <t>Stand Alone Institutions</t>
  </si>
  <si>
    <t>Registered</t>
  </si>
  <si>
    <t>Responded</t>
  </si>
  <si>
    <t>% of Response</t>
  </si>
  <si>
    <t>Boys Hotel</t>
  </si>
  <si>
    <t>Programme</t>
  </si>
  <si>
    <t>Ladakh</t>
  </si>
  <si>
    <t>D.Mus.-Doctor of Music</t>
  </si>
  <si>
    <t>M.Des. (CAD)</t>
  </si>
  <si>
    <t>M.Sc. (CAD/CAM)-Master of Science in Creative Designing CAD/CAM</t>
  </si>
  <si>
    <t>M.Q.P.M.-Master of Quality and Productivity Management</t>
  </si>
  <si>
    <t>B.Sc.(FDP)-Bachelor of Science in Footwear Design and Production</t>
  </si>
  <si>
    <t>B.Sc.(RFM)-Bachelor of Science in Retail and Fashion Merchandize</t>
  </si>
  <si>
    <t>Medical Laboratory Technician</t>
  </si>
  <si>
    <t>B.Sc.(FLAD)-Bachelor of Science in Fashion Leather and Accessory Design</t>
  </si>
  <si>
    <t>B.I.M.-Bachelor of Indian Medicine</t>
  </si>
  <si>
    <t>M.Com. B.Ed.-Master of Commerce, Bachelor of Education</t>
  </si>
  <si>
    <t xml:space="preserve">AII India </t>
  </si>
  <si>
    <t>Paramedical Science</t>
  </si>
  <si>
    <t>Hospitality and Tourism</t>
  </si>
  <si>
    <t>Footwear  Design</t>
  </si>
  <si>
    <t>CAD</t>
  </si>
  <si>
    <t>Creative Designing CAD/CAM</t>
  </si>
  <si>
    <t>Footwear Design &amp; Production</t>
  </si>
  <si>
    <t>Retail &amp; Fashion Merchandize</t>
  </si>
  <si>
    <t>Footwear  Design Total</t>
  </si>
  <si>
    <t xml:space="preserve">Paramedical Science </t>
  </si>
  <si>
    <t>Country Name</t>
  </si>
  <si>
    <t>Paramedical</t>
  </si>
  <si>
    <t>Hotel Management and Catering</t>
  </si>
  <si>
    <t xml:space="preserve">Programme </t>
  </si>
  <si>
    <t>NAURU</t>
  </si>
  <si>
    <t>MARTINIQUE</t>
  </si>
  <si>
    <t>SERBIA</t>
  </si>
  <si>
    <t>VENEZUELA</t>
  </si>
  <si>
    <t>GEORGIA</t>
  </si>
  <si>
    <t>WALLIS AND FUTUNA</t>
  </si>
  <si>
    <t>ESTONIA</t>
  </si>
  <si>
    <t>CROATIA</t>
  </si>
  <si>
    <t>PARAGUAY</t>
  </si>
  <si>
    <t>HAITI</t>
  </si>
  <si>
    <t>KIRIBATI</t>
  </si>
  <si>
    <t>MACEDONIA, THE FORMER YUGOSLAV REPUBLIC OF</t>
  </si>
  <si>
    <t>TURKS AND CAICOS ISLANDS</t>
  </si>
  <si>
    <t>SLOVAKIA</t>
  </si>
  <si>
    <t xml:space="preserve">Andhra Pradesh </t>
  </si>
  <si>
    <t xml:space="preserve">Madhya Pradesh </t>
  </si>
  <si>
    <t>Tamilnadu</t>
  </si>
  <si>
    <t>Gandhian / Religious Studies</t>
  </si>
  <si>
    <t>Sports / Yoga / Physical Education</t>
  </si>
  <si>
    <t>Ayurveda Vachaspati-Ph.D. in Ayurveda</t>
  </si>
  <si>
    <t>-</t>
  </si>
  <si>
    <t>In UTs of Andaman &amp; Nicobar Islands, Dadra &amp; Nagar Haveli, Daman &amp; Diu and Lakshadweep, there is no University.</t>
  </si>
  <si>
    <t>Number of Universities</t>
  </si>
  <si>
    <t>Table 6(b).</t>
  </si>
  <si>
    <t>Temporary Teacher etc.</t>
  </si>
  <si>
    <t>Scheduled Caste</t>
  </si>
  <si>
    <t>Scheduled Tribe</t>
  </si>
  <si>
    <t>Other Backward Classes</t>
  </si>
  <si>
    <t>Footwear Design Total</t>
  </si>
  <si>
    <t>Lakshadweep*</t>
  </si>
  <si>
    <t>* Lakshadweep dose not have any University/Colleges &amp; Stand Alone Institutions. However 3 PG/Off-shore campus of University of Calicut, Malappuram are functiong from Lakshadweep.</t>
  </si>
  <si>
    <t>No. of Colleges per lakh Population</t>
  </si>
  <si>
    <t>Table 25. PUPIL TEACHER RATIO (PTR) IN HIGHER EDUCATION</t>
  </si>
  <si>
    <t>28. PWD and Minority Enrolment in various types of Universities 
(Based on actual Response)
(a) Teaching Departments and Constituent Units/Off-campus Centres</t>
  </si>
  <si>
    <t>28. PWD and Minority Enrolment in various types of Universities 
(Based on actual Response)
(b) Affiliated and Constituent Colleges</t>
  </si>
  <si>
    <t>Social Group-wise Number of Teachers in various types of Universities (Based on actual Response)
(b) Affiliated and Constituent Colleges</t>
  </si>
  <si>
    <t>State-wise Out-turn/Pass-Out at various levels
(Based on actual Response)</t>
  </si>
  <si>
    <t>Table 34. Programme-wise Out-turn/Pass-Out (Based on actual Response)</t>
  </si>
  <si>
    <t>Table 35. Out-turn/Pass-Out at Under Graduate Level in Major Disciplines/ Subjects
              (Based on actual Response)</t>
  </si>
  <si>
    <t>Table 36. Out-turn/Pass-Out at Ph.D., M.Phil. &amp; Post Graduate Level in Major Disciplines/ Subjects
                 (Based on actual Response)</t>
  </si>
  <si>
    <t>Table 38: POPULATION (18-23 Years) - 2019-20</t>
  </si>
  <si>
    <t>Table 40: Number of Universities during last 5 years</t>
  </si>
  <si>
    <t>2015-16</t>
  </si>
  <si>
    <t>2016-17</t>
  </si>
  <si>
    <t>2017-18</t>
  </si>
  <si>
    <t>2018-19</t>
  </si>
  <si>
    <t>2019-20</t>
  </si>
  <si>
    <t>India</t>
  </si>
  <si>
    <t>Table 41: Number of Universities by Type during last 5 years</t>
  </si>
  <si>
    <t>Table 42:</t>
  </si>
  <si>
    <t>Various College Indicators during last 5 years</t>
  </si>
  <si>
    <t>College per Lakh Population</t>
  </si>
  <si>
    <t>Table 43:</t>
  </si>
  <si>
    <t>Table 44:</t>
  </si>
  <si>
    <t>Table 45:</t>
  </si>
  <si>
    <t>Scheduled  Caste</t>
  </si>
  <si>
    <t xml:space="preserve">Table 46: </t>
  </si>
  <si>
    <t>ALL</t>
  </si>
  <si>
    <t>Table 49:</t>
  </si>
  <si>
    <t xml:space="preserve">Table 50: </t>
  </si>
  <si>
    <t>All University Types</t>
  </si>
  <si>
    <t xml:space="preserve">Table 51: </t>
  </si>
  <si>
    <t>Post-wise Number of Teachers during last 5 years</t>
  </si>
  <si>
    <t>All Teacher</t>
  </si>
  <si>
    <t>State/Gender</t>
  </si>
  <si>
    <t xml:space="preserve">Male </t>
  </si>
  <si>
    <t xml:space="preserve">Female </t>
  </si>
  <si>
    <t>5. Number of Private and Government Colleges
(Based on actual Response)</t>
  </si>
  <si>
    <t>Programme-wise Enrolment (Based on actual Response)</t>
  </si>
  <si>
    <t>Programme-wise Enrolment - Distance Mode
(Based on actual Response)</t>
  </si>
  <si>
    <t>Table 12. Enrolment at Under Graduate Level in Major Disciplines/ Subjects (Based on actual Response)</t>
  </si>
  <si>
    <t>Table 13. Enrolment at Ph.D., M.Phil. &amp; Post Graduate Level in Major Disciplines/ Subjects (Based on actual Response)</t>
  </si>
  <si>
    <t>Country-wise &amp; Level-wise Foreign Students
(Based on actual Response)</t>
  </si>
  <si>
    <t>State-wise &amp; Level-wise Foreign Students
(Based on actual Response)</t>
  </si>
  <si>
    <t>18. Foreign Students in Different Programmes (Based on actual Response)</t>
  </si>
  <si>
    <t>Table 19. GROSS ENROLMENT RATIO (GER) IN HIGHER EDUCATION (18-23 Years)</t>
  </si>
  <si>
    <t>Table 20. GENDER PARITY INDEX (GPI) IN HIGHER EDUCATION (18-23 Years)</t>
  </si>
  <si>
    <t>(a). State-wise Number of Non-Teaching staff among various Social Groups
(Based on actual Response)</t>
  </si>
  <si>
    <t xml:space="preserve"> Number of Hostels, Intake and Student Residing in various types of Universities 
(Based on actual Response)
(a) Teaching departments and Constituent Units/Off-campus Centres</t>
  </si>
  <si>
    <t xml:space="preserve"> Number of Hostels, Intake and Student Residing in various types of Universities 
(Based on actual Response)
(b) Affiliated and Constituent Colleges</t>
  </si>
  <si>
    <t>Level-wise Enrolment in various types of Universities 
(Based on actual Response)
(a) Teaching departments and Constituent Units/Off-campus Centres</t>
  </si>
  <si>
    <t>Level-wise Enrolment in various types of Universities 
(Based on actual Response)
(b) Affiliated and Constituent Colleges</t>
  </si>
  <si>
    <t>27. Social Group-wise Enrolment in various types of Universities 
(Based on actual Response)
(a) Teaching Departments and Constituent Units/Off-campus Centres</t>
  </si>
  <si>
    <t>27. Social Group-wise Enrolment in various types of Universities 
(Based on actual Response)
(b) Affiliated and Constituent Colleges</t>
  </si>
  <si>
    <t>Post-wise Number of Teachers in various types of Universities 
(Based on actual Response)
(a) Teaching Departments and Constituent Units/Off-campus Centres</t>
  </si>
  <si>
    <t>Post-wise Number of Teachers in various types of Universities 
(Based on actual Response)
(b) Affiliated and Constituent Colleges</t>
  </si>
  <si>
    <t>Social Group-wise Number of Teachers in various types of Universities
(Based on actual Response)
(a) Teaching Departments and Constituent Units/Off-campus Centres</t>
  </si>
  <si>
    <t>1. State &amp; Type-wise Number of Universities</t>
  </si>
  <si>
    <t>6. State-wise Estimated Enrolment at various levels</t>
  </si>
  <si>
    <t>State &amp; Post-wise Number of Male &amp; Female Non-Teaching staff
(Based on actual Response)</t>
  </si>
  <si>
    <t>Enrolment by Type in  University teaching departments and its Constituent Units/Off-campus Centres (Based on actual Response)</t>
  </si>
  <si>
    <t>Estimated Student Enrolment at various levels during last 5 years</t>
  </si>
  <si>
    <t>Student Enrolment at various levels through Regular mode during last 5 years</t>
  </si>
  <si>
    <t>Social Group-wise Enrolment during last 5 years</t>
  </si>
  <si>
    <t>Enrolment in Minority Community &amp; PWD during last 5 years</t>
  </si>
  <si>
    <t xml:space="preserve">Table 47: </t>
  </si>
  <si>
    <t>Gross Enrolment Ratio (GER) during last 5 years</t>
  </si>
  <si>
    <t>Gender Parity Index (GPI) during last 5 years</t>
  </si>
  <si>
    <t xml:space="preserve">Table 48: </t>
  </si>
  <si>
    <t>Pupil Teacher Ratio (PTR) during last 5 years</t>
  </si>
  <si>
    <t>Enrolment by University Type at various levels during last 5 years</t>
  </si>
  <si>
    <t>Table 52:</t>
  </si>
  <si>
    <t>Population in the Age Group 18-23 Years during last 5 years</t>
  </si>
  <si>
    <t>Unversities</t>
  </si>
  <si>
    <t>Colleges</t>
  </si>
  <si>
    <t>No. of Colleges</t>
  </si>
  <si>
    <t>Private Total</t>
  </si>
  <si>
    <t>14.State-wise Estimated Enrolment for different Social Groups</t>
  </si>
  <si>
    <t>15. State-wise Estimated Enrolment in PWD and Minority Communities</t>
  </si>
  <si>
    <t>(b). State-wise Number of Non-Teaching staff among PWD &amp; Minority  Communities (Based on actual Response)</t>
  </si>
  <si>
    <t xml:space="preserve">Table 1a. </t>
  </si>
  <si>
    <t>Total Number of Institutions Registered and Responded in AISHE 2019-20</t>
  </si>
  <si>
    <t>Table 2.</t>
  </si>
  <si>
    <t>State &amp; Specialisation-wise Number of Universities
 (Based on actual Response)</t>
  </si>
  <si>
    <t>State-wise Distribution of Districts in Different Ranges of number of Colleges</t>
  </si>
  <si>
    <t>Table 3.</t>
  </si>
  <si>
    <t>Table 4a.</t>
  </si>
  <si>
    <t>Specialisation-wise number of Colleges (Based on actual Response)</t>
  </si>
  <si>
    <t xml:space="preserve"> Table 4. Number of Colleges per Lakh Population (18-23 Years), 
Average Enrolment per College</t>
  </si>
  <si>
    <t>5(a). Enrolment in Private and Government Colleges
(Based on actual Response)</t>
  </si>
  <si>
    <t>5(b). Number of Colleges Established in 2019 and their Enrolment
(Based on actual Response)</t>
  </si>
  <si>
    <t>State-wise Estimated Enrolment through Regular mode at various levels</t>
  </si>
  <si>
    <t>Enrolment in Universities Teaching Departments and its Constituent Units/Off-campus Centres (Based on actual Response)</t>
  </si>
  <si>
    <t>Number of Colleges and Enrolment in responding Colleges at various levels 
(Based on actual Response)</t>
  </si>
  <si>
    <t>Number and Enrolment in different types of Stand Alone Institutions 
(Based on actual Response)</t>
  </si>
  <si>
    <t>Table 10.</t>
  </si>
  <si>
    <t xml:space="preserve"> State-wise Estimated Enrolment in Colleges</t>
  </si>
  <si>
    <t>(a). State-wise Number of Teachers among various Social Groups 
(Based on actual Response)</t>
  </si>
  <si>
    <t>(b). State-wise Number of Teachers among Minority &amp; PWD 
(Based on actual Response)</t>
  </si>
  <si>
    <t>State &amp; Post-wise Number of Male &amp; Female Teachers 
(Based on actual Response)</t>
  </si>
  <si>
    <t>Post-Wise Number of Teachers in Universities &amp; its Colleges 
(Based on actual Response)</t>
  </si>
  <si>
    <t>Number of Teachers in Universities teaching departments and its Constituent Units/Off-campus Centres (Based on actual Response)</t>
  </si>
  <si>
    <t xml:space="preserve">Table 31. </t>
  </si>
  <si>
    <t>State-wise Number of Hostels, Intake and Student Residing (Based on actual Response)</t>
  </si>
  <si>
    <t>State-wise Enrolment through Distance mode at various levels (Based on actual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</si>
</sst>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&quot;-&quot;###0"/>
    <numFmt numFmtId="167" formatCode="0;\-0;;@"/>
    <numFmt numFmtId="168" formatCode="##0"/>
    <numFmt numFmtId="169" formatCode="\1\-\9"/>
    <numFmt numFmtId="170" formatCode="00000"/>
  </numFmts>
  <fonts count="9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2"/>
    </font>
    <font>
      <sz val="10"/>
      <color indexed="8"/>
      <name val="SansSerif"/>
    </font>
    <font>
      <b/>
      <sz val="8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b/>
      <sz val="12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name val="Cambria"/>
      <family val="1"/>
      <scheme val="major"/>
    </font>
    <font>
      <b/>
      <sz val="14"/>
      <color indexed="8"/>
      <name val="Cambria"/>
      <family val="1"/>
      <scheme val="maj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2"/>
      <name val="Palatino Linotype"/>
      <family val="1"/>
    </font>
    <font>
      <b/>
      <sz val="12"/>
      <name val="Cambria"/>
      <family val="1"/>
      <scheme val="major"/>
    </font>
    <font>
      <b/>
      <sz val="10"/>
      <name val="Arial"/>
      <family val="2"/>
    </font>
    <font>
      <b/>
      <sz val="10"/>
      <name val="Cambria"/>
      <family val="1"/>
      <scheme val="major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sz val="11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  <font>
      <sz val="11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i/>
      <sz val="9"/>
      <color indexed="8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i/>
      <sz val="8"/>
      <name val="Arial"/>
      <family val="2"/>
    </font>
    <font>
      <i/>
      <sz val="8"/>
      <color indexed="8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9"/>
      <color theme="1"/>
      <name val="Arial"/>
      <family val="2"/>
    </font>
    <font>
      <b/>
      <sz val="11.5"/>
      <color theme="1"/>
      <name val="Arial"/>
      <family val="2"/>
    </font>
    <font>
      <sz val="11.5"/>
      <color theme="1"/>
      <name val="Arial"/>
      <family val="2"/>
    </font>
    <font>
      <b/>
      <sz val="10"/>
      <color theme="1"/>
      <name val="Arial"/>
      <family val="2"/>
    </font>
    <font>
      <b/>
      <sz val="11.5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i/>
      <sz val="12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sz val="11.5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b/>
      <i/>
      <sz val="10"/>
      <color theme="1"/>
      <name val="Arial"/>
      <family val="2"/>
    </font>
    <font>
      <i/>
      <sz val="11"/>
      <color theme="1"/>
      <name val="Arial"/>
      <family val="2"/>
    </font>
    <font>
      <i/>
      <sz val="11"/>
      <name val="Arial"/>
      <family val="2"/>
    </font>
    <font>
      <sz val="13"/>
      <name val="Arial"/>
      <family val="2"/>
    </font>
    <font>
      <b/>
      <sz val="10"/>
      <color indexed="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.5"/>
      <color indexed="8"/>
      <name val="Arial"/>
      <family val="2"/>
    </font>
    <font>
      <b/>
      <sz val="11.5"/>
      <color indexed="8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i/>
      <sz val="9.5"/>
      <name val="Arial"/>
      <family val="2"/>
    </font>
    <font>
      <b/>
      <i/>
      <sz val="8"/>
      <name val="Arial"/>
      <family val="2"/>
    </font>
    <font>
      <b/>
      <i/>
      <sz val="9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i/>
      <sz val="9"/>
      <color theme="1"/>
      <name val="Arial"/>
      <family val="2"/>
    </font>
    <font>
      <b/>
      <sz val="13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E6CE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7">
    <xf numFmtId="0" fontId="0" fillId="0" borderId="0"/>
    <xf numFmtId="0" fontId="31" fillId="0" borderId="0"/>
    <xf numFmtId="0" fontId="31" fillId="0" borderId="0"/>
    <xf numFmtId="0" fontId="34" fillId="0" borderId="0"/>
    <xf numFmtId="0" fontId="31" fillId="0" borderId="0"/>
    <xf numFmtId="0" fontId="31" fillId="0" borderId="0"/>
    <xf numFmtId="164" fontId="31" fillId="0" borderId="0" applyFont="0" applyFill="0" applyBorder="0" applyAlignment="0" applyProtection="0"/>
    <xf numFmtId="0" fontId="19" fillId="0" borderId="0"/>
    <xf numFmtId="0" fontId="34" fillId="0" borderId="0"/>
    <xf numFmtId="0" fontId="31" fillId="0" borderId="0"/>
    <xf numFmtId="0" fontId="34" fillId="0" borderId="0"/>
    <xf numFmtId="0" fontId="31" fillId="0" borderId="0"/>
    <xf numFmtId="0" fontId="34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40" fillId="0" borderId="0"/>
    <xf numFmtId="0" fontId="18" fillId="0" borderId="0"/>
    <xf numFmtId="0" fontId="41" fillId="0" borderId="0"/>
    <xf numFmtId="0" fontId="3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2" fillId="0" borderId="0"/>
    <xf numFmtId="0" fontId="43" fillId="0" borderId="0"/>
    <xf numFmtId="0" fontId="16" fillId="0" borderId="0"/>
    <xf numFmtId="9" fontId="41" fillId="0" borderId="0" applyFont="0" applyFill="0" applyBorder="0" applyAlignment="0" applyProtection="0"/>
    <xf numFmtId="0" fontId="31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41" fillId="0" borderId="0"/>
    <xf numFmtId="0" fontId="12" fillId="0" borderId="0"/>
    <xf numFmtId="0" fontId="44" fillId="0" borderId="0"/>
    <xf numFmtId="0" fontId="11" fillId="0" borderId="0"/>
    <xf numFmtId="0" fontId="45" fillId="0" borderId="0"/>
    <xf numFmtId="0" fontId="46" fillId="0" borderId="0"/>
    <xf numFmtId="0" fontId="10" fillId="0" borderId="0"/>
    <xf numFmtId="0" fontId="47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8" fillId="0" borderId="0"/>
    <xf numFmtId="0" fontId="31" fillId="0" borderId="0"/>
    <xf numFmtId="0" fontId="31" fillId="0" borderId="0"/>
    <xf numFmtId="0" fontId="31" fillId="0" borderId="0"/>
    <xf numFmtId="0" fontId="7" fillId="0" borderId="0"/>
    <xf numFmtId="0" fontId="6" fillId="0" borderId="0"/>
    <xf numFmtId="0" fontId="31" fillId="0" borderId="0"/>
    <xf numFmtId="0" fontId="6" fillId="0" borderId="0"/>
    <xf numFmtId="0" fontId="5" fillId="0" borderId="0"/>
    <xf numFmtId="0" fontId="31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07">
    <xf numFmtId="0" fontId="0" fillId="0" borderId="0" xfId="0"/>
    <xf numFmtId="0" fontId="0" fillId="2" borderId="0" xfId="0" applyFill="1"/>
    <xf numFmtId="0" fontId="20" fillId="2" borderId="0" xfId="0" applyFont="1" applyFill="1" applyAlignment="1">
      <alignment horizontal="left" vertical="top" wrapText="1"/>
    </xf>
    <xf numFmtId="0" fontId="23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left" vertical="top" wrapText="1"/>
    </xf>
    <xf numFmtId="0" fontId="26" fillId="0" borderId="0" xfId="0" applyFont="1"/>
    <xf numFmtId="0" fontId="24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 wrapText="1"/>
    </xf>
    <xf numFmtId="0" fontId="27" fillId="2" borderId="0" xfId="0" applyFont="1" applyFill="1" applyAlignment="1">
      <alignment vertical="center"/>
    </xf>
    <xf numFmtId="0" fontId="24" fillId="2" borderId="2" xfId="0" applyFont="1" applyFill="1" applyBorder="1" applyAlignment="1">
      <alignment horizontal="center" vertical="center" textRotation="90" wrapText="1"/>
    </xf>
    <xf numFmtId="0" fontId="25" fillId="2" borderId="2" xfId="0" applyFont="1" applyFill="1" applyBorder="1" applyAlignment="1">
      <alignment horizontal="right" vertical="center" wrapText="1" indent="1"/>
    </xf>
    <xf numFmtId="0" fontId="24" fillId="2" borderId="2" xfId="0" applyFont="1" applyFill="1" applyBorder="1" applyAlignment="1">
      <alignment horizontal="right" vertical="center" wrapText="1" indent="1"/>
    </xf>
    <xf numFmtId="0" fontId="25" fillId="2" borderId="2" xfId="0" applyFont="1" applyFill="1" applyBorder="1" applyAlignment="1">
      <alignment horizontal="right" vertical="center" wrapText="1" indent="3"/>
    </xf>
    <xf numFmtId="165" fontId="25" fillId="2" borderId="2" xfId="0" applyNumberFormat="1" applyFont="1" applyFill="1" applyBorder="1" applyAlignment="1">
      <alignment horizontal="right" vertical="top" wrapText="1" indent="3"/>
    </xf>
    <xf numFmtId="165" fontId="25" fillId="2" borderId="2" xfId="0" applyNumberFormat="1" applyFont="1" applyFill="1" applyBorder="1" applyAlignment="1">
      <alignment horizontal="right" vertical="center" wrapText="1" indent="3"/>
    </xf>
    <xf numFmtId="0" fontId="24" fillId="2" borderId="2" xfId="0" applyFont="1" applyFill="1" applyBorder="1" applyAlignment="1">
      <alignment horizontal="right" vertical="center" wrapText="1" indent="3"/>
    </xf>
    <xf numFmtId="165" fontId="24" fillId="2" borderId="2" xfId="0" applyNumberFormat="1" applyFont="1" applyFill="1" applyBorder="1" applyAlignment="1">
      <alignment horizontal="right" vertical="center" wrapText="1" indent="3"/>
    </xf>
    <xf numFmtId="0" fontId="27" fillId="2" borderId="3" xfId="0" applyFont="1" applyFill="1" applyBorder="1" applyAlignment="1">
      <alignment horizontal="right" vertical="center"/>
    </xf>
    <xf numFmtId="0" fontId="28" fillId="3" borderId="5" xfId="0" applyFont="1" applyFill="1" applyBorder="1" applyAlignment="1">
      <alignment horizontal="left" vertical="center" wrapText="1"/>
    </xf>
    <xf numFmtId="0" fontId="28" fillId="3" borderId="5" xfId="0" applyFont="1" applyFill="1" applyBorder="1" applyAlignment="1">
      <alignment horizontal="right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32" fillId="0" borderId="0" xfId="0" applyFont="1"/>
    <xf numFmtId="0" fontId="32" fillId="0" borderId="0" xfId="0" applyFont="1" applyAlignment="1">
      <alignment vertical="center"/>
    </xf>
    <xf numFmtId="0" fontId="32" fillId="0" borderId="2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5" fillId="4" borderId="2" xfId="0" applyFont="1" applyFill="1" applyBorder="1" applyAlignment="1">
      <alignment horizontal="center" vertical="center" wrapText="1"/>
    </xf>
    <xf numFmtId="0" fontId="32" fillId="5" borderId="0" xfId="0" applyFont="1" applyFill="1" applyAlignment="1">
      <alignment horizontal="center"/>
    </xf>
    <xf numFmtId="0" fontId="32" fillId="0" borderId="2" xfId="0" applyFont="1" applyBorder="1" applyAlignment="1">
      <alignment vertical="center" wrapText="1"/>
    </xf>
    <xf numFmtId="0" fontId="32" fillId="0" borderId="2" xfId="0" applyFont="1" applyBorder="1" applyAlignment="1">
      <alignment horizontal="right" vertical="center"/>
    </xf>
    <xf numFmtId="0" fontId="33" fillId="0" borderId="2" xfId="0" applyFont="1" applyBorder="1" applyAlignment="1">
      <alignment vertical="center"/>
    </xf>
    <xf numFmtId="0" fontId="33" fillId="0" borderId="2" xfId="0" applyFont="1" applyBorder="1" applyAlignment="1">
      <alignment horizontal="right" vertical="center"/>
    </xf>
    <xf numFmtId="0" fontId="33" fillId="0" borderId="0" xfId="0" applyFont="1"/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/>
    </xf>
    <xf numFmtId="165" fontId="32" fillId="0" borderId="0" xfId="0" applyNumberFormat="1" applyFont="1" applyAlignment="1">
      <alignment horizontal="center"/>
    </xf>
    <xf numFmtId="0" fontId="35" fillId="4" borderId="4" xfId="0" applyFont="1" applyFill="1" applyBorder="1" applyAlignment="1">
      <alignment vertical="center" wrapText="1"/>
    </xf>
    <xf numFmtId="165" fontId="32" fillId="0" borderId="0" xfId="0" applyNumberFormat="1" applyFont="1" applyAlignment="1">
      <alignment vertical="center"/>
    </xf>
    <xf numFmtId="0" fontId="32" fillId="0" borderId="0" xfId="1" applyFont="1"/>
    <xf numFmtId="0" fontId="32" fillId="0" borderId="0" xfId="1" applyFont="1" applyAlignment="1">
      <alignment horizontal="left"/>
    </xf>
    <xf numFmtId="0" fontId="36" fillId="6" borderId="6" xfId="0" applyFont="1" applyFill="1" applyBorder="1" applyAlignment="1">
      <alignment horizontal="center" wrapText="1"/>
    </xf>
    <xf numFmtId="0" fontId="36" fillId="6" borderId="7" xfId="0" applyFont="1" applyFill="1" applyBorder="1" applyAlignment="1">
      <alignment horizontal="center" wrapText="1"/>
    </xf>
    <xf numFmtId="0" fontId="36" fillId="6" borderId="7" xfId="0" applyFont="1" applyFill="1" applyBorder="1" applyAlignment="1">
      <alignment horizontal="center" vertical="top" wrapText="1"/>
    </xf>
    <xf numFmtId="0" fontId="31" fillId="0" borderId="0" xfId="5" applyAlignment="1">
      <alignment vertical="center"/>
    </xf>
    <xf numFmtId="0" fontId="37" fillId="7" borderId="2" xfId="4" applyFont="1" applyFill="1" applyBorder="1" applyAlignment="1">
      <alignment horizontal="center" vertical="center" wrapText="1"/>
    </xf>
    <xf numFmtId="0" fontId="26" fillId="0" borderId="2" xfId="4" applyFont="1" applyBorder="1" applyAlignment="1">
      <alignment horizontal="center" vertical="center"/>
    </xf>
    <xf numFmtId="0" fontId="26" fillId="0" borderId="2" xfId="4" applyFont="1" applyBorder="1" applyAlignment="1">
      <alignment vertical="center" wrapText="1"/>
    </xf>
    <xf numFmtId="0" fontId="26" fillId="0" borderId="2" xfId="5" applyFont="1" applyBorder="1" applyAlignment="1">
      <alignment horizontal="right" vertical="center" indent="2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vertical="center"/>
    </xf>
    <xf numFmtId="0" fontId="26" fillId="0" borderId="0" xfId="4" applyFont="1"/>
    <xf numFmtId="0" fontId="32" fillId="0" borderId="0" xfId="4" applyFont="1"/>
    <xf numFmtId="0" fontId="26" fillId="0" borderId="0" xfId="4" applyFont="1" applyAlignment="1">
      <alignment vertical="center"/>
    </xf>
    <xf numFmtId="0" fontId="33" fillId="7" borderId="0" xfId="4" applyFont="1" applyFill="1" applyAlignment="1">
      <alignment vertical="center"/>
    </xf>
    <xf numFmtId="0" fontId="37" fillId="0" borderId="3" xfId="4" applyFont="1" applyBorder="1" applyAlignment="1">
      <alignment vertical="center" wrapText="1"/>
    </xf>
    <xf numFmtId="0" fontId="37" fillId="0" borderId="3" xfId="4" applyFont="1" applyBorder="1" applyAlignment="1">
      <alignment horizontal="left" vertical="center"/>
    </xf>
    <xf numFmtId="0" fontId="31" fillId="0" borderId="0" xfId="5" applyAlignment="1">
      <alignment horizontal="center" vertical="center"/>
    </xf>
    <xf numFmtId="0" fontId="26" fillId="0" borderId="2" xfId="5" applyFont="1" applyBorder="1" applyAlignment="1">
      <alignment horizontal="center" vertical="center"/>
    </xf>
    <xf numFmtId="0" fontId="32" fillId="0" borderId="0" xfId="1" applyFont="1" applyAlignment="1">
      <alignment vertical="center"/>
    </xf>
    <xf numFmtId="0" fontId="32" fillId="0" borderId="0" xfId="9" applyFont="1"/>
    <xf numFmtId="0" fontId="33" fillId="7" borderId="0" xfId="9" applyFont="1" applyFill="1" applyAlignment="1">
      <alignment vertical="center"/>
    </xf>
    <xf numFmtId="0" fontId="32" fillId="0" borderId="0" xfId="9" applyFont="1" applyAlignment="1">
      <alignment vertical="center"/>
    </xf>
    <xf numFmtId="0" fontId="32" fillId="7" borderId="0" xfId="9" applyFont="1" applyFill="1"/>
    <xf numFmtId="0" fontId="37" fillId="0" borderId="0" xfId="9" applyFont="1" applyAlignment="1">
      <alignment horizontal="center" vertical="center" wrapText="1"/>
    </xf>
    <xf numFmtId="0" fontId="33" fillId="0" borderId="0" xfId="1" applyFont="1" applyAlignment="1">
      <alignment vertical="center" wrapText="1"/>
    </xf>
    <xf numFmtId="0" fontId="39" fillId="0" borderId="0" xfId="1" applyFont="1" applyAlignment="1">
      <alignment horizontal="center" vertical="center" textRotation="90" wrapText="1"/>
    </xf>
    <xf numFmtId="0" fontId="33" fillId="0" borderId="0" xfId="1" applyFont="1" applyAlignment="1">
      <alignment vertical="center"/>
    </xf>
    <xf numFmtId="0" fontId="32" fillId="0" borderId="0" xfId="1" applyFont="1" applyAlignment="1">
      <alignment vertical="center" wrapText="1"/>
    </xf>
    <xf numFmtId="0" fontId="32" fillId="0" borderId="0" xfId="1" applyFont="1" applyAlignment="1">
      <alignment horizontal="center" vertical="center"/>
    </xf>
    <xf numFmtId="0" fontId="48" fillId="0" borderId="0" xfId="42" applyFont="1" applyAlignment="1">
      <alignment vertical="center"/>
    </xf>
    <xf numFmtId="0" fontId="48" fillId="8" borderId="0" xfId="42" applyFont="1" applyFill="1" applyAlignment="1">
      <alignment vertical="center"/>
    </xf>
    <xf numFmtId="0" fontId="49" fillId="0" borderId="0" xfId="42" applyFont="1" applyAlignment="1">
      <alignment vertical="center"/>
    </xf>
    <xf numFmtId="0" fontId="48" fillId="8" borderId="0" xfId="42" applyFont="1" applyFill="1" applyAlignment="1">
      <alignment vertical="center" wrapText="1"/>
    </xf>
    <xf numFmtId="0" fontId="48" fillId="0" borderId="0" xfId="42" applyFont="1" applyAlignment="1">
      <alignment vertical="center" wrapText="1"/>
    </xf>
    <xf numFmtId="0" fontId="35" fillId="0" borderId="0" xfId="42" applyFont="1" applyAlignment="1">
      <alignment horizontal="left" vertical="center" wrapText="1"/>
    </xf>
    <xf numFmtId="0" fontId="35" fillId="0" borderId="0" xfId="42" applyFont="1" applyAlignment="1">
      <alignment vertical="center"/>
    </xf>
    <xf numFmtId="0" fontId="50" fillId="0" borderId="0" xfId="42" applyFont="1" applyAlignment="1">
      <alignment vertical="center"/>
    </xf>
    <xf numFmtId="0" fontId="52" fillId="8" borderId="2" xfId="1" applyFont="1" applyFill="1" applyBorder="1" applyAlignment="1">
      <alignment horizontal="center" vertical="center" wrapText="1"/>
    </xf>
    <xf numFmtId="0" fontId="55" fillId="8" borderId="2" xfId="1" applyFont="1" applyFill="1" applyBorder="1" applyAlignment="1">
      <alignment horizontal="center" vertical="center" wrapText="1"/>
    </xf>
    <xf numFmtId="0" fontId="56" fillId="9" borderId="2" xfId="1" applyFont="1" applyFill="1" applyBorder="1" applyAlignment="1">
      <alignment horizontal="center" vertical="center" textRotation="90" wrapText="1"/>
    </xf>
    <xf numFmtId="0" fontId="54" fillId="0" borderId="2" xfId="1" applyFont="1" applyBorder="1" applyAlignment="1">
      <alignment horizontal="center" vertical="center"/>
    </xf>
    <xf numFmtId="0" fontId="55" fillId="2" borderId="2" xfId="1" applyFont="1" applyFill="1" applyBorder="1" applyAlignment="1">
      <alignment horizontal="left" vertical="center" wrapText="1"/>
    </xf>
    <xf numFmtId="0" fontId="52" fillId="0" borderId="2" xfId="1" applyFont="1" applyBorder="1" applyAlignment="1">
      <alignment vertical="center"/>
    </xf>
    <xf numFmtId="0" fontId="56" fillId="0" borderId="2" xfId="1" applyFont="1" applyBorder="1" applyAlignment="1">
      <alignment vertical="center"/>
    </xf>
    <xf numFmtId="0" fontId="55" fillId="2" borderId="0" xfId="1" applyFont="1" applyFill="1" applyAlignment="1">
      <alignment horizontal="right" vertical="top"/>
    </xf>
    <xf numFmtId="0" fontId="57" fillId="2" borderId="2" xfId="1" applyFont="1" applyFill="1" applyBorder="1" applyAlignment="1">
      <alignment horizontal="center" vertical="center" wrapText="1"/>
    </xf>
    <xf numFmtId="0" fontId="52" fillId="0" borderId="2" xfId="1" applyFont="1" applyBorder="1" applyAlignment="1">
      <alignment vertical="center" wrapText="1"/>
    </xf>
    <xf numFmtId="0" fontId="58" fillId="0" borderId="2" xfId="1" applyFont="1" applyBorder="1" applyAlignment="1">
      <alignment vertical="center"/>
    </xf>
    <xf numFmtId="0" fontId="53" fillId="0" borderId="2" xfId="1" applyFont="1" applyBorder="1" applyAlignment="1">
      <alignment horizontal="right" vertical="center"/>
    </xf>
    <xf numFmtId="0" fontId="58" fillId="0" borderId="2" xfId="1" applyFont="1" applyBorder="1" applyAlignment="1">
      <alignment horizontal="right" vertical="center"/>
    </xf>
    <xf numFmtId="0" fontId="55" fillId="2" borderId="0" xfId="1" applyFont="1" applyFill="1" applyAlignment="1">
      <alignment vertical="center" wrapText="1"/>
    </xf>
    <xf numFmtId="0" fontId="55" fillId="2" borderId="0" xfId="1" applyFont="1" applyFill="1" applyAlignment="1">
      <alignment horizontal="right" vertical="center"/>
    </xf>
    <xf numFmtId="0" fontId="55" fillId="2" borderId="0" xfId="1" applyFont="1" applyFill="1" applyAlignment="1">
      <alignment vertical="center"/>
    </xf>
    <xf numFmtId="0" fontId="54" fillId="0" borderId="0" xfId="1" applyFont="1" applyAlignment="1">
      <alignment vertical="center"/>
    </xf>
    <xf numFmtId="0" fontId="61" fillId="0" borderId="2" xfId="0" applyFont="1" applyBorder="1" applyAlignment="1">
      <alignment horizontal="center" vertical="center" wrapText="1"/>
    </xf>
    <xf numFmtId="0" fontId="62" fillId="2" borderId="2" xfId="1" applyFont="1" applyFill="1" applyBorder="1" applyAlignment="1">
      <alignment horizontal="center" vertical="center" wrapText="1"/>
    </xf>
    <xf numFmtId="0" fontId="53" fillId="0" borderId="2" xfId="1" applyFont="1" applyBorder="1" applyAlignment="1">
      <alignment horizontal="center" vertical="center"/>
    </xf>
    <xf numFmtId="0" fontId="53" fillId="0" borderId="0" xfId="1" applyFont="1"/>
    <xf numFmtId="0" fontId="53" fillId="0" borderId="0" xfId="1" applyFont="1" applyAlignment="1">
      <alignment horizontal="center" vertical="center" wrapText="1"/>
    </xf>
    <xf numFmtId="0" fontId="53" fillId="0" borderId="0" xfId="1" applyFont="1" applyAlignment="1">
      <alignment vertical="center"/>
    </xf>
    <xf numFmtId="0" fontId="31" fillId="0" borderId="0" xfId="0" applyFont="1"/>
    <xf numFmtId="0" fontId="64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vertical="center"/>
    </xf>
    <xf numFmtId="167" fontId="52" fillId="0" borderId="2" xfId="0" applyNumberFormat="1" applyFont="1" applyBorder="1" applyAlignment="1">
      <alignment vertical="center"/>
    </xf>
    <xf numFmtId="1" fontId="52" fillId="0" borderId="2" xfId="0" applyNumberFormat="1" applyFont="1" applyBorder="1" applyAlignment="1">
      <alignment vertical="center"/>
    </xf>
    <xf numFmtId="167" fontId="53" fillId="0" borderId="2" xfId="0" applyNumberFormat="1" applyFont="1" applyBorder="1" applyAlignment="1">
      <alignment vertical="center"/>
    </xf>
    <xf numFmtId="0" fontId="54" fillId="0" borderId="0" xfId="1" applyFont="1" applyAlignment="1">
      <alignment horizontal="center" vertical="center"/>
    </xf>
    <xf numFmtId="0" fontId="54" fillId="0" borderId="0" xfId="1" applyFont="1" applyAlignment="1">
      <alignment vertical="top"/>
    </xf>
    <xf numFmtId="0" fontId="54" fillId="8" borderId="0" xfId="1" applyFont="1" applyFill="1"/>
    <xf numFmtId="0" fontId="64" fillId="0" borderId="0" xfId="1" applyFont="1"/>
    <xf numFmtId="0" fontId="54" fillId="0" borderId="0" xfId="1" applyFont="1"/>
    <xf numFmtId="0" fontId="31" fillId="0" borderId="0" xfId="40" applyFont="1"/>
    <xf numFmtId="0" fontId="58" fillId="0" borderId="2" xfId="4" applyFont="1" applyBorder="1" applyAlignment="1">
      <alignment vertical="center" wrapText="1"/>
    </xf>
    <xf numFmtId="167" fontId="53" fillId="0" borderId="2" xfId="4" applyNumberFormat="1" applyFont="1" applyBorder="1" applyAlignment="1">
      <alignment vertical="center"/>
    </xf>
    <xf numFmtId="0" fontId="58" fillId="0" borderId="2" xfId="4" applyFont="1" applyBorder="1" applyAlignment="1">
      <alignment vertical="center"/>
    </xf>
    <xf numFmtId="0" fontId="58" fillId="0" borderId="2" xfId="4" applyFont="1" applyBorder="1" applyAlignment="1">
      <alignment horizontal="left" vertical="center" wrapText="1"/>
    </xf>
    <xf numFmtId="0" fontId="53" fillId="0" borderId="2" xfId="1" applyFont="1" applyBorder="1" applyAlignment="1">
      <alignment vertical="center"/>
    </xf>
    <xf numFmtId="0" fontId="52" fillId="0" borderId="2" xfId="1" applyFont="1" applyBorder="1" applyAlignment="1">
      <alignment horizontal="right" vertical="center"/>
    </xf>
    <xf numFmtId="0" fontId="52" fillId="0" borderId="2" xfId="4" applyFont="1" applyBorder="1" applyAlignment="1">
      <alignment vertical="center"/>
    </xf>
    <xf numFmtId="0" fontId="57" fillId="2" borderId="4" xfId="0" applyFont="1" applyFill="1" applyBorder="1" applyAlignment="1">
      <alignment horizontal="center" vertical="center" wrapText="1"/>
    </xf>
    <xf numFmtId="0" fontId="57" fillId="2" borderId="2" xfId="0" applyFont="1" applyFill="1" applyBorder="1" applyAlignment="1">
      <alignment horizontal="center" vertical="center" wrapText="1"/>
    </xf>
    <xf numFmtId="0" fontId="54" fillId="0" borderId="2" xfId="4" applyFont="1" applyBorder="1" applyAlignment="1">
      <alignment horizontal="center" vertical="center"/>
    </xf>
    <xf numFmtId="0" fontId="52" fillId="0" borderId="2" xfId="4" applyFont="1" applyBorder="1" applyAlignment="1">
      <alignment vertical="center" wrapText="1"/>
    </xf>
    <xf numFmtId="0" fontId="54" fillId="0" borderId="2" xfId="5" applyFont="1" applyBorder="1" applyAlignment="1">
      <alignment horizontal="right" vertical="center" indent="2"/>
    </xf>
    <xf numFmtId="1" fontId="54" fillId="0" borderId="2" xfId="4" applyNumberFormat="1" applyFont="1" applyBorder="1" applyAlignment="1">
      <alignment horizontal="right" vertical="center" indent="3"/>
    </xf>
    <xf numFmtId="0" fontId="52" fillId="0" borderId="2" xfId="5" applyFont="1" applyBorder="1" applyAlignment="1">
      <alignment horizontal="right" vertical="center" indent="2"/>
    </xf>
    <xf numFmtId="1" fontId="52" fillId="0" borderId="2" xfId="4" applyNumberFormat="1" applyFont="1" applyBorder="1" applyAlignment="1">
      <alignment horizontal="right" vertical="center" indent="3"/>
    </xf>
    <xf numFmtId="1" fontId="31" fillId="0" borderId="0" xfId="5" applyNumberFormat="1" applyAlignment="1">
      <alignment horizontal="center" vertical="center"/>
    </xf>
    <xf numFmtId="1" fontId="38" fillId="0" borderId="2" xfId="4" applyNumberFormat="1" applyFont="1" applyBorder="1" applyAlignment="1">
      <alignment vertical="center"/>
    </xf>
    <xf numFmtId="0" fontId="50" fillId="0" borderId="0" xfId="51" applyFont="1" applyAlignment="1">
      <alignment vertical="center"/>
    </xf>
    <xf numFmtId="0" fontId="59" fillId="8" borderId="2" xfId="51" applyFont="1" applyFill="1" applyBorder="1" applyAlignment="1">
      <alignment horizontal="center" vertical="center" textRotation="90" wrapText="1"/>
    </xf>
    <xf numFmtId="0" fontId="59" fillId="0" borderId="0" xfId="51" applyFont="1" applyAlignment="1">
      <alignment horizontal="center" vertical="center" wrapText="1"/>
    </xf>
    <xf numFmtId="0" fontId="65" fillId="0" borderId="2" xfId="51" applyFont="1" applyBorder="1" applyAlignment="1">
      <alignment horizontal="center" vertical="center"/>
    </xf>
    <xf numFmtId="0" fontId="59" fillId="0" borderId="2" xfId="51" applyFont="1" applyBorder="1" applyAlignment="1">
      <alignment horizontal="left" vertical="center"/>
    </xf>
    <xf numFmtId="167" fontId="50" fillId="0" borderId="2" xfId="51" applyNumberFormat="1" applyFont="1" applyBorder="1" applyAlignment="1">
      <alignment vertical="center"/>
    </xf>
    <xf numFmtId="167" fontId="59" fillId="0" borderId="2" xfId="51" applyNumberFormat="1" applyFont="1" applyBorder="1" applyAlignment="1">
      <alignment vertical="center"/>
    </xf>
    <xf numFmtId="0" fontId="50" fillId="0" borderId="2" xfId="51" applyFont="1" applyBorder="1" applyAlignment="1">
      <alignment horizontal="center" vertical="center"/>
    </xf>
    <xf numFmtId="167" fontId="66" fillId="0" borderId="2" xfId="51" applyNumberFormat="1" applyFont="1" applyBorder="1" applyAlignment="1">
      <alignment vertical="center"/>
    </xf>
    <xf numFmtId="0" fontId="67" fillId="0" borderId="0" xfId="51" applyFont="1" applyAlignment="1">
      <alignment vertical="center"/>
    </xf>
    <xf numFmtId="0" fontId="53" fillId="5" borderId="0" xfId="1" applyFont="1" applyFill="1" applyAlignment="1">
      <alignment horizontal="center"/>
    </xf>
    <xf numFmtId="0" fontId="64" fillId="0" borderId="2" xfId="1" applyFont="1" applyBorder="1" applyAlignment="1">
      <alignment horizontal="center" vertical="center" wrapText="1"/>
    </xf>
    <xf numFmtId="0" fontId="58" fillId="0" borderId="2" xfId="1" applyFont="1" applyBorder="1" applyAlignment="1">
      <alignment vertical="center" wrapText="1"/>
    </xf>
    <xf numFmtId="1" fontId="53" fillId="0" borderId="2" xfId="1" applyNumberFormat="1" applyFont="1" applyBorder="1" applyAlignment="1">
      <alignment horizontal="right" vertical="center"/>
    </xf>
    <xf numFmtId="1" fontId="53" fillId="0" borderId="2" xfId="1" applyNumberFormat="1" applyFont="1" applyBorder="1" applyAlignment="1">
      <alignment vertical="center"/>
    </xf>
    <xf numFmtId="0" fontId="58" fillId="0" borderId="0" xfId="1" applyFont="1" applyAlignment="1">
      <alignment vertical="center"/>
    </xf>
    <xf numFmtId="0" fontId="54" fillId="0" borderId="0" xfId="5" applyFont="1"/>
    <xf numFmtId="0" fontId="52" fillId="0" borderId="0" xfId="5" applyFont="1" applyAlignment="1">
      <alignment horizontal="right" vertical="top"/>
    </xf>
    <xf numFmtId="0" fontId="52" fillId="0" borderId="0" xfId="1" applyFont="1" applyAlignment="1">
      <alignment vertical="center" wrapText="1"/>
    </xf>
    <xf numFmtId="0" fontId="64" fillId="0" borderId="11" xfId="0" applyFont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167" fontId="53" fillId="0" borderId="2" xfId="1" applyNumberFormat="1" applyFont="1" applyBorder="1" applyAlignment="1">
      <alignment horizontal="right" vertical="center"/>
    </xf>
    <xf numFmtId="167" fontId="53" fillId="0" borderId="2" xfId="1" applyNumberFormat="1" applyFont="1" applyBorder="1" applyAlignment="1">
      <alignment vertical="center"/>
    </xf>
    <xf numFmtId="0" fontId="69" fillId="0" borderId="2" xfId="1" applyFont="1" applyBorder="1" applyAlignment="1">
      <alignment vertical="center"/>
    </xf>
    <xf numFmtId="0" fontId="58" fillId="0" borderId="0" xfId="1" applyFont="1" applyAlignment="1">
      <alignment vertical="center" wrapText="1"/>
    </xf>
    <xf numFmtId="0" fontId="64" fillId="0" borderId="11" xfId="1" applyFont="1" applyBorder="1" applyAlignment="1">
      <alignment horizontal="center" vertical="center" wrapText="1"/>
    </xf>
    <xf numFmtId="0" fontId="64" fillId="0" borderId="0" xfId="1" applyFont="1" applyAlignment="1">
      <alignment vertical="center"/>
    </xf>
    <xf numFmtId="0" fontId="69" fillId="0" borderId="2" xfId="1" applyFont="1" applyBorder="1" applyAlignment="1">
      <alignment vertical="center" wrapText="1"/>
    </xf>
    <xf numFmtId="0" fontId="66" fillId="0" borderId="2" xfId="51" applyFont="1" applyBorder="1" applyAlignment="1">
      <alignment horizontal="left" vertical="center"/>
    </xf>
    <xf numFmtId="0" fontId="58" fillId="0" borderId="0" xfId="5" applyFont="1" applyAlignment="1">
      <alignment vertical="center" wrapText="1"/>
    </xf>
    <xf numFmtId="0" fontId="53" fillId="0" borderId="0" xfId="5" applyFont="1" applyAlignment="1">
      <alignment vertical="center"/>
    </xf>
    <xf numFmtId="0" fontId="64" fillId="0" borderId="11" xfId="5" applyFont="1" applyBorder="1" applyAlignment="1">
      <alignment horizontal="center" vertical="center" wrapText="1"/>
    </xf>
    <xf numFmtId="0" fontId="64" fillId="0" borderId="0" xfId="5" applyFont="1" applyAlignment="1">
      <alignment vertical="center"/>
    </xf>
    <xf numFmtId="0" fontId="53" fillId="0" borderId="2" xfId="5" applyFont="1" applyBorder="1" applyAlignment="1">
      <alignment horizontal="center" vertical="center"/>
    </xf>
    <xf numFmtId="0" fontId="58" fillId="0" borderId="2" xfId="5" applyFont="1" applyBorder="1" applyAlignment="1">
      <alignment vertical="center" wrapText="1"/>
    </xf>
    <xf numFmtId="167" fontId="53" fillId="0" borderId="2" xfId="5" applyNumberFormat="1" applyFont="1" applyBorder="1" applyAlignment="1">
      <alignment horizontal="right" vertical="center"/>
    </xf>
    <xf numFmtId="167" fontId="70" fillId="2" borderId="2" xfId="5" applyNumberFormat="1" applyFont="1" applyFill="1" applyBorder="1" applyAlignment="1">
      <alignment horizontal="right" vertical="center" wrapText="1"/>
    </xf>
    <xf numFmtId="167" fontId="53" fillId="0" borderId="2" xfId="5" applyNumberFormat="1" applyFont="1" applyBorder="1" applyAlignment="1">
      <alignment vertical="center"/>
    </xf>
    <xf numFmtId="0" fontId="58" fillId="0" borderId="2" xfId="5" applyFont="1" applyBorder="1" applyAlignment="1">
      <alignment vertical="center"/>
    </xf>
    <xf numFmtId="167" fontId="58" fillId="0" borderId="2" xfId="5" applyNumberFormat="1" applyFont="1" applyBorder="1" applyAlignment="1">
      <alignment vertical="center"/>
    </xf>
    <xf numFmtId="0" fontId="58" fillId="0" borderId="0" xfId="5" applyFont="1" applyAlignment="1">
      <alignment vertical="center"/>
    </xf>
    <xf numFmtId="0" fontId="53" fillId="0" borderId="0" xfId="5" applyFont="1"/>
    <xf numFmtId="0" fontId="54" fillId="0" borderId="0" xfId="5" applyFont="1" applyAlignment="1">
      <alignment vertical="top"/>
    </xf>
    <xf numFmtId="0" fontId="54" fillId="0" borderId="0" xfId="2" applyFont="1" applyAlignment="1">
      <alignment vertical="center"/>
    </xf>
    <xf numFmtId="0" fontId="64" fillId="0" borderId="11" xfId="2" applyFont="1" applyBorder="1" applyAlignment="1">
      <alignment horizontal="center" vertical="center" wrapText="1"/>
    </xf>
    <xf numFmtId="0" fontId="54" fillId="0" borderId="2" xfId="2" applyFont="1" applyBorder="1" applyAlignment="1">
      <alignment horizontal="center" vertical="center"/>
    </xf>
    <xf numFmtId="0" fontId="54" fillId="0" borderId="0" xfId="2" applyFont="1"/>
    <xf numFmtId="0" fontId="58" fillId="0" borderId="0" xfId="2" applyFont="1" applyAlignment="1">
      <alignment vertical="center" wrapText="1"/>
    </xf>
    <xf numFmtId="0" fontId="58" fillId="0" borderId="2" xfId="2" applyFont="1" applyBorder="1" applyAlignment="1">
      <alignment horizontal="center" vertical="center" wrapText="1"/>
    </xf>
    <xf numFmtId="0" fontId="58" fillId="0" borderId="2" xfId="2" applyFont="1" applyBorder="1" applyAlignment="1">
      <alignment horizontal="center" vertical="center"/>
    </xf>
    <xf numFmtId="0" fontId="53" fillId="0" borderId="0" xfId="2" applyFont="1" applyAlignment="1">
      <alignment vertical="center"/>
    </xf>
    <xf numFmtId="167" fontId="53" fillId="0" borderId="2" xfId="2" applyNumberFormat="1" applyFont="1" applyBorder="1" applyAlignment="1">
      <alignment horizontal="right" vertical="center"/>
    </xf>
    <xf numFmtId="167" fontId="53" fillId="0" borderId="2" xfId="2" applyNumberFormat="1" applyFont="1" applyBorder="1" applyAlignment="1">
      <alignment vertical="center"/>
    </xf>
    <xf numFmtId="167" fontId="58" fillId="0" borderId="2" xfId="2" applyNumberFormat="1" applyFont="1" applyBorder="1" applyAlignment="1">
      <alignment vertical="center"/>
    </xf>
    <xf numFmtId="0" fontId="58" fillId="0" borderId="2" xfId="2" applyFont="1" applyBorder="1" applyAlignment="1">
      <alignment horizontal="right" vertical="center"/>
    </xf>
    <xf numFmtId="0" fontId="58" fillId="0" borderId="0" xfId="2" applyFont="1" applyAlignment="1">
      <alignment vertical="center"/>
    </xf>
    <xf numFmtId="0" fontId="54" fillId="0" borderId="2" xfId="0" applyFont="1" applyBorder="1" applyAlignment="1">
      <alignment horizontal="center" vertical="center"/>
    </xf>
    <xf numFmtId="0" fontId="52" fillId="0" borderId="2" xfId="0" applyFont="1" applyBorder="1" applyAlignment="1">
      <alignment vertical="center" wrapText="1"/>
    </xf>
    <xf numFmtId="0" fontId="54" fillId="0" borderId="0" xfId="0" applyFont="1"/>
    <xf numFmtId="0" fontId="31" fillId="0" borderId="0" xfId="17" applyFont="1"/>
    <xf numFmtId="0" fontId="58" fillId="0" borderId="2" xfId="0" applyFont="1" applyBorder="1" applyAlignment="1">
      <alignment vertical="center"/>
    </xf>
    <xf numFmtId="0" fontId="53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wrapText="1"/>
    </xf>
    <xf numFmtId="0" fontId="58" fillId="0" borderId="0" xfId="5" applyFont="1"/>
    <xf numFmtId="0" fontId="58" fillId="0" borderId="0" xfId="5" applyFont="1" applyAlignment="1">
      <alignment horizontal="center" vertical="center"/>
    </xf>
    <xf numFmtId="0" fontId="64" fillId="0" borderId="2" xfId="5" applyFont="1" applyBorder="1" applyAlignment="1">
      <alignment horizontal="center" vertical="center" wrapText="1"/>
    </xf>
    <xf numFmtId="1" fontId="53" fillId="0" borderId="2" xfId="5" applyNumberFormat="1" applyFont="1" applyBorder="1" applyAlignment="1">
      <alignment vertical="center"/>
    </xf>
    <xf numFmtId="1" fontId="53" fillId="0" borderId="2" xfId="5" applyNumberFormat="1" applyFont="1" applyBorder="1" applyAlignment="1">
      <alignment vertical="center" wrapText="1"/>
    </xf>
    <xf numFmtId="1" fontId="58" fillId="0" borderId="2" xfId="5" applyNumberFormat="1" applyFont="1" applyBorder="1" applyAlignment="1">
      <alignment vertical="center"/>
    </xf>
    <xf numFmtId="0" fontId="54" fillId="0" borderId="0" xfId="5" applyFont="1" applyAlignment="1">
      <alignment vertical="center"/>
    </xf>
    <xf numFmtId="0" fontId="52" fillId="0" borderId="0" xfId="5" applyFont="1" applyAlignment="1">
      <alignment horizontal="right" vertical="center"/>
    </xf>
    <xf numFmtId="0" fontId="52" fillId="0" borderId="0" xfId="5" applyFont="1" applyAlignment="1">
      <alignment vertical="center"/>
    </xf>
    <xf numFmtId="0" fontId="53" fillId="0" borderId="2" xfId="5" applyFont="1" applyBorder="1" applyAlignment="1">
      <alignment horizontal="center" vertical="center" wrapText="1"/>
    </xf>
    <xf numFmtId="0" fontId="38" fillId="0" borderId="2" xfId="5" applyFont="1" applyBorder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0" fontId="53" fillId="0" borderId="2" xfId="5" applyFont="1" applyBorder="1" applyAlignment="1">
      <alignment vertical="center"/>
    </xf>
    <xf numFmtId="1" fontId="58" fillId="0" borderId="2" xfId="5" applyNumberFormat="1" applyFont="1" applyBorder="1" applyAlignment="1">
      <alignment vertical="center" wrapText="1"/>
    </xf>
    <xf numFmtId="1" fontId="52" fillId="0" borderId="2" xfId="1" applyNumberFormat="1" applyFont="1" applyBorder="1" applyAlignment="1">
      <alignment vertical="center"/>
    </xf>
    <xf numFmtId="0" fontId="52" fillId="0" borderId="0" xfId="1" applyFont="1" applyAlignment="1">
      <alignment vertical="center"/>
    </xf>
    <xf numFmtId="0" fontId="69" fillId="0" borderId="0" xfId="1" applyFont="1" applyAlignment="1">
      <alignment vertical="center" wrapText="1"/>
    </xf>
    <xf numFmtId="0" fontId="75" fillId="0" borderId="0" xfId="1" applyFont="1" applyAlignment="1">
      <alignment vertical="center"/>
    </xf>
    <xf numFmtId="0" fontId="76" fillId="0" borderId="0" xfId="42" applyFont="1" applyAlignment="1">
      <alignment vertical="center"/>
    </xf>
    <xf numFmtId="0" fontId="59" fillId="8" borderId="2" xfId="42" applyFont="1" applyFill="1" applyBorder="1" applyAlignment="1">
      <alignment horizontal="center" vertical="center" wrapText="1"/>
    </xf>
    <xf numFmtId="0" fontId="58" fillId="8" borderId="2" xfId="41" applyFont="1" applyFill="1" applyBorder="1" applyAlignment="1">
      <alignment horizontal="center" vertical="center"/>
    </xf>
    <xf numFmtId="0" fontId="77" fillId="0" borderId="2" xfId="42" applyFont="1" applyBorder="1" applyAlignment="1">
      <alignment horizontal="center" vertical="center" wrapText="1"/>
    </xf>
    <xf numFmtId="0" fontId="77" fillId="0" borderId="0" xfId="42" applyFont="1" applyAlignment="1">
      <alignment vertical="center" wrapText="1"/>
    </xf>
    <xf numFmtId="0" fontId="50" fillId="0" borderId="2" xfId="42" applyFont="1" applyBorder="1" applyAlignment="1">
      <alignment horizontal="center" vertical="center"/>
    </xf>
    <xf numFmtId="0" fontId="50" fillId="0" borderId="2" xfId="42" applyFont="1" applyBorder="1" applyAlignment="1">
      <alignment vertical="center" wrapText="1"/>
    </xf>
    <xf numFmtId="167" fontId="50" fillId="0" borderId="2" xfId="42" applyNumberFormat="1" applyFont="1" applyBorder="1" applyAlignment="1">
      <alignment vertical="center"/>
    </xf>
    <xf numFmtId="167" fontId="50" fillId="0" borderId="2" xfId="42" applyNumberFormat="1" applyFont="1" applyBorder="1" applyAlignment="1">
      <alignment wrapText="1"/>
    </xf>
    <xf numFmtId="0" fontId="50" fillId="0" borderId="2" xfId="42" applyFont="1" applyBorder="1" applyAlignment="1">
      <alignment vertical="center"/>
    </xf>
    <xf numFmtId="167" fontId="59" fillId="0" borderId="2" xfId="42" applyNumberFormat="1" applyFont="1" applyBorder="1" applyAlignment="1">
      <alignment vertical="center"/>
    </xf>
    <xf numFmtId="0" fontId="50" fillId="0" borderId="0" xfId="42" applyFont="1" applyAlignment="1">
      <alignment vertical="center" wrapText="1"/>
    </xf>
    <xf numFmtId="0" fontId="67" fillId="8" borderId="0" xfId="42" applyFont="1" applyFill="1" applyAlignment="1">
      <alignment vertical="center"/>
    </xf>
    <xf numFmtId="0" fontId="69" fillId="8" borderId="2" xfId="41" applyFont="1" applyFill="1" applyBorder="1" applyAlignment="1">
      <alignment horizontal="center" vertical="center"/>
    </xf>
    <xf numFmtId="0" fontId="67" fillId="8" borderId="0" xfId="42" applyFont="1" applyFill="1" applyAlignment="1">
      <alignment vertical="center" wrapText="1"/>
    </xf>
    <xf numFmtId="0" fontId="59" fillId="0" borderId="2" xfId="42" applyFont="1" applyBorder="1" applyAlignment="1">
      <alignment vertical="center"/>
    </xf>
    <xf numFmtId="0" fontId="59" fillId="8" borderId="0" xfId="42" applyFont="1" applyFill="1" applyAlignment="1">
      <alignment vertical="center"/>
    </xf>
    <xf numFmtId="0" fontId="59" fillId="8" borderId="0" xfId="42" applyFont="1" applyFill="1" applyAlignment="1">
      <alignment vertical="center" wrapText="1"/>
    </xf>
    <xf numFmtId="0" fontId="50" fillId="0" borderId="8" xfId="42" applyFont="1" applyBorder="1" applyAlignment="1">
      <alignment horizontal="left" vertical="center"/>
    </xf>
    <xf numFmtId="0" fontId="50" fillId="0" borderId="10" xfId="42" applyFont="1" applyBorder="1" applyAlignment="1">
      <alignment horizontal="left" vertical="center"/>
    </xf>
    <xf numFmtId="0" fontId="50" fillId="0" borderId="10" xfId="42" applyFont="1" applyBorder="1" applyAlignment="1">
      <alignment horizontal="right" vertical="center"/>
    </xf>
    <xf numFmtId="0" fontId="50" fillId="0" borderId="2" xfId="42" applyFont="1" applyBorder="1" applyAlignment="1">
      <alignment horizontal="right" vertical="center"/>
    </xf>
    <xf numFmtId="0" fontId="50" fillId="0" borderId="8" xfId="42" applyFont="1" applyBorder="1" applyAlignment="1">
      <alignment vertical="center"/>
    </xf>
    <xf numFmtId="0" fontId="50" fillId="0" borderId="11" xfId="42" applyFont="1" applyBorder="1" applyAlignment="1">
      <alignment horizontal="left" vertical="center"/>
    </xf>
    <xf numFmtId="0" fontId="50" fillId="0" borderId="2" xfId="42" applyFont="1" applyBorder="1" applyAlignment="1">
      <alignment horizontal="left" vertical="center"/>
    </xf>
    <xf numFmtId="0" fontId="50" fillId="0" borderId="16" xfId="42" applyFont="1" applyBorder="1" applyAlignment="1">
      <alignment horizontal="left" vertical="center"/>
    </xf>
    <xf numFmtId="0" fontId="50" fillId="0" borderId="15" xfId="42" applyFont="1" applyBorder="1" applyAlignment="1">
      <alignment horizontal="left" vertical="center"/>
    </xf>
    <xf numFmtId="0" fontId="74" fillId="0" borderId="2" xfId="42" applyFont="1" applyBorder="1" applyAlignment="1">
      <alignment horizontal="center" vertical="center"/>
    </xf>
    <xf numFmtId="0" fontId="50" fillId="0" borderId="10" xfId="42" applyFont="1" applyBorder="1" applyAlignment="1">
      <alignment vertical="center"/>
    </xf>
    <xf numFmtId="0" fontId="50" fillId="0" borderId="14" xfId="42" applyFont="1" applyBorder="1" applyAlignment="1">
      <alignment horizontal="left" vertical="center"/>
    </xf>
    <xf numFmtId="0" fontId="50" fillId="0" borderId="13" xfId="42" applyFont="1" applyBorder="1" applyAlignment="1">
      <alignment horizontal="left" vertical="center"/>
    </xf>
    <xf numFmtId="0" fontId="53" fillId="0" borderId="2" xfId="41" applyFont="1" applyBorder="1" applyAlignment="1">
      <alignment horizontal="left" vertical="center" wrapText="1"/>
    </xf>
    <xf numFmtId="167" fontId="53" fillId="0" borderId="2" xfId="41" applyNumberFormat="1" applyFont="1" applyBorder="1" applyAlignment="1">
      <alignment vertical="center" wrapText="1"/>
    </xf>
    <xf numFmtId="0" fontId="53" fillId="0" borderId="4" xfId="41" applyFont="1" applyBorder="1" applyAlignment="1">
      <alignment horizontal="left" vertical="center" wrapText="1"/>
    </xf>
    <xf numFmtId="0" fontId="59" fillId="0" borderId="8" xfId="41" applyFont="1" applyBorder="1" applyAlignment="1">
      <alignment vertical="center"/>
    </xf>
    <xf numFmtId="0" fontId="59" fillId="0" borderId="10" xfId="41" applyFont="1" applyBorder="1" applyAlignment="1">
      <alignment vertical="center"/>
    </xf>
    <xf numFmtId="167" fontId="59" fillId="0" borderId="2" xfId="41" applyNumberFormat="1" applyFont="1" applyBorder="1" applyAlignment="1">
      <alignment vertical="center" wrapText="1"/>
    </xf>
    <xf numFmtId="0" fontId="50" fillId="0" borderId="10" xfId="41" applyFont="1" applyBorder="1" applyAlignment="1">
      <alignment vertical="center" wrapText="1"/>
    </xf>
    <xf numFmtId="0" fontId="59" fillId="0" borderId="16" xfId="41" applyFont="1" applyBorder="1" applyAlignment="1">
      <alignment vertical="center"/>
    </xf>
    <xf numFmtId="0" fontId="59" fillId="0" borderId="15" xfId="41" applyFont="1" applyBorder="1" applyAlignment="1">
      <alignment vertical="center"/>
    </xf>
    <xf numFmtId="167" fontId="58" fillId="0" borderId="2" xfId="41" applyNumberFormat="1" applyFont="1" applyBorder="1" applyAlignment="1">
      <alignment vertical="center" wrapText="1"/>
    </xf>
    <xf numFmtId="0" fontId="59" fillId="0" borderId="8" xfId="41" applyFont="1" applyBorder="1" applyAlignment="1">
      <alignment vertical="top"/>
    </xf>
    <xf numFmtId="0" fontId="59" fillId="0" borderId="10" xfId="41" applyFont="1" applyBorder="1" applyAlignment="1">
      <alignment vertical="top"/>
    </xf>
    <xf numFmtId="0" fontId="50" fillId="0" borderId="2" xfId="41" applyFont="1" applyBorder="1" applyAlignment="1">
      <alignment vertical="center" wrapText="1"/>
    </xf>
    <xf numFmtId="167" fontId="50" fillId="0" borderId="2" xfId="41" applyNumberFormat="1" applyFont="1" applyBorder="1" applyAlignment="1">
      <alignment vertical="center" wrapText="1"/>
    </xf>
    <xf numFmtId="0" fontId="50" fillId="0" borderId="2" xfId="41" applyFont="1" applyBorder="1" applyAlignment="1">
      <alignment vertical="center"/>
    </xf>
    <xf numFmtId="0" fontId="53" fillId="0" borderId="10" xfId="41" applyFont="1" applyBorder="1" applyAlignment="1">
      <alignment horizontal="left" vertical="center" wrapText="1"/>
    </xf>
    <xf numFmtId="167" fontId="53" fillId="0" borderId="2" xfId="41" applyNumberFormat="1" applyFont="1" applyBorder="1" applyAlignment="1">
      <alignment horizontal="right" vertical="center" wrapText="1"/>
    </xf>
    <xf numFmtId="0" fontId="59" fillId="0" borderId="0" xfId="42" applyFont="1" applyAlignment="1">
      <alignment vertical="center"/>
    </xf>
    <xf numFmtId="0" fontId="59" fillId="0" borderId="2" xfId="41" applyFont="1" applyBorder="1" applyAlignment="1">
      <alignment vertical="center"/>
    </xf>
    <xf numFmtId="0" fontId="53" fillId="0" borderId="2" xfId="41" applyFont="1" applyBorder="1" applyAlignment="1">
      <alignment vertical="center"/>
    </xf>
    <xf numFmtId="167" fontId="50" fillId="4" borderId="2" xfId="41" applyNumberFormat="1" applyFont="1" applyFill="1" applyBorder="1" applyAlignment="1">
      <alignment vertical="center" wrapText="1"/>
    </xf>
    <xf numFmtId="167" fontId="50" fillId="0" borderId="2" xfId="42" applyNumberFormat="1" applyFont="1" applyBorder="1" applyAlignment="1">
      <alignment vertical="center" wrapText="1"/>
    </xf>
    <xf numFmtId="0" fontId="50" fillId="0" borderId="4" xfId="42" applyFont="1" applyBorder="1" applyAlignment="1">
      <alignment vertical="center" wrapText="1"/>
    </xf>
    <xf numFmtId="0" fontId="59" fillId="0" borderId="10" xfId="42" applyFont="1" applyBorder="1" applyAlignment="1">
      <alignment vertical="center"/>
    </xf>
    <xf numFmtId="0" fontId="50" fillId="0" borderId="11" xfId="42" applyFont="1" applyBorder="1" applyAlignment="1">
      <alignment vertical="center" wrapText="1"/>
    </xf>
    <xf numFmtId="0" fontId="59" fillId="0" borderId="0" xfId="42" applyFont="1" applyAlignment="1">
      <alignment horizontal="left" vertical="center"/>
    </xf>
    <xf numFmtId="0" fontId="78" fillId="0" borderId="8" xfId="41" applyFont="1" applyBorder="1" applyAlignment="1">
      <alignment horizontal="center" vertical="center"/>
    </xf>
    <xf numFmtId="0" fontId="78" fillId="0" borderId="2" xfId="41" applyFont="1" applyBorder="1" applyAlignment="1">
      <alignment horizontal="center" vertical="center"/>
    </xf>
    <xf numFmtId="0" fontId="79" fillId="0" borderId="0" xfId="42" applyFont="1" applyAlignment="1">
      <alignment vertical="center" wrapText="1"/>
    </xf>
    <xf numFmtId="0" fontId="58" fillId="0" borderId="0" xfId="38" applyFont="1" applyAlignment="1">
      <alignment vertical="center" wrapText="1"/>
    </xf>
    <xf numFmtId="0" fontId="53" fillId="0" borderId="0" xfId="38" applyFont="1" applyAlignment="1">
      <alignment vertical="center"/>
    </xf>
    <xf numFmtId="0" fontId="64" fillId="0" borderId="11" xfId="38" applyFont="1" applyBorder="1" applyAlignment="1">
      <alignment horizontal="center" vertical="center" wrapText="1"/>
    </xf>
    <xf numFmtId="0" fontId="53" fillId="0" borderId="2" xfId="38" applyFont="1" applyBorder="1" applyAlignment="1">
      <alignment horizontal="center" vertical="center"/>
    </xf>
    <xf numFmtId="0" fontId="58" fillId="0" borderId="2" xfId="38" applyFont="1" applyBorder="1" applyAlignment="1">
      <alignment vertical="center" wrapText="1"/>
    </xf>
    <xf numFmtId="167" fontId="53" fillId="0" borderId="2" xfId="38" applyNumberFormat="1" applyFont="1" applyBorder="1" applyAlignment="1">
      <alignment horizontal="right" vertical="center"/>
    </xf>
    <xf numFmtId="0" fontId="58" fillId="0" borderId="2" xfId="38" applyFont="1" applyBorder="1" applyAlignment="1">
      <alignment vertical="center"/>
    </xf>
    <xf numFmtId="0" fontId="58" fillId="0" borderId="0" xfId="38" applyFont="1" applyAlignment="1">
      <alignment vertical="center"/>
    </xf>
    <xf numFmtId="0" fontId="53" fillId="0" borderId="0" xfId="38" applyFont="1"/>
    <xf numFmtId="1" fontId="58" fillId="0" borderId="2" xfId="38" applyNumberFormat="1" applyFont="1" applyBorder="1" applyAlignment="1">
      <alignment vertical="center"/>
    </xf>
    <xf numFmtId="0" fontId="54" fillId="0" borderId="0" xfId="42" applyFont="1" applyAlignment="1">
      <alignment vertical="top"/>
    </xf>
    <xf numFmtId="0" fontId="53" fillId="0" borderId="0" xfId="42" applyFont="1"/>
    <xf numFmtId="0" fontId="64" fillId="0" borderId="2" xfId="42" applyFont="1" applyBorder="1" applyAlignment="1">
      <alignment horizontal="center" vertical="center" wrapText="1"/>
    </xf>
    <xf numFmtId="0" fontId="64" fillId="0" borderId="0" xfId="42" applyFont="1"/>
    <xf numFmtId="0" fontId="58" fillId="0" borderId="2" xfId="42" applyFont="1" applyBorder="1" applyAlignment="1">
      <alignment horizontal="left" vertical="center" wrapText="1"/>
    </xf>
    <xf numFmtId="168" fontId="53" fillId="0" borderId="2" xfId="42" applyNumberFormat="1" applyFont="1" applyBorder="1" applyAlignment="1">
      <alignment horizontal="right" vertical="center"/>
    </xf>
    <xf numFmtId="0" fontId="58" fillId="0" borderId="2" xfId="42" applyFont="1" applyBorder="1" applyAlignment="1">
      <alignment vertical="center" wrapText="1"/>
    </xf>
    <xf numFmtId="3" fontId="53" fillId="0" borderId="2" xfId="42" applyNumberFormat="1" applyFont="1" applyBorder="1" applyAlignment="1">
      <alignment vertical="center"/>
    </xf>
    <xf numFmtId="0" fontId="53" fillId="0" borderId="0" xfId="42" applyFont="1" applyAlignment="1">
      <alignment wrapText="1"/>
    </xf>
    <xf numFmtId="0" fontId="53" fillId="0" borderId="2" xfId="42" applyFont="1" applyBorder="1" applyAlignment="1">
      <alignment horizontal="center" vertical="center"/>
    </xf>
    <xf numFmtId="0" fontId="58" fillId="0" borderId="0" xfId="42" applyFont="1" applyAlignment="1">
      <alignment horizontal="center" vertical="center"/>
    </xf>
    <xf numFmtId="0" fontId="53" fillId="0" borderId="0" xfId="42" applyFont="1" applyAlignment="1">
      <alignment vertical="center"/>
    </xf>
    <xf numFmtId="3" fontId="58" fillId="0" borderId="2" xfId="42" applyNumberFormat="1" applyFont="1" applyBorder="1" applyAlignment="1">
      <alignment vertical="center"/>
    </xf>
    <xf numFmtId="0" fontId="58" fillId="0" borderId="0" xfId="42" applyFont="1" applyAlignment="1">
      <alignment vertical="center"/>
    </xf>
    <xf numFmtId="0" fontId="53" fillId="0" borderId="0" xfId="42" applyFont="1" applyAlignment="1">
      <alignment vertical="center" wrapText="1"/>
    </xf>
    <xf numFmtId="0" fontId="31" fillId="0" borderId="2" xfId="4" applyBorder="1" applyAlignment="1">
      <alignment horizontal="center" vertical="center" wrapText="1"/>
    </xf>
    <xf numFmtId="0" fontId="53" fillId="0" borderId="2" xfId="4" applyFont="1" applyBorder="1" applyAlignment="1">
      <alignment horizontal="center" vertical="center"/>
    </xf>
    <xf numFmtId="165" fontId="53" fillId="0" borderId="2" xfId="4" applyNumberFormat="1" applyFont="1" applyBorder="1" applyAlignment="1">
      <alignment horizontal="center" vertical="center"/>
    </xf>
    <xf numFmtId="0" fontId="58" fillId="0" borderId="2" xfId="1" applyFont="1" applyBorder="1" applyAlignment="1">
      <alignment horizontal="left" vertical="center" wrapText="1"/>
    </xf>
    <xf numFmtId="0" fontId="58" fillId="0" borderId="0" xfId="4" applyFont="1" applyAlignment="1">
      <alignment vertical="center" wrapText="1"/>
    </xf>
    <xf numFmtId="165" fontId="58" fillId="0" borderId="2" xfId="4" applyNumberFormat="1" applyFont="1" applyBorder="1" applyAlignment="1">
      <alignment horizontal="center" vertical="center"/>
    </xf>
    <xf numFmtId="0" fontId="71" fillId="0" borderId="2" xfId="9" applyFont="1" applyBorder="1" applyAlignment="1">
      <alignment horizontal="center" vertical="center"/>
    </xf>
    <xf numFmtId="0" fontId="53" fillId="0" borderId="2" xfId="9" applyFont="1" applyBorder="1" applyAlignment="1">
      <alignment horizontal="center" vertical="center"/>
    </xf>
    <xf numFmtId="0" fontId="58" fillId="0" borderId="2" xfId="9" applyFont="1" applyBorder="1" applyAlignment="1">
      <alignment vertical="center"/>
    </xf>
    <xf numFmtId="2" fontId="53" fillId="0" borderId="2" xfId="9" applyNumberFormat="1" applyFont="1" applyBorder="1" applyAlignment="1">
      <alignment horizontal="center" vertical="center"/>
    </xf>
    <xf numFmtId="0" fontId="54" fillId="0" borderId="2" xfId="9" applyFont="1" applyBorder="1" applyAlignment="1">
      <alignment horizontal="center" vertical="center"/>
    </xf>
    <xf numFmtId="0" fontId="81" fillId="0" borderId="0" xfId="1" applyFont="1" applyAlignment="1">
      <alignment horizontal="center" vertical="center"/>
    </xf>
    <xf numFmtId="0" fontId="53" fillId="8" borderId="0" xfId="1" applyFont="1" applyFill="1"/>
    <xf numFmtId="0" fontId="58" fillId="8" borderId="2" xfId="1" applyFont="1" applyFill="1" applyBorder="1" applyAlignment="1">
      <alignment horizontal="center" vertical="center" wrapText="1"/>
    </xf>
    <xf numFmtId="0" fontId="31" fillId="0" borderId="2" xfId="1" applyBorder="1" applyAlignment="1">
      <alignment horizontal="center" vertical="center" wrapText="1"/>
    </xf>
    <xf numFmtId="0" fontId="58" fillId="0" borderId="2" xfId="41" applyFont="1" applyBorder="1" applyAlignment="1">
      <alignment vertical="center"/>
    </xf>
    <xf numFmtId="0" fontId="58" fillId="0" borderId="0" xfId="1" applyFont="1"/>
    <xf numFmtId="0" fontId="53" fillId="0" borderId="0" xfId="1" applyFont="1" applyAlignment="1">
      <alignment horizontal="center" vertical="center"/>
    </xf>
    <xf numFmtId="0" fontId="81" fillId="0" borderId="0" xfId="1" applyFont="1" applyAlignment="1">
      <alignment vertical="center"/>
    </xf>
    <xf numFmtId="0" fontId="53" fillId="8" borderId="0" xfId="1" applyFont="1" applyFill="1" applyAlignment="1">
      <alignment horizontal="center" vertical="center"/>
    </xf>
    <xf numFmtId="0" fontId="53" fillId="8" borderId="0" xfId="1" applyFont="1" applyFill="1" applyAlignment="1">
      <alignment vertical="center"/>
    </xf>
    <xf numFmtId="167" fontId="70" fillId="2" borderId="2" xfId="1" applyNumberFormat="1" applyFont="1" applyFill="1" applyBorder="1" applyAlignment="1">
      <alignment horizontal="right" vertical="center" wrapText="1"/>
    </xf>
    <xf numFmtId="0" fontId="58" fillId="0" borderId="2" xfId="43" applyFont="1" applyBorder="1" applyAlignment="1">
      <alignment horizontal="left" vertical="center" wrapText="1"/>
    </xf>
    <xf numFmtId="0" fontId="60" fillId="2" borderId="2" xfId="1" applyFont="1" applyFill="1" applyBorder="1" applyAlignment="1">
      <alignment horizontal="right" vertical="center" wrapText="1"/>
    </xf>
    <xf numFmtId="0" fontId="60" fillId="8" borderId="2" xfId="1" applyFont="1" applyFill="1" applyBorder="1" applyAlignment="1">
      <alignment horizontal="center" vertical="center" wrapText="1"/>
    </xf>
    <xf numFmtId="0" fontId="60" fillId="8" borderId="2" xfId="43" applyFont="1" applyFill="1" applyBorder="1" applyAlignment="1">
      <alignment horizontal="center" vertical="center" wrapText="1"/>
    </xf>
    <xf numFmtId="0" fontId="58" fillId="8" borderId="0" xfId="1" applyFont="1" applyFill="1" applyAlignment="1">
      <alignment vertical="center"/>
    </xf>
    <xf numFmtId="0" fontId="54" fillId="0" borderId="0" xfId="56" applyFont="1" applyAlignment="1">
      <alignment horizontal="center" vertical="center"/>
    </xf>
    <xf numFmtId="0" fontId="54" fillId="0" borderId="0" xfId="56" applyFont="1" applyAlignment="1">
      <alignment vertical="top"/>
    </xf>
    <xf numFmtId="0" fontId="53" fillId="8" borderId="0" xfId="56" applyFont="1" applyFill="1" applyAlignment="1">
      <alignment vertical="center"/>
    </xf>
    <xf numFmtId="167" fontId="70" fillId="2" borderId="2" xfId="1" applyNumberFormat="1" applyFont="1" applyFill="1" applyBorder="1" applyAlignment="1">
      <alignment horizontal="center" vertical="center" wrapText="1"/>
    </xf>
    <xf numFmtId="0" fontId="53" fillId="0" borderId="2" xfId="56" applyFont="1" applyBorder="1" applyAlignment="1">
      <alignment horizontal="center" vertical="center"/>
    </xf>
    <xf numFmtId="0" fontId="53" fillId="0" borderId="0" xfId="56" applyFont="1" applyAlignment="1">
      <alignment vertical="center"/>
    </xf>
    <xf numFmtId="0" fontId="58" fillId="0" borderId="0" xfId="56" applyFont="1" applyAlignment="1">
      <alignment vertical="center"/>
    </xf>
    <xf numFmtId="0" fontId="53" fillId="0" borderId="0" xfId="56" applyFont="1" applyAlignment="1">
      <alignment horizontal="center" vertical="center"/>
    </xf>
    <xf numFmtId="0" fontId="58" fillId="8" borderId="0" xfId="56" applyFont="1" applyFill="1" applyAlignment="1">
      <alignment vertical="center"/>
    </xf>
    <xf numFmtId="0" fontId="54" fillId="0" borderId="0" xfId="56" applyFont="1" applyAlignment="1">
      <alignment vertical="center"/>
    </xf>
    <xf numFmtId="0" fontId="31" fillId="0" borderId="2" xfId="56" applyBorder="1" applyAlignment="1">
      <alignment horizontal="center" vertical="center" wrapText="1"/>
    </xf>
    <xf numFmtId="0" fontId="58" fillId="0" borderId="2" xfId="56" applyFont="1" applyBorder="1" applyAlignment="1">
      <alignment horizontal="left" vertical="center" wrapText="1"/>
    </xf>
    <xf numFmtId="0" fontId="70" fillId="2" borderId="2" xfId="1" applyFont="1" applyFill="1" applyBorder="1" applyAlignment="1">
      <alignment horizontal="right" vertical="center" wrapText="1"/>
    </xf>
    <xf numFmtId="0" fontId="53" fillId="8" borderId="0" xfId="5" applyFont="1" applyFill="1" applyAlignment="1">
      <alignment vertical="center"/>
    </xf>
    <xf numFmtId="0" fontId="58" fillId="0" borderId="2" xfId="5" applyFont="1" applyBorder="1" applyAlignment="1">
      <alignment horizontal="left" vertical="center" wrapText="1"/>
    </xf>
    <xf numFmtId="167" fontId="70" fillId="2" borderId="2" xfId="49" applyNumberFormat="1" applyFont="1" applyFill="1" applyBorder="1" applyAlignment="1">
      <alignment horizontal="right" vertical="center" wrapText="1"/>
    </xf>
    <xf numFmtId="0" fontId="60" fillId="2" borderId="2" xfId="5" applyFont="1" applyFill="1" applyBorder="1" applyAlignment="1">
      <alignment horizontal="right" vertical="center" wrapText="1"/>
    </xf>
    <xf numFmtId="0" fontId="58" fillId="8" borderId="0" xfId="5" applyFont="1" applyFill="1" applyAlignment="1">
      <alignment vertical="center"/>
    </xf>
    <xf numFmtId="0" fontId="60" fillId="8" borderId="2" xfId="5" applyFont="1" applyFill="1" applyBorder="1" applyAlignment="1">
      <alignment horizontal="center" vertical="center" wrapText="1"/>
    </xf>
    <xf numFmtId="0" fontId="58" fillId="8" borderId="0" xfId="5" applyFont="1" applyFill="1"/>
    <xf numFmtId="0" fontId="58" fillId="8" borderId="2" xfId="5" applyFont="1" applyFill="1" applyBorder="1" applyAlignment="1">
      <alignment horizontal="center" vertical="center" wrapText="1"/>
    </xf>
    <xf numFmtId="0" fontId="53" fillId="8" borderId="0" xfId="5" applyFont="1" applyFill="1"/>
    <xf numFmtId="0" fontId="52" fillId="0" borderId="0" xfId="48" applyFont="1" applyAlignment="1">
      <alignment horizontal="center" vertical="center" wrapText="1"/>
    </xf>
    <xf numFmtId="0" fontId="53" fillId="7" borderId="0" xfId="48" applyFont="1" applyFill="1"/>
    <xf numFmtId="0" fontId="58" fillId="8" borderId="2" xfId="48" applyFont="1" applyFill="1" applyBorder="1" applyAlignment="1">
      <alignment horizontal="center" vertical="center" wrapText="1"/>
    </xf>
    <xf numFmtId="0" fontId="31" fillId="0" borderId="2" xfId="48" applyBorder="1" applyAlignment="1">
      <alignment horizontal="center" vertical="center" wrapText="1"/>
    </xf>
    <xf numFmtId="0" fontId="53" fillId="0" borderId="2" xfId="48" applyFont="1" applyBorder="1" applyAlignment="1">
      <alignment horizontal="center" vertical="center"/>
    </xf>
    <xf numFmtId="0" fontId="58" fillId="0" borderId="2" xfId="48" applyFont="1" applyBorder="1" applyAlignment="1">
      <alignment vertical="center" wrapText="1"/>
    </xf>
    <xf numFmtId="167" fontId="53" fillId="0" borderId="2" xfId="48" applyNumberFormat="1" applyFont="1" applyBorder="1" applyAlignment="1">
      <alignment horizontal="center" vertical="center"/>
    </xf>
    <xf numFmtId="167" fontId="53" fillId="0" borderId="2" xfId="9" applyNumberFormat="1" applyFont="1" applyBorder="1" applyAlignment="1">
      <alignment horizontal="center" vertical="center"/>
    </xf>
    <xf numFmtId="0" fontId="53" fillId="0" borderId="0" xfId="48" applyFont="1" applyAlignment="1">
      <alignment vertical="center"/>
    </xf>
    <xf numFmtId="1" fontId="53" fillId="0" borderId="0" xfId="48" applyNumberFormat="1" applyFont="1" applyAlignment="1">
      <alignment vertical="center"/>
    </xf>
    <xf numFmtId="0" fontId="58" fillId="0" borderId="2" xfId="48" applyFont="1" applyBorder="1" applyAlignment="1">
      <alignment vertical="center"/>
    </xf>
    <xf numFmtId="0" fontId="54" fillId="0" borderId="2" xfId="48" applyFont="1" applyBorder="1" applyAlignment="1">
      <alignment horizontal="center" vertical="center"/>
    </xf>
    <xf numFmtId="0" fontId="60" fillId="0" borderId="2" xfId="48" applyFont="1" applyBorder="1" applyAlignment="1">
      <alignment vertical="center"/>
    </xf>
    <xf numFmtId="0" fontId="58" fillId="0" borderId="0" xfId="43" applyFont="1" applyAlignment="1">
      <alignment vertical="center" wrapText="1"/>
    </xf>
    <xf numFmtId="0" fontId="58" fillId="0" borderId="2" xfId="43" applyFont="1" applyBorder="1" applyAlignment="1">
      <alignment vertical="center" wrapText="1"/>
    </xf>
    <xf numFmtId="0" fontId="58" fillId="0" borderId="2" xfId="57" applyFont="1" applyBorder="1" applyAlignment="1">
      <alignment horizontal="left" vertical="center" wrapText="1"/>
    </xf>
    <xf numFmtId="167" fontId="58" fillId="0" borderId="2" xfId="48" applyNumberFormat="1" applyFont="1" applyBorder="1" applyAlignment="1">
      <alignment horizontal="center" vertical="center"/>
    </xf>
    <xf numFmtId="167" fontId="58" fillId="0" borderId="2" xfId="9" applyNumberFormat="1" applyFont="1" applyBorder="1" applyAlignment="1">
      <alignment horizontal="center" vertical="center"/>
    </xf>
    <xf numFmtId="0" fontId="58" fillId="7" borderId="0" xfId="48" applyFont="1" applyFill="1" applyAlignment="1">
      <alignment vertical="center"/>
    </xf>
    <xf numFmtId="0" fontId="80" fillId="0" borderId="0" xfId="48" applyFont="1"/>
    <xf numFmtId="0" fontId="53" fillId="0" borderId="0" xfId="48" applyFont="1"/>
    <xf numFmtId="0" fontId="31" fillId="8" borderId="0" xfId="17" applyFont="1" applyFill="1"/>
    <xf numFmtId="0" fontId="58" fillId="8" borderId="2" xfId="5" applyFont="1" applyFill="1" applyBorder="1" applyAlignment="1">
      <alignment horizontal="center" vertical="center"/>
    </xf>
    <xf numFmtId="0" fontId="53" fillId="8" borderId="0" xfId="17" applyFont="1" applyFill="1"/>
    <xf numFmtId="0" fontId="64" fillId="0" borderId="2" xfId="17" applyFont="1" applyBorder="1" applyAlignment="1">
      <alignment horizontal="center" vertical="center" wrapText="1"/>
    </xf>
    <xf numFmtId="0" fontId="52" fillId="0" borderId="2" xfId="5" applyFont="1" applyBorder="1" applyAlignment="1">
      <alignment vertical="center" wrapText="1"/>
    </xf>
    <xf numFmtId="167" fontId="53" fillId="0" borderId="2" xfId="17" applyNumberFormat="1" applyFont="1" applyBorder="1" applyAlignment="1">
      <alignment vertical="center"/>
    </xf>
    <xf numFmtId="1" fontId="31" fillId="0" borderId="0" xfId="17" applyNumberFormat="1" applyFont="1"/>
    <xf numFmtId="165" fontId="31" fillId="0" borderId="0" xfId="17" applyNumberFormat="1" applyFont="1"/>
    <xf numFmtId="0" fontId="38" fillId="0" borderId="0" xfId="17" applyFont="1"/>
    <xf numFmtId="0" fontId="53" fillId="0" borderId="2" xfId="17" applyFont="1" applyBorder="1" applyAlignment="1">
      <alignment vertical="center"/>
    </xf>
    <xf numFmtId="1" fontId="53" fillId="0" borderId="2" xfId="17" applyNumberFormat="1" applyFont="1" applyBorder="1" applyAlignment="1">
      <alignment vertical="center"/>
    </xf>
    <xf numFmtId="0" fontId="54" fillId="0" borderId="0" xfId="28" applyFont="1" applyAlignment="1">
      <alignment vertical="top"/>
    </xf>
    <xf numFmtId="0" fontId="53" fillId="0" borderId="0" xfId="28" applyFont="1" applyAlignment="1">
      <alignment vertical="center"/>
    </xf>
    <xf numFmtId="0" fontId="64" fillId="0" borderId="2" xfId="28" applyFont="1" applyBorder="1" applyAlignment="1">
      <alignment horizontal="center" vertical="center" wrapText="1"/>
    </xf>
    <xf numFmtId="167" fontId="53" fillId="0" borderId="2" xfId="28" applyNumberFormat="1" applyFont="1" applyBorder="1" applyAlignment="1">
      <alignment vertical="center"/>
    </xf>
    <xf numFmtId="167" fontId="70" fillId="2" borderId="2" xfId="28" applyNumberFormat="1" applyFont="1" applyFill="1" applyBorder="1" applyAlignment="1">
      <alignment horizontal="right" vertical="center" wrapText="1"/>
    </xf>
    <xf numFmtId="0" fontId="38" fillId="0" borderId="0" xfId="28" applyFont="1" applyAlignment="1">
      <alignment vertical="center"/>
    </xf>
    <xf numFmtId="0" fontId="70" fillId="2" borderId="2" xfId="28" applyFont="1" applyFill="1" applyBorder="1" applyAlignment="1">
      <alignment horizontal="right" vertical="center" wrapText="1"/>
    </xf>
    <xf numFmtId="165" fontId="53" fillId="0" borderId="0" xfId="28" applyNumberFormat="1" applyFont="1" applyAlignment="1">
      <alignment horizontal="center" vertical="center"/>
    </xf>
    <xf numFmtId="0" fontId="58" fillId="0" borderId="2" xfId="28" applyFont="1" applyBorder="1" applyAlignment="1">
      <alignment horizontal="left" vertical="center" wrapText="1"/>
    </xf>
    <xf numFmtId="0" fontId="54" fillId="0" borderId="0" xfId="4" applyFont="1" applyAlignment="1">
      <alignment vertical="top"/>
    </xf>
    <xf numFmtId="0" fontId="53" fillId="8" borderId="0" xfId="4" applyFont="1" applyFill="1" applyAlignment="1">
      <alignment vertical="center"/>
    </xf>
    <xf numFmtId="167" fontId="70" fillId="2" borderId="2" xfId="4" applyNumberFormat="1" applyFont="1" applyFill="1" applyBorder="1" applyAlignment="1">
      <alignment horizontal="right" vertical="center" wrapText="1"/>
    </xf>
    <xf numFmtId="0" fontId="53" fillId="0" borderId="0" xfId="4" applyFont="1" applyAlignment="1">
      <alignment vertical="center"/>
    </xf>
    <xf numFmtId="0" fontId="83" fillId="10" borderId="2" xfId="4" applyFont="1" applyFill="1" applyBorder="1" applyAlignment="1">
      <alignment horizontal="right" vertical="center" wrapText="1"/>
    </xf>
    <xf numFmtId="0" fontId="58" fillId="0" borderId="0" xfId="4" applyFont="1" applyAlignment="1">
      <alignment vertical="center"/>
    </xf>
    <xf numFmtId="0" fontId="84" fillId="0" borderId="2" xfId="4" applyFont="1" applyBorder="1" applyAlignment="1">
      <alignment horizontal="right" vertical="center" wrapText="1"/>
    </xf>
    <xf numFmtId="0" fontId="85" fillId="8" borderId="2" xfId="4" applyFont="1" applyFill="1" applyBorder="1" applyAlignment="1">
      <alignment horizontal="center" vertical="center" wrapText="1"/>
    </xf>
    <xf numFmtId="0" fontId="83" fillId="10" borderId="2" xfId="4" applyFont="1" applyFill="1" applyBorder="1" applyAlignment="1">
      <alignment horizontal="center" vertical="center" wrapText="1"/>
    </xf>
    <xf numFmtId="0" fontId="58" fillId="8" borderId="2" xfId="4" applyFont="1" applyFill="1" applyBorder="1" applyAlignment="1">
      <alignment horizontal="center" vertical="center" wrapText="1"/>
    </xf>
    <xf numFmtId="0" fontId="58" fillId="0" borderId="2" xfId="4" applyFont="1" applyBorder="1" applyAlignment="1">
      <alignment horizontal="center" vertical="center" wrapText="1"/>
    </xf>
    <xf numFmtId="0" fontId="38" fillId="0" borderId="0" xfId="4" applyFont="1" applyAlignment="1">
      <alignment vertical="center"/>
    </xf>
    <xf numFmtId="1" fontId="70" fillId="2" borderId="2" xfId="4" applyNumberFormat="1" applyFont="1" applyFill="1" applyBorder="1" applyAlignment="1">
      <alignment horizontal="right" vertical="center" wrapText="1"/>
    </xf>
    <xf numFmtId="0" fontId="31" fillId="0" borderId="0" xfId="17" applyFont="1" applyAlignment="1">
      <alignment vertical="center"/>
    </xf>
    <xf numFmtId="0" fontId="64" fillId="0" borderId="2" xfId="41" applyFont="1" applyBorder="1" applyAlignment="1">
      <alignment horizontal="center" vertical="center" wrapText="1"/>
    </xf>
    <xf numFmtId="0" fontId="64" fillId="0" borderId="2" xfId="44" applyFont="1" applyBorder="1" applyAlignment="1">
      <alignment horizontal="center" vertical="center" wrapText="1"/>
    </xf>
    <xf numFmtId="0" fontId="53" fillId="0" borderId="2" xfId="17" applyFont="1" applyBorder="1" applyAlignment="1">
      <alignment horizontal="center" vertical="center"/>
    </xf>
    <xf numFmtId="0" fontId="56" fillId="0" borderId="2" xfId="48" applyFont="1" applyBorder="1" applyAlignment="1">
      <alignment horizontal="left" vertical="center" wrapText="1"/>
    </xf>
    <xf numFmtId="167" fontId="50" fillId="0" borderId="2" xfId="48" applyNumberFormat="1" applyFont="1" applyBorder="1" applyAlignment="1">
      <alignment horizontal="right" vertical="center"/>
    </xf>
    <xf numFmtId="0" fontId="38" fillId="0" borderId="0" xfId="17" applyFont="1" applyAlignment="1">
      <alignment vertical="center"/>
    </xf>
    <xf numFmtId="167" fontId="59" fillId="0" borderId="2" xfId="48" applyNumberFormat="1" applyFont="1" applyBorder="1" applyAlignment="1">
      <alignment horizontal="right" vertical="center"/>
    </xf>
    <xf numFmtId="0" fontId="54" fillId="0" borderId="0" xfId="17" applyFont="1" applyAlignment="1">
      <alignment vertical="center" wrapText="1"/>
    </xf>
    <xf numFmtId="0" fontId="50" fillId="0" borderId="0" xfId="55" applyFont="1"/>
    <xf numFmtId="0" fontId="73" fillId="0" borderId="2" xfId="28" applyFont="1" applyBorder="1" applyAlignment="1">
      <alignment horizontal="center" vertical="center" wrapText="1"/>
    </xf>
    <xf numFmtId="0" fontId="50" fillId="0" borderId="0" xfId="55" applyFont="1" applyAlignment="1">
      <alignment vertical="center"/>
    </xf>
    <xf numFmtId="0" fontId="86" fillId="2" borderId="2" xfId="28" applyFont="1" applyFill="1" applyBorder="1" applyAlignment="1">
      <alignment horizontal="center" vertical="center" wrapText="1"/>
    </xf>
    <xf numFmtId="167" fontId="60" fillId="2" borderId="2" xfId="28" applyNumberFormat="1" applyFont="1" applyFill="1" applyBorder="1" applyAlignment="1">
      <alignment horizontal="right" vertical="center" wrapText="1"/>
    </xf>
    <xf numFmtId="0" fontId="60" fillId="2" borderId="2" xfId="28" applyFont="1" applyFill="1" applyBorder="1" applyAlignment="1">
      <alignment horizontal="right" vertical="center" wrapText="1"/>
    </xf>
    <xf numFmtId="0" fontId="52" fillId="8" borderId="0" xfId="5" applyFont="1" applyFill="1" applyAlignment="1">
      <alignment vertical="center" wrapText="1"/>
    </xf>
    <xf numFmtId="0" fontId="54" fillId="8" borderId="0" xfId="5" applyFont="1" applyFill="1" applyAlignment="1">
      <alignment vertical="center"/>
    </xf>
    <xf numFmtId="0" fontId="54" fillId="0" borderId="2" xfId="5" applyFont="1" applyBorder="1" applyAlignment="1">
      <alignment horizontal="center" vertical="center"/>
    </xf>
    <xf numFmtId="167" fontId="54" fillId="0" borderId="2" xfId="5" applyNumberFormat="1" applyFont="1" applyBorder="1" applyAlignment="1">
      <alignment horizontal="right" vertical="center"/>
    </xf>
    <xf numFmtId="0" fontId="52" fillId="0" borderId="2" xfId="5" applyFont="1" applyBorder="1" applyAlignment="1">
      <alignment vertical="center"/>
    </xf>
    <xf numFmtId="0" fontId="58" fillId="8" borderId="2" xfId="43" applyFont="1" applyFill="1" applyBorder="1" applyAlignment="1">
      <alignment horizontal="center" vertical="center"/>
    </xf>
    <xf numFmtId="0" fontId="50" fillId="8" borderId="0" xfId="42" applyFont="1" applyFill="1" applyAlignment="1">
      <alignment vertical="center" wrapText="1"/>
    </xf>
    <xf numFmtId="0" fontId="53" fillId="0" borderId="2" xfId="42" applyFont="1" applyBorder="1" applyAlignment="1">
      <alignment vertical="center" wrapText="1"/>
    </xf>
    <xf numFmtId="0" fontId="59" fillId="8" borderId="2" xfId="42" applyFont="1" applyFill="1" applyBorder="1" applyAlignment="1">
      <alignment horizontal="center" vertical="center"/>
    </xf>
    <xf numFmtId="0" fontId="77" fillId="0" borderId="10" xfId="42" applyFont="1" applyBorder="1" applyAlignment="1">
      <alignment horizontal="center" vertical="center"/>
    </xf>
    <xf numFmtId="0" fontId="77" fillId="0" borderId="2" xfId="42" applyFont="1" applyBorder="1" applyAlignment="1">
      <alignment horizontal="center" vertical="center"/>
    </xf>
    <xf numFmtId="0" fontId="59" fillId="0" borderId="8" xfId="42" applyFont="1" applyBorder="1" applyAlignment="1">
      <alignment vertical="center"/>
    </xf>
    <xf numFmtId="0" fontId="70" fillId="2" borderId="10" xfId="44" applyFont="1" applyFill="1" applyBorder="1" applyAlignment="1">
      <alignment horizontal="right" vertical="center" wrapText="1"/>
    </xf>
    <xf numFmtId="0" fontId="50" fillId="0" borderId="11" xfId="42" applyFont="1" applyBorder="1" applyAlignment="1">
      <alignment vertical="center"/>
    </xf>
    <xf numFmtId="0" fontId="50" fillId="0" borderId="15" xfId="42" applyFont="1" applyBorder="1" applyAlignment="1">
      <alignment vertical="center"/>
    </xf>
    <xf numFmtId="0" fontId="50" fillId="0" borderId="13" xfId="42" applyFont="1" applyBorder="1" applyAlignment="1">
      <alignment vertical="center"/>
    </xf>
    <xf numFmtId="0" fontId="59" fillId="0" borderId="15" xfId="42" applyFont="1" applyBorder="1" applyAlignment="1">
      <alignment vertical="center"/>
    </xf>
    <xf numFmtId="0" fontId="56" fillId="0" borderId="2" xfId="42" applyFont="1" applyBorder="1" applyAlignment="1">
      <alignment vertical="center"/>
    </xf>
    <xf numFmtId="0" fontId="59" fillId="0" borderId="2" xfId="42" applyFont="1" applyBorder="1" applyAlignment="1">
      <alignment horizontal="left" vertical="center"/>
    </xf>
    <xf numFmtId="1" fontId="51" fillId="0" borderId="2" xfId="32" applyNumberFormat="1" applyFont="1" applyBorder="1" applyAlignment="1">
      <alignment horizontal="center" vertical="center"/>
    </xf>
    <xf numFmtId="0" fontId="80" fillId="0" borderId="0" xfId="5" applyFont="1" applyAlignment="1">
      <alignment vertical="center"/>
    </xf>
    <xf numFmtId="1" fontId="58" fillId="0" borderId="2" xfId="32" applyNumberFormat="1" applyFont="1" applyBorder="1" applyAlignment="1">
      <alignment vertical="center"/>
    </xf>
    <xf numFmtId="167" fontId="53" fillId="0" borderId="2" xfId="32" applyNumberFormat="1" applyFont="1" applyBorder="1" applyAlignment="1">
      <alignment vertical="center"/>
    </xf>
    <xf numFmtId="167" fontId="53" fillId="0" borderId="2" xfId="10" applyNumberFormat="1" applyFont="1" applyBorder="1" applyAlignment="1">
      <alignment vertical="center"/>
    </xf>
    <xf numFmtId="0" fontId="58" fillId="0" borderId="10" xfId="4" applyFont="1" applyBorder="1" applyAlignment="1">
      <alignment vertical="center"/>
    </xf>
    <xf numFmtId="1" fontId="58" fillId="0" borderId="2" xfId="32" applyNumberFormat="1" applyFont="1" applyBorder="1" applyAlignment="1">
      <alignment vertical="center" wrapText="1"/>
    </xf>
    <xf numFmtId="167" fontId="53" fillId="0" borderId="2" xfId="1" applyNumberFormat="1" applyFont="1" applyBorder="1" applyAlignment="1">
      <alignment horizontal="center" vertical="center"/>
    </xf>
    <xf numFmtId="167" fontId="58" fillId="0" borderId="2" xfId="1" applyNumberFormat="1" applyFont="1" applyBorder="1" applyAlignment="1">
      <alignment horizontal="center" vertical="center"/>
    </xf>
    <xf numFmtId="0" fontId="56" fillId="0" borderId="0" xfId="42" applyFont="1" applyAlignment="1">
      <alignment horizontal="left" vertical="center" wrapText="1"/>
    </xf>
    <xf numFmtId="0" fontId="56" fillId="0" borderId="8" xfId="42" applyFont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8" fillId="0" borderId="2" xfId="5" applyFont="1" applyBorder="1" applyAlignment="1">
      <alignment horizontal="right" vertical="center"/>
    </xf>
    <xf numFmtId="0" fontId="58" fillId="8" borderId="0" xfId="5" applyFont="1" applyFill="1" applyAlignment="1">
      <alignment vertical="center" wrapText="1"/>
    </xf>
    <xf numFmtId="0" fontId="72" fillId="0" borderId="0" xfId="2" applyFont="1" applyAlignment="1">
      <alignment vertical="center"/>
    </xf>
    <xf numFmtId="0" fontId="54" fillId="0" borderId="0" xfId="7" applyFont="1" applyAlignment="1">
      <alignment vertical="center"/>
    </xf>
    <xf numFmtId="0" fontId="52" fillId="0" borderId="0" xfId="7" applyFont="1" applyAlignment="1">
      <alignment vertical="center"/>
    </xf>
    <xf numFmtId="0" fontId="90" fillId="0" borderId="0" xfId="42" applyFont="1" applyAlignment="1">
      <alignment vertical="center"/>
    </xf>
    <xf numFmtId="0" fontId="56" fillId="0" borderId="10" xfId="42" applyFont="1" applyBorder="1" applyAlignment="1">
      <alignment horizontal="left" vertical="center"/>
    </xf>
    <xf numFmtId="0" fontId="59" fillId="9" borderId="2" xfId="0" applyFont="1" applyFill="1" applyBorder="1" applyAlignment="1">
      <alignment horizontal="center" vertical="center" textRotation="90" wrapText="1"/>
    </xf>
    <xf numFmtId="0" fontId="59" fillId="9" borderId="2" xfId="0" applyFont="1" applyFill="1" applyBorder="1" applyAlignment="1">
      <alignment vertical="center" textRotation="90" wrapText="1"/>
    </xf>
    <xf numFmtId="0" fontId="58" fillId="8" borderId="2" xfId="1" applyFont="1" applyFill="1" applyBorder="1" applyAlignment="1">
      <alignment horizontal="center" vertical="center" textRotation="90" wrapText="1"/>
    </xf>
    <xf numFmtId="0" fontId="38" fillId="8" borderId="2" xfId="0" applyFont="1" applyFill="1" applyBorder="1" applyAlignment="1">
      <alignment horizontal="center" vertical="center" wrapText="1"/>
    </xf>
    <xf numFmtId="169" fontId="58" fillId="8" borderId="2" xfId="5" applyNumberFormat="1" applyFont="1" applyFill="1" applyBorder="1" applyAlignment="1">
      <alignment horizontal="center" vertical="center" wrapText="1"/>
    </xf>
    <xf numFmtId="0" fontId="59" fillId="8" borderId="2" xfId="51" applyFont="1" applyFill="1" applyBorder="1" applyAlignment="1">
      <alignment horizontal="center" vertical="center" wrapText="1"/>
    </xf>
    <xf numFmtId="0" fontId="68" fillId="9" borderId="11" xfId="1" applyFont="1" applyFill="1" applyBorder="1" applyAlignment="1">
      <alignment horizontal="center" vertical="center" wrapText="1"/>
    </xf>
    <xf numFmtId="0" fontId="52" fillId="8" borderId="2" xfId="1" applyFont="1" applyFill="1" applyBorder="1" applyAlignment="1">
      <alignment horizontal="center" vertical="center"/>
    </xf>
    <xf numFmtId="0" fontId="58" fillId="8" borderId="2" xfId="1" applyFont="1" applyFill="1" applyBorder="1" applyAlignment="1">
      <alignment horizontal="center" vertical="center"/>
    </xf>
    <xf numFmtId="0" fontId="58" fillId="8" borderId="2" xfId="2" applyFont="1" applyFill="1" applyBorder="1" applyAlignment="1">
      <alignment horizontal="center" vertical="center" wrapText="1"/>
    </xf>
    <xf numFmtId="0" fontId="73" fillId="8" borderId="2" xfId="2" applyFont="1" applyFill="1" applyBorder="1" applyAlignment="1">
      <alignment horizontal="center" vertical="center" wrapText="1"/>
    </xf>
    <xf numFmtId="0" fontId="58" fillId="8" borderId="2" xfId="2" applyFont="1" applyFill="1" applyBorder="1" applyAlignment="1">
      <alignment horizontal="center" vertical="center"/>
    </xf>
    <xf numFmtId="0" fontId="58" fillId="8" borderId="2" xfId="0" applyFont="1" applyFill="1" applyBorder="1" applyAlignment="1">
      <alignment horizontal="center" vertical="center" wrapText="1"/>
    </xf>
    <xf numFmtId="0" fontId="58" fillId="8" borderId="2" xfId="0" applyFont="1" applyFill="1" applyBorder="1" applyAlignment="1">
      <alignment horizontal="center" vertical="center"/>
    </xf>
    <xf numFmtId="0" fontId="38" fillId="8" borderId="2" xfId="5" applyFont="1" applyFill="1" applyBorder="1" applyAlignment="1">
      <alignment horizontal="center" vertical="center" wrapText="1"/>
    </xf>
    <xf numFmtId="0" fontId="38" fillId="8" borderId="2" xfId="5" applyFont="1" applyFill="1" applyBorder="1" applyAlignment="1">
      <alignment horizontal="center" vertical="center"/>
    </xf>
    <xf numFmtId="0" fontId="69" fillId="8" borderId="2" xfId="1" applyFont="1" applyFill="1" applyBorder="1" applyAlignment="1">
      <alignment horizontal="center" vertical="center"/>
    </xf>
    <xf numFmtId="0" fontId="58" fillId="8" borderId="2" xfId="38" applyFont="1" applyFill="1" applyBorder="1" applyAlignment="1">
      <alignment horizontal="center" vertical="center"/>
    </xf>
    <xf numFmtId="0" fontId="58" fillId="8" borderId="2" xfId="42" applyFont="1" applyFill="1" applyBorder="1" applyAlignment="1">
      <alignment horizontal="center" vertical="center"/>
    </xf>
    <xf numFmtId="0" fontId="56" fillId="0" borderId="0" xfId="42" applyFont="1" applyAlignment="1">
      <alignment horizontal="left" vertical="center"/>
    </xf>
    <xf numFmtId="0" fontId="69" fillId="8" borderId="2" xfId="9" applyFont="1" applyFill="1" applyBorder="1" applyAlignment="1">
      <alignment horizontal="center" vertical="center" wrapText="1"/>
    </xf>
    <xf numFmtId="0" fontId="69" fillId="8" borderId="2" xfId="9" applyFont="1" applyFill="1" applyBorder="1" applyAlignment="1">
      <alignment horizontal="center" vertical="center" wrapText="1" shrinkToFit="1"/>
    </xf>
    <xf numFmtId="0" fontId="69" fillId="8" borderId="2" xfId="9" applyFont="1" applyFill="1" applyBorder="1" applyAlignment="1">
      <alignment horizontal="center" vertical="center"/>
    </xf>
    <xf numFmtId="2" fontId="52" fillId="0" borderId="2" xfId="9" applyNumberFormat="1" applyFont="1" applyBorder="1" applyAlignment="1">
      <alignment horizontal="center" vertical="center"/>
    </xf>
    <xf numFmtId="0" fontId="82" fillId="8" borderId="2" xfId="1" applyFont="1" applyFill="1" applyBorder="1" applyAlignment="1">
      <alignment horizontal="center" vertical="center" wrapText="1"/>
    </xf>
    <xf numFmtId="0" fontId="82" fillId="8" borderId="2" xfId="4" applyFont="1" applyFill="1" applyBorder="1" applyAlignment="1">
      <alignment horizontal="center" vertical="center" wrapText="1"/>
    </xf>
    <xf numFmtId="0" fontId="58" fillId="0" borderId="2" xfId="17" applyFont="1" applyBorder="1" applyAlignment="1">
      <alignment vertical="center"/>
    </xf>
    <xf numFmtId="1" fontId="58" fillId="0" borderId="2" xfId="17" applyNumberFormat="1" applyFont="1" applyBorder="1" applyAlignment="1">
      <alignment vertical="center"/>
    </xf>
    <xf numFmtId="0" fontId="58" fillId="8" borderId="2" xfId="28" applyFont="1" applyFill="1" applyBorder="1" applyAlignment="1">
      <alignment horizontal="center" vertical="center" wrapText="1"/>
    </xf>
    <xf numFmtId="0" fontId="64" fillId="0" borderId="2" xfId="4" applyFont="1" applyBorder="1" applyAlignment="1">
      <alignment horizontal="center" vertical="center" wrapText="1"/>
    </xf>
    <xf numFmtId="0" fontId="64" fillId="8" borderId="0" xfId="4" applyFont="1" applyFill="1" applyAlignment="1">
      <alignment vertical="center"/>
    </xf>
    <xf numFmtId="1" fontId="60" fillId="2" borderId="2" xfId="4" applyNumberFormat="1" applyFont="1" applyFill="1" applyBorder="1" applyAlignment="1">
      <alignment horizontal="right" vertical="center" wrapText="1"/>
    </xf>
    <xf numFmtId="0" fontId="38" fillId="8" borderId="2" xfId="44" applyFont="1" applyFill="1" applyBorder="1" applyAlignment="1">
      <alignment horizontal="center" vertical="center" wrapText="1"/>
    </xf>
    <xf numFmtId="0" fontId="69" fillId="0" borderId="2" xfId="28" applyFont="1" applyBorder="1" applyAlignment="1">
      <alignment horizontal="left" vertical="center" wrapText="1"/>
    </xf>
    <xf numFmtId="0" fontId="58" fillId="0" borderId="0" xfId="1" applyFont="1" applyAlignment="1">
      <alignment horizontal="right" vertical="center"/>
    </xf>
    <xf numFmtId="0" fontId="59" fillId="8" borderId="2" xfId="1" applyFont="1" applyFill="1" applyBorder="1" applyAlignment="1">
      <alignment horizontal="center" vertical="center" wrapText="1"/>
    </xf>
    <xf numFmtId="0" fontId="59" fillId="8" borderId="2" xfId="1" applyFont="1" applyFill="1" applyBorder="1" applyAlignment="1">
      <alignment horizontal="center" vertical="center" textRotation="90" wrapText="1"/>
    </xf>
    <xf numFmtId="12" fontId="59" fillId="8" borderId="11" xfId="1" applyNumberFormat="1" applyFont="1" applyFill="1" applyBorder="1" applyAlignment="1">
      <alignment horizontal="center" vertical="center" textRotation="90" wrapText="1"/>
    </xf>
    <xf numFmtId="0" fontId="80" fillId="0" borderId="0" xfId="17" applyFont="1" applyAlignment="1">
      <alignment vertical="center"/>
    </xf>
    <xf numFmtId="167" fontId="59" fillId="0" borderId="2" xfId="42" applyNumberFormat="1" applyFont="1" applyBorder="1" applyAlignment="1">
      <alignment vertical="center" wrapText="1"/>
    </xf>
    <xf numFmtId="0" fontId="77" fillId="0" borderId="8" xfId="42" applyFont="1" applyBorder="1" applyAlignment="1">
      <alignment horizontal="center" vertical="center"/>
    </xf>
    <xf numFmtId="0" fontId="50" fillId="0" borderId="0" xfId="63" applyFont="1"/>
    <xf numFmtId="0" fontId="52" fillId="8" borderId="2" xfId="63" applyFont="1" applyFill="1" applyBorder="1" applyAlignment="1">
      <alignment horizontal="center" vertical="center" wrapText="1"/>
    </xf>
    <xf numFmtId="0" fontId="50" fillId="0" borderId="0" xfId="63" applyFont="1" applyAlignment="1">
      <alignment wrapText="1"/>
    </xf>
    <xf numFmtId="0" fontId="92" fillId="0" borderId="2" xfId="63" applyFont="1" applyBorder="1" applyAlignment="1">
      <alignment horizontal="center" vertical="center" wrapText="1"/>
    </xf>
    <xf numFmtId="0" fontId="61" fillId="0" borderId="0" xfId="63" applyFont="1" applyAlignment="1">
      <alignment wrapText="1"/>
    </xf>
    <xf numFmtId="0" fontId="56" fillId="0" borderId="2" xfId="63" applyFont="1" applyBorder="1" applyAlignment="1">
      <alignment horizontal="left" vertical="center" wrapText="1"/>
    </xf>
    <xf numFmtId="0" fontId="59" fillId="0" borderId="2" xfId="63" applyFont="1" applyBorder="1" applyAlignment="1">
      <alignment horizontal="center" vertical="center"/>
    </xf>
    <xf numFmtId="0" fontId="50" fillId="0" borderId="0" xfId="63" applyFont="1" applyAlignment="1">
      <alignment vertical="center"/>
    </xf>
    <xf numFmtId="0" fontId="50" fillId="0" borderId="2" xfId="63" applyFont="1" applyBorder="1" applyAlignment="1">
      <alignment horizontal="center" vertical="center"/>
    </xf>
    <xf numFmtId="0" fontId="56" fillId="0" borderId="0" xfId="63" applyFont="1" applyAlignment="1">
      <alignment vertical="center"/>
    </xf>
    <xf numFmtId="0" fontId="73" fillId="8" borderId="2" xfId="63" applyFont="1" applyFill="1" applyBorder="1" applyAlignment="1">
      <alignment horizontal="center" vertical="center" wrapText="1"/>
    </xf>
    <xf numFmtId="0" fontId="73" fillId="8" borderId="2" xfId="63" applyFont="1" applyFill="1" applyBorder="1" applyAlignment="1">
      <alignment horizontal="center" vertical="center" textRotation="90" wrapText="1"/>
    </xf>
    <xf numFmtId="0" fontId="92" fillId="0" borderId="14" xfId="63" applyFont="1" applyBorder="1" applyAlignment="1">
      <alignment horizontal="center" vertical="center" wrapText="1"/>
    </xf>
    <xf numFmtId="0" fontId="61" fillId="0" borderId="0" xfId="63" applyFont="1"/>
    <xf numFmtId="0" fontId="59" fillId="0" borderId="14" xfId="63" applyFont="1" applyBorder="1" applyAlignment="1">
      <alignment horizontal="left"/>
    </xf>
    <xf numFmtId="0" fontId="50" fillId="0" borderId="12" xfId="63" applyFont="1" applyBorder="1"/>
    <xf numFmtId="0" fontId="50" fillId="0" borderId="13" xfId="63" applyFont="1" applyBorder="1"/>
    <xf numFmtId="0" fontId="50" fillId="0" borderId="2" xfId="63" applyFont="1" applyBorder="1" applyAlignment="1">
      <alignment horizontal="left" indent="1"/>
    </xf>
    <xf numFmtId="0" fontId="50" fillId="0" borderId="2" xfId="63" applyFont="1" applyBorder="1"/>
    <xf numFmtId="0" fontId="56" fillId="0" borderId="0" xfId="63" applyFont="1" applyAlignment="1">
      <alignment horizontal="right" vertical="center" wrapText="1"/>
    </xf>
    <xf numFmtId="0" fontId="59" fillId="8" borderId="0" xfId="63" applyFont="1" applyFill="1"/>
    <xf numFmtId="0" fontId="73" fillId="8" borderId="8" xfId="63" applyFont="1" applyFill="1" applyBorder="1" applyAlignment="1">
      <alignment horizontal="center" vertical="center" wrapText="1"/>
    </xf>
    <xf numFmtId="0" fontId="93" fillId="0" borderId="2" xfId="63" applyFont="1" applyBorder="1" applyAlignment="1">
      <alignment horizontal="center" vertical="center" wrapText="1"/>
    </xf>
    <xf numFmtId="0" fontId="93" fillId="0" borderId="0" xfId="63" applyFont="1"/>
    <xf numFmtId="0" fontId="59" fillId="0" borderId="2" xfId="63" applyFont="1" applyBorder="1" applyAlignment="1">
      <alignment horizontal="left" vertical="center" wrapText="1"/>
    </xf>
    <xf numFmtId="1" fontId="59" fillId="0" borderId="2" xfId="63" applyNumberFormat="1" applyFont="1" applyBorder="1" applyAlignment="1">
      <alignment vertical="center"/>
    </xf>
    <xf numFmtId="0" fontId="59" fillId="0" borderId="2" xfId="63" applyFont="1" applyBorder="1" applyAlignment="1">
      <alignment vertical="center"/>
    </xf>
    <xf numFmtId="0" fontId="59" fillId="0" borderId="0" xfId="63" applyFont="1" applyAlignment="1">
      <alignment vertical="center"/>
    </xf>
    <xf numFmtId="1" fontId="50" fillId="0" borderId="2" xfId="63" applyNumberFormat="1" applyFont="1" applyBorder="1" applyAlignment="1">
      <alignment vertical="center"/>
    </xf>
    <xf numFmtId="1" fontId="53" fillId="0" borderId="2" xfId="4" applyNumberFormat="1" applyFont="1" applyBorder="1" applyAlignment="1">
      <alignment vertical="center"/>
    </xf>
    <xf numFmtId="0" fontId="50" fillId="0" borderId="2" xfId="63" applyFont="1" applyBorder="1" applyAlignment="1">
      <alignment vertical="center"/>
    </xf>
    <xf numFmtId="0" fontId="56" fillId="0" borderId="0" xfId="63" applyFont="1" applyAlignment="1">
      <alignment horizontal="right" vertical="center"/>
    </xf>
    <xf numFmtId="0" fontId="76" fillId="0" borderId="0" xfId="63" applyFont="1" applyAlignment="1">
      <alignment horizontal="center"/>
    </xf>
    <xf numFmtId="0" fontId="76" fillId="0" borderId="0" xfId="63" applyFont="1" applyAlignment="1">
      <alignment horizontal="center" vertical="center"/>
    </xf>
    <xf numFmtId="0" fontId="58" fillId="8" borderId="2" xfId="63" applyFont="1" applyFill="1" applyBorder="1" applyAlignment="1">
      <alignment horizontal="center" vertical="center"/>
    </xf>
    <xf numFmtId="0" fontId="59" fillId="0" borderId="0" xfId="63" applyFont="1"/>
    <xf numFmtId="0" fontId="58" fillId="8" borderId="2" xfId="63" applyFont="1" applyFill="1" applyBorder="1" applyAlignment="1">
      <alignment horizontal="center" vertical="center" wrapText="1"/>
    </xf>
    <xf numFmtId="0" fontId="58" fillId="8" borderId="8" xfId="63" applyFont="1" applyFill="1" applyBorder="1" applyAlignment="1">
      <alignment horizontal="center" vertical="center" wrapText="1"/>
    </xf>
    <xf numFmtId="0" fontId="61" fillId="0" borderId="12" xfId="63" applyFont="1" applyBorder="1" applyAlignment="1">
      <alignment horizontal="center" vertical="center" wrapText="1"/>
    </xf>
    <xf numFmtId="0" fontId="79" fillId="0" borderId="0" xfId="63" applyFont="1"/>
    <xf numFmtId="0" fontId="59" fillId="0" borderId="18" xfId="63" applyFont="1" applyBorder="1" applyAlignment="1">
      <alignment horizontal="left"/>
    </xf>
    <xf numFmtId="0" fontId="59" fillId="0" borderId="14" xfId="63" applyFont="1" applyBorder="1"/>
    <xf numFmtId="0" fontId="59" fillId="0" borderId="12" xfId="63" applyFont="1" applyBorder="1"/>
    <xf numFmtId="0" fontId="59" fillId="0" borderId="13" xfId="63" applyFont="1" applyBorder="1"/>
    <xf numFmtId="0" fontId="50" fillId="0" borderId="2" xfId="63" applyFont="1" applyBorder="1" applyAlignment="1">
      <alignment horizontal="left" vertical="center" indent="1"/>
    </xf>
    <xf numFmtId="1" fontId="50" fillId="0" borderId="2" xfId="63" applyNumberFormat="1" applyFont="1" applyBorder="1"/>
    <xf numFmtId="1" fontId="53" fillId="0" borderId="2" xfId="5" applyNumberFormat="1" applyFont="1" applyBorder="1" applyAlignment="1">
      <alignment horizontal="right" vertical="center"/>
    </xf>
    <xf numFmtId="0" fontId="53" fillId="0" borderId="2" xfId="41" applyFont="1" applyBorder="1" applyAlignment="1">
      <alignment horizontal="right" vertical="center"/>
    </xf>
    <xf numFmtId="0" fontId="53" fillId="0" borderId="2" xfId="5" applyFont="1" applyBorder="1" applyAlignment="1">
      <alignment horizontal="right" vertical="center"/>
    </xf>
    <xf numFmtId="0" fontId="59" fillId="0" borderId="2" xfId="63" applyFont="1" applyBorder="1"/>
    <xf numFmtId="0" fontId="59" fillId="0" borderId="16" xfId="63" applyFont="1" applyBorder="1" applyAlignment="1">
      <alignment horizontal="left"/>
    </xf>
    <xf numFmtId="0" fontId="50" fillId="0" borderId="9" xfId="63" applyFont="1" applyBorder="1"/>
    <xf numFmtId="0" fontId="50" fillId="0" borderId="10" xfId="63" applyFont="1" applyBorder="1"/>
    <xf numFmtId="0" fontId="59" fillId="0" borderId="8" xfId="63" applyFont="1" applyBorder="1"/>
    <xf numFmtId="0" fontId="59" fillId="0" borderId="9" xfId="63" applyFont="1" applyBorder="1"/>
    <xf numFmtId="0" fontId="59" fillId="0" borderId="10" xfId="63" applyFont="1" applyBorder="1"/>
    <xf numFmtId="0" fontId="59" fillId="0" borderId="0" xfId="63" applyFont="1" applyAlignment="1">
      <alignment horizontal="right" vertical="center"/>
    </xf>
    <xf numFmtId="0" fontId="59" fillId="0" borderId="0" xfId="63" applyFont="1" applyAlignment="1">
      <alignment horizontal="left" vertical="center"/>
    </xf>
    <xf numFmtId="0" fontId="50" fillId="0" borderId="0" xfId="63" applyFont="1" applyAlignment="1">
      <alignment horizontal="left" vertical="center"/>
    </xf>
    <xf numFmtId="0" fontId="50" fillId="0" borderId="0" xfId="63" applyFont="1" applyAlignment="1">
      <alignment horizontal="center" vertical="center"/>
    </xf>
    <xf numFmtId="0" fontId="50" fillId="8" borderId="0" xfId="63" applyFont="1" applyFill="1"/>
    <xf numFmtId="0" fontId="92" fillId="0" borderId="2" xfId="63" applyFont="1" applyBorder="1" applyAlignment="1">
      <alignment horizontal="center" vertical="center"/>
    </xf>
    <xf numFmtId="0" fontId="70" fillId="2" borderId="2" xfId="5" applyFont="1" applyFill="1" applyBorder="1" applyAlignment="1">
      <alignment horizontal="right" vertical="center" wrapText="1"/>
    </xf>
    <xf numFmtId="167" fontId="53" fillId="0" borderId="2" xfId="41" applyNumberFormat="1" applyFont="1" applyBorder="1" applyAlignment="1">
      <alignment horizontal="right" vertical="center"/>
    </xf>
    <xf numFmtId="167" fontId="70" fillId="2" borderId="2" xfId="41" applyNumberFormat="1" applyFont="1" applyFill="1" applyBorder="1" applyAlignment="1">
      <alignment horizontal="right" vertical="center" wrapText="1"/>
    </xf>
    <xf numFmtId="167" fontId="53" fillId="0" borderId="2" xfId="41" applyNumberFormat="1" applyFont="1" applyBorder="1" applyAlignment="1">
      <alignment vertical="center"/>
    </xf>
    <xf numFmtId="1" fontId="70" fillId="2" borderId="2" xfId="5" applyNumberFormat="1" applyFont="1" applyFill="1" applyBorder="1" applyAlignment="1">
      <alignment horizontal="right" vertical="center" wrapText="1"/>
    </xf>
    <xf numFmtId="0" fontId="50" fillId="0" borderId="14" xfId="63" applyFont="1" applyBorder="1"/>
    <xf numFmtId="0" fontId="56" fillId="0" borderId="0" xfId="63" applyFont="1" applyAlignment="1">
      <alignment horizontal="left" vertical="center"/>
    </xf>
    <xf numFmtId="0" fontId="50" fillId="0" borderId="18" xfId="63" applyFont="1" applyBorder="1"/>
    <xf numFmtId="0" fontId="50" fillId="0" borderId="19" xfId="63" applyFont="1" applyBorder="1"/>
    <xf numFmtId="1" fontId="53" fillId="0" borderId="2" xfId="53" applyNumberFormat="1" applyFont="1" applyBorder="1" applyAlignment="1">
      <alignment vertical="center"/>
    </xf>
    <xf numFmtId="0" fontId="53" fillId="0" borderId="2" xfId="53" applyFont="1" applyBorder="1" applyAlignment="1">
      <alignment vertical="center"/>
    </xf>
    <xf numFmtId="0" fontId="50" fillId="0" borderId="11" xfId="63" applyFont="1" applyBorder="1" applyAlignment="1">
      <alignment horizontal="left" vertical="center" indent="1"/>
    </xf>
    <xf numFmtId="167" fontId="53" fillId="0" borderId="2" xfId="53" applyNumberFormat="1" applyFont="1" applyBorder="1" applyAlignment="1">
      <alignment horizontal="right" vertical="center"/>
    </xf>
    <xf numFmtId="0" fontId="53" fillId="0" borderId="2" xfId="53" applyFont="1" applyBorder="1" applyAlignment="1">
      <alignment horizontal="right" vertical="center"/>
    </xf>
    <xf numFmtId="1" fontId="53" fillId="0" borderId="2" xfId="53" applyNumberFormat="1" applyFont="1" applyBorder="1" applyAlignment="1">
      <alignment horizontal="right" vertical="center"/>
    </xf>
    <xf numFmtId="167" fontId="53" fillId="0" borderId="11" xfId="53" applyNumberFormat="1" applyFont="1" applyBorder="1" applyAlignment="1">
      <alignment horizontal="right" vertical="center"/>
    </xf>
    <xf numFmtId="0" fontId="56" fillId="0" borderId="0" xfId="63" applyFont="1" applyAlignment="1">
      <alignment horizontal="center" vertical="center"/>
    </xf>
    <xf numFmtId="0" fontId="56" fillId="0" borderId="0" xfId="63" applyFont="1" applyAlignment="1">
      <alignment horizontal="center"/>
    </xf>
    <xf numFmtId="0" fontId="92" fillId="0" borderId="14" xfId="63" applyFont="1" applyBorder="1" applyAlignment="1">
      <alignment horizontal="center" vertical="center"/>
    </xf>
    <xf numFmtId="0" fontId="92" fillId="0" borderId="9" xfId="63" applyFont="1" applyBorder="1" applyAlignment="1">
      <alignment horizontal="center" vertical="center" wrapText="1"/>
    </xf>
    <xf numFmtId="0" fontId="59" fillId="0" borderId="8" xfId="63" applyFont="1" applyBorder="1" applyAlignment="1">
      <alignment horizontal="left"/>
    </xf>
    <xf numFmtId="0" fontId="50" fillId="0" borderId="16" xfId="63" applyFont="1" applyBorder="1" applyAlignment="1">
      <alignment horizontal="left" vertical="center" indent="1"/>
    </xf>
    <xf numFmtId="0" fontId="50" fillId="0" borderId="18" xfId="63" applyFont="1" applyBorder="1" applyAlignment="1">
      <alignment horizontal="left" indent="1"/>
    </xf>
    <xf numFmtId="165" fontId="50" fillId="0" borderId="0" xfId="63" applyNumberFormat="1" applyFont="1" applyAlignment="1">
      <alignment horizontal="right"/>
    </xf>
    <xf numFmtId="165" fontId="50" fillId="0" borderId="19" xfId="63" applyNumberFormat="1" applyFont="1" applyBorder="1" applyAlignment="1">
      <alignment horizontal="right"/>
    </xf>
    <xf numFmtId="165" fontId="59" fillId="0" borderId="12" xfId="63" applyNumberFormat="1" applyFont="1" applyBorder="1" applyAlignment="1">
      <alignment horizontal="right"/>
    </xf>
    <xf numFmtId="165" fontId="59" fillId="0" borderId="13" xfId="63" applyNumberFormat="1" applyFont="1" applyBorder="1" applyAlignment="1">
      <alignment horizontal="right"/>
    </xf>
    <xf numFmtId="0" fontId="31" fillId="0" borderId="0" xfId="41"/>
    <xf numFmtId="0" fontId="56" fillId="0" borderId="3" xfId="63" applyFont="1" applyBorder="1" applyAlignment="1">
      <alignment vertical="center"/>
    </xf>
    <xf numFmtId="0" fontId="31" fillId="0" borderId="0" xfId="41" applyAlignment="1">
      <alignment vertical="center"/>
    </xf>
    <xf numFmtId="2" fontId="56" fillId="0" borderId="2" xfId="63" applyNumberFormat="1" applyFont="1" applyBorder="1" applyAlignment="1">
      <alignment horizontal="center" vertical="center"/>
    </xf>
    <xf numFmtId="0" fontId="38" fillId="0" borderId="0" xfId="41" applyFont="1"/>
    <xf numFmtId="2" fontId="76" fillId="0" borderId="2" xfId="63" applyNumberFormat="1" applyFont="1" applyBorder="1" applyAlignment="1">
      <alignment horizontal="center" vertical="center"/>
    </xf>
    <xf numFmtId="2" fontId="53" fillId="0" borderId="2" xfId="48" applyNumberFormat="1" applyFont="1" applyBorder="1" applyAlignment="1">
      <alignment horizontal="center" vertical="center"/>
    </xf>
    <xf numFmtId="0" fontId="56" fillId="0" borderId="0" xfId="64" applyFont="1" applyAlignment="1">
      <alignment horizontal="right" vertical="center"/>
    </xf>
    <xf numFmtId="0" fontId="56" fillId="0" borderId="0" xfId="64" applyFont="1" applyAlignment="1">
      <alignment vertical="center"/>
    </xf>
    <xf numFmtId="0" fontId="94" fillId="0" borderId="0" xfId="64" applyFont="1" applyAlignment="1">
      <alignment horizontal="center" vertical="center"/>
    </xf>
    <xf numFmtId="0" fontId="95" fillId="0" borderId="0" xfId="64" applyFont="1" applyAlignment="1">
      <alignment horizontal="center" vertical="center"/>
    </xf>
    <xf numFmtId="0" fontId="76" fillId="0" borderId="0" xfId="64" applyFont="1" applyAlignment="1">
      <alignment vertical="center"/>
    </xf>
    <xf numFmtId="0" fontId="74" fillId="0" borderId="0" xfId="64" applyFont="1"/>
    <xf numFmtId="0" fontId="38" fillId="8" borderId="2" xfId="64" applyFont="1" applyFill="1" applyBorder="1" applyAlignment="1">
      <alignment horizontal="center" vertical="center" wrapText="1"/>
    </xf>
    <xf numFmtId="0" fontId="74" fillId="0" borderId="0" xfId="64" applyFont="1" applyAlignment="1">
      <alignment wrapText="1"/>
    </xf>
    <xf numFmtId="0" fontId="68" fillId="0" borderId="8" xfId="64" applyFont="1" applyBorder="1" applyAlignment="1">
      <alignment horizontal="left"/>
    </xf>
    <xf numFmtId="0" fontId="74" fillId="0" borderId="9" xfId="64" applyFont="1" applyBorder="1"/>
    <xf numFmtId="0" fontId="74" fillId="0" borderId="10" xfId="64" applyFont="1" applyBorder="1"/>
    <xf numFmtId="0" fontId="74" fillId="0" borderId="11" xfId="64" applyFont="1" applyBorder="1" applyAlignment="1">
      <alignment horizontal="left" vertical="center" indent="1"/>
    </xf>
    <xf numFmtId="1" fontId="31" fillId="0" borderId="2" xfId="48" applyNumberFormat="1" applyBorder="1" applyAlignment="1">
      <alignment horizontal="center" vertical="center"/>
    </xf>
    <xf numFmtId="0" fontId="74" fillId="0" borderId="2" xfId="64" applyFont="1" applyBorder="1" applyAlignment="1">
      <alignment horizontal="center"/>
    </xf>
    <xf numFmtId="0" fontId="74" fillId="0" borderId="2" xfId="64" applyFont="1" applyBorder="1" applyAlignment="1">
      <alignment horizontal="left" vertical="center" indent="1"/>
    </xf>
    <xf numFmtId="1" fontId="74" fillId="0" borderId="2" xfId="64" applyNumberFormat="1" applyFont="1" applyBorder="1" applyAlignment="1">
      <alignment horizontal="center"/>
    </xf>
    <xf numFmtId="0" fontId="74" fillId="0" borderId="9" xfId="64" applyFont="1" applyBorder="1" applyAlignment="1">
      <alignment horizontal="center"/>
    </xf>
    <xf numFmtId="0" fontId="74" fillId="0" borderId="10" xfId="64" applyFont="1" applyBorder="1" applyAlignment="1">
      <alignment horizontal="center"/>
    </xf>
    <xf numFmtId="0" fontId="50" fillId="0" borderId="0" xfId="64" applyFont="1"/>
    <xf numFmtId="0" fontId="50" fillId="0" borderId="2" xfId="64" applyFont="1" applyBorder="1" applyAlignment="1">
      <alignment horizontal="left" vertical="center" indent="1"/>
    </xf>
    <xf numFmtId="0" fontId="50" fillId="0" borderId="2" xfId="64" applyFont="1" applyBorder="1"/>
    <xf numFmtId="0" fontId="50" fillId="0" borderId="8" xfId="64" applyFont="1" applyBorder="1"/>
    <xf numFmtId="0" fontId="50" fillId="0" borderId="11" xfId="64" applyFont="1" applyBorder="1" applyAlignment="1">
      <alignment horizontal="left" vertical="center" indent="1"/>
    </xf>
    <xf numFmtId="0" fontId="53" fillId="0" borderId="11" xfId="17" applyFont="1" applyBorder="1" applyAlignment="1">
      <alignment vertical="center"/>
    </xf>
    <xf numFmtId="0" fontId="53" fillId="0" borderId="11" xfId="5" applyFont="1" applyBorder="1" applyAlignment="1">
      <alignment vertical="center"/>
    </xf>
    <xf numFmtId="0" fontId="50" fillId="0" borderId="2" xfId="64" applyFont="1" applyBorder="1" applyAlignment="1">
      <alignment vertical="center"/>
    </xf>
    <xf numFmtId="0" fontId="53" fillId="0" borderId="0" xfId="64" applyFont="1"/>
    <xf numFmtId="0" fontId="59" fillId="0" borderId="2" xfId="64" applyFont="1" applyBorder="1"/>
    <xf numFmtId="0" fontId="50" fillId="0" borderId="0" xfId="64" applyFont="1" applyAlignment="1">
      <alignment vertical="center"/>
    </xf>
    <xf numFmtId="0" fontId="74" fillId="0" borderId="0" xfId="64" applyFont="1" applyAlignment="1">
      <alignment vertical="center"/>
    </xf>
    <xf numFmtId="0" fontId="59" fillId="0" borderId="4" xfId="64" applyFont="1" applyBorder="1" applyAlignment="1">
      <alignment horizontal="left"/>
    </xf>
    <xf numFmtId="0" fontId="50" fillId="0" borderId="14" xfId="64" applyFont="1" applyBorder="1"/>
    <xf numFmtId="0" fontId="50" fillId="0" borderId="12" xfId="64" applyFont="1" applyBorder="1"/>
    <xf numFmtId="0" fontId="50" fillId="0" borderId="13" xfId="64" applyFont="1" applyBorder="1"/>
    <xf numFmtId="0" fontId="50" fillId="0" borderId="0" xfId="64" applyFont="1" applyAlignment="1">
      <alignment horizontal="left" vertical="center" indent="1"/>
    </xf>
    <xf numFmtId="0" fontId="50" fillId="0" borderId="2" xfId="64" applyFont="1" applyBorder="1" applyAlignment="1">
      <alignment horizontal="left" indent="1"/>
    </xf>
    <xf numFmtId="0" fontId="50" fillId="0" borderId="11" xfId="64" applyFont="1" applyBorder="1" applyAlignment="1">
      <alignment horizontal="left" indent="1"/>
    </xf>
    <xf numFmtId="0" fontId="50" fillId="0" borderId="11" xfId="64" applyFont="1" applyBorder="1"/>
    <xf numFmtId="0" fontId="70" fillId="2" borderId="11" xfId="5" applyFont="1" applyFill="1" applyBorder="1" applyAlignment="1">
      <alignment horizontal="right" vertical="center" wrapText="1"/>
    </xf>
    <xf numFmtId="0" fontId="59" fillId="0" borderId="2" xfId="64" applyFont="1" applyBorder="1" applyAlignment="1">
      <alignment horizontal="left"/>
    </xf>
    <xf numFmtId="0" fontId="50" fillId="0" borderId="9" xfId="64" applyFont="1" applyBorder="1"/>
    <xf numFmtId="0" fontId="50" fillId="0" borderId="10" xfId="64" applyFont="1" applyBorder="1"/>
    <xf numFmtId="0" fontId="58" fillId="8" borderId="2" xfId="64" applyFont="1" applyFill="1" applyBorder="1" applyAlignment="1">
      <alignment horizontal="center" vertical="center"/>
    </xf>
    <xf numFmtId="0" fontId="58" fillId="8" borderId="8" xfId="64" applyFont="1" applyFill="1" applyBorder="1" applyAlignment="1">
      <alignment horizontal="center" vertical="center"/>
    </xf>
    <xf numFmtId="0" fontId="77" fillId="0" borderId="0" xfId="64" applyFont="1" applyAlignment="1">
      <alignment horizontal="center" vertical="center"/>
    </xf>
    <xf numFmtId="167" fontId="53" fillId="0" borderId="2" xfId="65" applyNumberFormat="1" applyFont="1" applyBorder="1" applyAlignment="1">
      <alignment vertical="center"/>
    </xf>
    <xf numFmtId="167" fontId="53" fillId="0" borderId="2" xfId="66" applyNumberFormat="1" applyFont="1" applyBorder="1" applyAlignment="1">
      <alignment vertical="center"/>
    </xf>
    <xf numFmtId="1" fontId="53" fillId="0" borderId="2" xfId="66" applyNumberFormat="1" applyFont="1" applyBorder="1" applyAlignment="1">
      <alignment vertical="center"/>
    </xf>
    <xf numFmtId="0" fontId="59" fillId="0" borderId="8" xfId="64" applyFont="1" applyBorder="1" applyAlignment="1">
      <alignment horizontal="left"/>
    </xf>
    <xf numFmtId="167" fontId="58" fillId="0" borderId="2" xfId="1" applyNumberFormat="1" applyFont="1" applyBorder="1" applyAlignment="1">
      <alignment horizontal="right" vertical="center"/>
    </xf>
    <xf numFmtId="167" fontId="60" fillId="2" borderId="2" xfId="5" applyNumberFormat="1" applyFont="1" applyFill="1" applyBorder="1" applyAlignment="1">
      <alignment horizontal="right" vertical="center" wrapText="1"/>
    </xf>
    <xf numFmtId="167" fontId="58" fillId="0" borderId="2" xfId="1" applyNumberFormat="1" applyFont="1" applyBorder="1" applyAlignment="1">
      <alignment vertical="center"/>
    </xf>
    <xf numFmtId="167" fontId="58" fillId="0" borderId="2" xfId="2" applyNumberFormat="1" applyFont="1" applyBorder="1" applyAlignment="1">
      <alignment horizontal="right" vertical="center"/>
    </xf>
    <xf numFmtId="168" fontId="58" fillId="0" borderId="2" xfId="42" applyNumberFormat="1" applyFont="1" applyBorder="1" applyAlignment="1">
      <alignment horizontal="right" vertical="center"/>
    </xf>
    <xf numFmtId="3" fontId="53" fillId="0" borderId="2" xfId="42" applyNumberFormat="1" applyFont="1" applyBorder="1" applyAlignment="1">
      <alignment horizontal="right" vertical="center"/>
    </xf>
    <xf numFmtId="167" fontId="60" fillId="2" borderId="2" xfId="49" applyNumberFormat="1" applyFont="1" applyFill="1" applyBorder="1" applyAlignment="1">
      <alignment horizontal="right" vertical="center" wrapText="1"/>
    </xf>
    <xf numFmtId="0" fontId="69" fillId="0" borderId="0" xfId="5" applyFont="1" applyAlignment="1">
      <alignment horizontal="right" vertical="top"/>
    </xf>
    <xf numFmtId="1" fontId="75" fillId="0" borderId="0" xfId="17" applyNumberFormat="1" applyFont="1"/>
    <xf numFmtId="0" fontId="69" fillId="0" borderId="0" xfId="17" applyFont="1"/>
    <xf numFmtId="0" fontId="60" fillId="2" borderId="2" xfId="28" applyFont="1" applyFill="1" applyBorder="1" applyAlignment="1">
      <alignment horizontal="center" vertical="center" wrapText="1"/>
    </xf>
    <xf numFmtId="0" fontId="54" fillId="0" borderId="0" xfId="17" applyFont="1"/>
    <xf numFmtId="0" fontId="69" fillId="0" borderId="2" xfId="5" applyFont="1" applyBorder="1" applyAlignment="1">
      <alignment vertical="center" wrapText="1"/>
    </xf>
    <xf numFmtId="0" fontId="69" fillId="0" borderId="2" xfId="5" applyFont="1" applyBorder="1" applyAlignment="1">
      <alignment horizontal="left" vertical="center" wrapText="1"/>
    </xf>
    <xf numFmtId="0" fontId="69" fillId="0" borderId="2" xfId="4" applyFont="1" applyBorder="1" applyAlignment="1">
      <alignment horizontal="left" vertical="center" wrapText="1"/>
    </xf>
    <xf numFmtId="0" fontId="86" fillId="2" borderId="2" xfId="4" applyFont="1" applyFill="1" applyBorder="1" applyAlignment="1">
      <alignment horizontal="left" vertical="center" wrapText="1"/>
    </xf>
    <xf numFmtId="167" fontId="52" fillId="0" borderId="2" xfId="5" applyNumberFormat="1" applyFont="1" applyBorder="1" applyAlignment="1">
      <alignment horizontal="right" vertical="center"/>
    </xf>
    <xf numFmtId="0" fontId="76" fillId="0" borderId="0" xfId="63" applyFont="1" applyAlignment="1">
      <alignment vertical="center"/>
    </xf>
    <xf numFmtId="0" fontId="56" fillId="0" borderId="3" xfId="63" applyFont="1" applyBorder="1" applyAlignment="1">
      <alignment horizontal="right" vertical="center"/>
    </xf>
    <xf numFmtId="0" fontId="92" fillId="0" borderId="2" xfId="64" applyFont="1" applyBorder="1" applyAlignment="1">
      <alignment horizontal="center" vertical="center"/>
    </xf>
    <xf numFmtId="0" fontId="92" fillId="0" borderId="2" xfId="64" applyFont="1" applyBorder="1" applyAlignment="1">
      <alignment horizontal="center" vertical="center" wrapText="1"/>
    </xf>
    <xf numFmtId="0" fontId="73" fillId="8" borderId="2" xfId="64" applyFont="1" applyFill="1" applyBorder="1" applyAlignment="1">
      <alignment horizontal="center" vertical="center"/>
    </xf>
    <xf numFmtId="0" fontId="59" fillId="0" borderId="8" xfId="42" applyFont="1" applyBorder="1" applyAlignment="1">
      <alignment horizontal="left" vertical="center"/>
    </xf>
    <xf numFmtId="0" fontId="59" fillId="0" borderId="10" xfId="42" applyFont="1" applyBorder="1" applyAlignment="1">
      <alignment horizontal="left" vertical="center"/>
    </xf>
    <xf numFmtId="0" fontId="59" fillId="0" borderId="10" xfId="42" applyFont="1" applyBorder="1" applyAlignment="1">
      <alignment horizontal="right" vertical="center"/>
    </xf>
    <xf numFmtId="0" fontId="59" fillId="0" borderId="2" xfId="42" applyFont="1" applyBorder="1" applyAlignment="1">
      <alignment horizontal="right" vertical="center"/>
    </xf>
    <xf numFmtId="165" fontId="53" fillId="0" borderId="2" xfId="4" applyNumberFormat="1" applyFont="1" applyBorder="1" applyAlignment="1">
      <alignment horizontal="right" vertical="center"/>
    </xf>
    <xf numFmtId="165" fontId="50" fillId="0" borderId="2" xfId="63" applyNumberFormat="1" applyFont="1" applyBorder="1"/>
    <xf numFmtId="165" fontId="50" fillId="0" borderId="2" xfId="63" applyNumberFormat="1" applyFont="1" applyBorder="1" applyAlignment="1">
      <alignment horizontal="right"/>
    </xf>
    <xf numFmtId="165" fontId="59" fillId="0" borderId="0" xfId="63" applyNumberFormat="1" applyFont="1" applyAlignment="1">
      <alignment horizontal="right"/>
    </xf>
    <xf numFmtId="165" fontId="59" fillId="0" borderId="19" xfId="63" applyNumberFormat="1" applyFont="1" applyBorder="1" applyAlignment="1">
      <alignment horizontal="right"/>
    </xf>
    <xf numFmtId="0" fontId="56" fillId="0" borderId="14" xfId="63" applyFont="1" applyBorder="1" applyAlignment="1">
      <alignment horizontal="right" vertical="center"/>
    </xf>
    <xf numFmtId="0" fontId="56" fillId="0" borderId="12" xfId="63" applyFont="1" applyBorder="1" applyAlignment="1">
      <alignment vertical="center"/>
    </xf>
    <xf numFmtId="0" fontId="76" fillId="0" borderId="12" xfId="63" applyFont="1" applyBorder="1" applyAlignment="1">
      <alignment vertical="center"/>
    </xf>
    <xf numFmtId="0" fontId="76" fillId="0" borderId="13" xfId="63" applyFont="1" applyBorder="1" applyAlignment="1">
      <alignment vertical="center"/>
    </xf>
    <xf numFmtId="0" fontId="58" fillId="8" borderId="10" xfId="63" applyFont="1" applyFill="1" applyBorder="1" applyAlignment="1">
      <alignment horizontal="center" vertical="center" wrapText="1"/>
    </xf>
    <xf numFmtId="0" fontId="83" fillId="10" borderId="4" xfId="4" applyFont="1" applyFill="1" applyBorder="1" applyAlignment="1">
      <alignment horizontal="center" vertical="center" wrapText="1"/>
    </xf>
    <xf numFmtId="0" fontId="83" fillId="10" borderId="4" xfId="4" applyFont="1" applyFill="1" applyBorder="1" applyAlignment="1">
      <alignment horizontal="right" vertical="center" wrapText="1"/>
    </xf>
    <xf numFmtId="0" fontId="58" fillId="0" borderId="11" xfId="4" applyFont="1" applyBorder="1" applyAlignment="1">
      <alignment horizontal="left" vertical="center" wrapText="1"/>
    </xf>
    <xf numFmtId="0" fontId="84" fillId="0" borderId="11" xfId="4" applyFont="1" applyBorder="1" applyAlignment="1">
      <alignment horizontal="right" vertical="center" wrapText="1"/>
    </xf>
    <xf numFmtId="0" fontId="52" fillId="0" borderId="9" xfId="5" applyFont="1" applyBorder="1" applyAlignment="1">
      <alignment horizontal="right" vertical="top"/>
    </xf>
    <xf numFmtId="0" fontId="86" fillId="2" borderId="4" xfId="4" applyFont="1" applyFill="1" applyBorder="1" applyAlignment="1">
      <alignment horizontal="left" vertical="center" wrapText="1"/>
    </xf>
    <xf numFmtId="167" fontId="60" fillId="2" borderId="4" xfId="4" applyNumberFormat="1" applyFont="1" applyFill="1" applyBorder="1" applyAlignment="1">
      <alignment horizontal="right" vertical="center" wrapText="1"/>
    </xf>
    <xf numFmtId="0" fontId="69" fillId="0" borderId="11" xfId="4" applyFont="1" applyBorder="1" applyAlignment="1">
      <alignment horizontal="left" vertical="center" wrapText="1"/>
    </xf>
    <xf numFmtId="1" fontId="70" fillId="2" borderId="11" xfId="4" applyNumberFormat="1" applyFont="1" applyFill="1" applyBorder="1" applyAlignment="1">
      <alignment horizontal="right" vertical="center" wrapText="1"/>
    </xf>
    <xf numFmtId="0" fontId="59" fillId="0" borderId="9" xfId="64" applyFont="1" applyBorder="1"/>
    <xf numFmtId="0" fontId="58" fillId="8" borderId="4" xfId="64" applyFont="1" applyFill="1" applyBorder="1" applyAlignment="1">
      <alignment horizontal="center" vertical="center" wrapText="1"/>
    </xf>
    <xf numFmtId="0" fontId="58" fillId="8" borderId="14" xfId="64" applyFont="1" applyFill="1" applyBorder="1" applyAlignment="1">
      <alignment horizontal="center" vertical="center" wrapText="1"/>
    </xf>
    <xf numFmtId="0" fontId="50" fillId="0" borderId="17" xfId="64" applyFont="1" applyBorder="1" applyAlignment="1">
      <alignment horizontal="left" vertical="center" indent="1"/>
    </xf>
    <xf numFmtId="0" fontId="50" fillId="0" borderId="17" xfId="64" applyFont="1" applyBorder="1" applyAlignment="1">
      <alignment vertical="center"/>
    </xf>
    <xf numFmtId="167" fontId="53" fillId="0" borderId="11" xfId="17" applyNumberFormat="1" applyFont="1" applyBorder="1" applyAlignment="1">
      <alignment vertical="center"/>
    </xf>
    <xf numFmtId="167" fontId="53" fillId="0" borderId="11" xfId="5" applyNumberFormat="1" applyFont="1" applyBorder="1" applyAlignment="1">
      <alignment vertical="center"/>
    </xf>
    <xf numFmtId="0" fontId="50" fillId="0" borderId="4" xfId="64" applyFont="1" applyBorder="1" applyAlignment="1">
      <alignment vertical="center"/>
    </xf>
    <xf numFmtId="0" fontId="58" fillId="0" borderId="9" xfId="64" applyFont="1" applyBorder="1"/>
    <xf numFmtId="0" fontId="53" fillId="0" borderId="17" xfId="64" applyFont="1" applyBorder="1" applyAlignment="1">
      <alignment horizontal="left" vertical="center" indent="1"/>
    </xf>
    <xf numFmtId="0" fontId="53" fillId="0" borderId="17" xfId="64" applyFont="1" applyBorder="1" applyAlignment="1">
      <alignment vertical="center"/>
    </xf>
    <xf numFmtId="0" fontId="58" fillId="0" borderId="8" xfId="64" applyFont="1" applyBorder="1" applyAlignment="1">
      <alignment horizontal="left"/>
    </xf>
    <xf numFmtId="0" fontId="59" fillId="0" borderId="8" xfId="64" applyFont="1" applyBorder="1" applyAlignment="1">
      <alignment horizontal="left" wrapText="1"/>
    </xf>
    <xf numFmtId="0" fontId="61" fillId="0" borderId="4" xfId="63" applyFont="1" applyBorder="1" applyAlignment="1">
      <alignment horizontal="center" vertical="center"/>
    </xf>
    <xf numFmtId="0" fontId="61" fillId="0" borderId="4" xfId="63" applyFont="1" applyBorder="1" applyAlignment="1">
      <alignment horizontal="center" vertical="center" wrapText="1"/>
    </xf>
    <xf numFmtId="0" fontId="53" fillId="0" borderId="11" xfId="1" applyFont="1" applyBorder="1" applyAlignment="1">
      <alignment vertical="center"/>
    </xf>
    <xf numFmtId="0" fontId="50" fillId="0" borderId="4" xfId="63" applyFont="1" applyBorder="1" applyAlignment="1">
      <alignment horizontal="left" vertical="center" indent="1"/>
    </xf>
    <xf numFmtId="0" fontId="50" fillId="0" borderId="4" xfId="63" applyFont="1" applyBorder="1" applyAlignment="1">
      <alignment vertical="center"/>
    </xf>
    <xf numFmtId="167" fontId="53" fillId="0" borderId="11" xfId="1" applyNumberFormat="1" applyFont="1" applyBorder="1" applyAlignment="1">
      <alignment horizontal="right" vertical="center"/>
    </xf>
    <xf numFmtId="167" fontId="53" fillId="0" borderId="11" xfId="1" applyNumberFormat="1" applyFont="1" applyBorder="1" applyAlignment="1">
      <alignment vertical="center"/>
    </xf>
    <xf numFmtId="0" fontId="50" fillId="0" borderId="4" xfId="63" applyFont="1" applyBorder="1" applyAlignment="1">
      <alignment horizontal="left" indent="1"/>
    </xf>
    <xf numFmtId="0" fontId="50" fillId="0" borderId="4" xfId="63" applyFont="1" applyBorder="1"/>
    <xf numFmtId="0" fontId="61" fillId="0" borderId="13" xfId="63" applyFont="1" applyBorder="1" applyAlignment="1">
      <alignment horizontal="center" vertical="center" wrapText="1"/>
    </xf>
    <xf numFmtId="0" fontId="53" fillId="0" borderId="15" xfId="1" applyFont="1" applyBorder="1" applyAlignment="1">
      <alignment vertical="center"/>
    </xf>
    <xf numFmtId="1" fontId="50" fillId="0" borderId="10" xfId="63" applyNumberFormat="1" applyFont="1" applyBorder="1"/>
    <xf numFmtId="0" fontId="50" fillId="0" borderId="13" xfId="63" applyFont="1" applyBorder="1" applyAlignment="1">
      <alignment vertical="center"/>
    </xf>
    <xf numFmtId="167" fontId="53" fillId="0" borderId="15" xfId="1" applyNumberFormat="1" applyFont="1" applyBorder="1" applyAlignment="1">
      <alignment horizontal="right" vertical="center"/>
    </xf>
    <xf numFmtId="1" fontId="53" fillId="0" borderId="10" xfId="5" applyNumberFormat="1" applyFont="1" applyBorder="1" applyAlignment="1">
      <alignment horizontal="right" vertical="center"/>
    </xf>
    <xf numFmtId="167" fontId="53" fillId="0" borderId="10" xfId="1" applyNumberFormat="1" applyFont="1" applyBorder="1" applyAlignment="1">
      <alignment horizontal="right" vertical="center"/>
    </xf>
    <xf numFmtId="0" fontId="53" fillId="0" borderId="10" xfId="41" applyFont="1" applyBorder="1" applyAlignment="1">
      <alignment horizontal="right" vertical="center"/>
    </xf>
    <xf numFmtId="0" fontId="53" fillId="0" borderId="10" xfId="5" applyFont="1" applyBorder="1" applyAlignment="1">
      <alignment horizontal="right" vertical="center"/>
    </xf>
    <xf numFmtId="0" fontId="61" fillId="0" borderId="13" xfId="63" applyFont="1" applyBorder="1" applyAlignment="1">
      <alignment horizontal="center" vertical="center"/>
    </xf>
    <xf numFmtId="0" fontId="53" fillId="0" borderId="2" xfId="4" applyFont="1" applyBorder="1" applyAlignment="1">
      <alignment vertical="center"/>
    </xf>
    <xf numFmtId="1" fontId="53" fillId="0" borderId="2" xfId="65" applyNumberFormat="1" applyFont="1" applyBorder="1" applyAlignment="1">
      <alignment vertical="center"/>
    </xf>
    <xf numFmtId="0" fontId="96" fillId="0" borderId="4" xfId="64" applyFont="1" applyBorder="1" applyAlignment="1">
      <alignment horizontal="center" vertical="center"/>
    </xf>
    <xf numFmtId="0" fontId="53" fillId="0" borderId="11" xfId="4" applyFont="1" applyBorder="1" applyAlignment="1">
      <alignment vertical="center"/>
    </xf>
    <xf numFmtId="0" fontId="52" fillId="0" borderId="0" xfId="41" applyFont="1" applyAlignment="1">
      <alignment horizontal="right" vertical="top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right" vertical="center"/>
    </xf>
    <xf numFmtId="0" fontId="55" fillId="2" borderId="0" xfId="5" applyFont="1" applyFill="1" applyAlignment="1">
      <alignment vertical="center"/>
    </xf>
    <xf numFmtId="0" fontId="55" fillId="2" borderId="0" xfId="5" applyFont="1" applyFill="1" applyAlignment="1">
      <alignment horizontal="right" vertical="center"/>
    </xf>
    <xf numFmtId="0" fontId="52" fillId="0" borderId="0" xfId="7" applyFont="1" applyAlignment="1">
      <alignment horizontal="right" vertical="center"/>
    </xf>
    <xf numFmtId="0" fontId="52" fillId="0" borderId="3" xfId="41" applyFont="1" applyBorder="1" applyAlignment="1">
      <alignment horizontal="right" vertical="top"/>
    </xf>
    <xf numFmtId="0" fontId="52" fillId="0" borderId="0" xfId="41" applyFont="1" applyAlignment="1">
      <alignment vertical="center" wrapText="1"/>
    </xf>
    <xf numFmtId="0" fontId="52" fillId="0" borderId="0" xfId="41" applyFont="1" applyAlignment="1">
      <alignment horizontal="right" vertical="center" wrapText="1"/>
    </xf>
    <xf numFmtId="0" fontId="58" fillId="8" borderId="14" xfId="64" applyFont="1" applyFill="1" applyBorder="1" applyAlignment="1">
      <alignment horizontal="center" vertical="center"/>
    </xf>
    <xf numFmtId="0" fontId="58" fillId="8" borderId="12" xfId="64" applyFont="1" applyFill="1" applyBorder="1" applyAlignment="1">
      <alignment horizontal="center" vertical="center" wrapText="1"/>
    </xf>
    <xf numFmtId="0" fontId="59" fillId="0" borderId="16" xfId="42" applyFont="1" applyBorder="1" applyAlignment="1">
      <alignment vertical="center"/>
    </xf>
    <xf numFmtId="0" fontId="63" fillId="0" borderId="2" xfId="42" applyFont="1" applyBorder="1" applyAlignment="1">
      <alignment horizontal="center" vertical="center" wrapText="1"/>
    </xf>
    <xf numFmtId="0" fontId="63" fillId="0" borderId="0" xfId="42" applyFont="1" applyAlignment="1">
      <alignment vertical="center"/>
    </xf>
    <xf numFmtId="1" fontId="58" fillId="0" borderId="2" xfId="42" applyNumberFormat="1" applyFont="1" applyBorder="1" applyAlignment="1">
      <alignment horizontal="right" vertical="center"/>
    </xf>
    <xf numFmtId="1" fontId="58" fillId="0" borderId="2" xfId="42" applyNumberFormat="1" applyFont="1" applyBorder="1" applyAlignment="1">
      <alignment vertical="center"/>
    </xf>
    <xf numFmtId="167" fontId="54" fillId="0" borderId="0" xfId="0" applyNumberFormat="1" applyFont="1" applyAlignment="1">
      <alignment vertical="center"/>
    </xf>
    <xf numFmtId="2" fontId="53" fillId="0" borderId="0" xfId="38" applyNumberFormat="1" applyFont="1"/>
    <xf numFmtId="167" fontId="50" fillId="0" borderId="0" xfId="42" applyNumberFormat="1" applyFont="1" applyAlignment="1">
      <alignment vertical="center"/>
    </xf>
    <xf numFmtId="167" fontId="53" fillId="0" borderId="0" xfId="4" applyNumberFormat="1" applyFont="1" applyAlignment="1">
      <alignment vertical="center"/>
    </xf>
    <xf numFmtId="165" fontId="50" fillId="0" borderId="0" xfId="63" applyNumberFormat="1" applyFont="1"/>
    <xf numFmtId="167" fontId="52" fillId="0" borderId="2" xfId="1" applyNumberFormat="1" applyFont="1" applyBorder="1" applyAlignment="1">
      <alignment vertical="center"/>
    </xf>
    <xf numFmtId="167" fontId="58" fillId="0" borderId="2" xfId="38" applyNumberFormat="1" applyFont="1" applyBorder="1" applyAlignment="1">
      <alignment horizontal="right" vertical="center"/>
    </xf>
    <xf numFmtId="0" fontId="55" fillId="2" borderId="2" xfId="1" applyFont="1" applyFill="1" applyBorder="1" applyAlignment="1">
      <alignment horizontal="center" vertical="center" wrapText="1"/>
    </xf>
    <xf numFmtId="0" fontId="63" fillId="0" borderId="12" xfId="1" applyFont="1" applyBorder="1" applyAlignment="1">
      <alignment horizontal="center" vertical="top"/>
    </xf>
    <xf numFmtId="0" fontId="91" fillId="0" borderId="12" xfId="1" applyFont="1" applyBorder="1" applyAlignment="1">
      <alignment horizontal="left" vertical="center" wrapText="1"/>
    </xf>
    <xf numFmtId="0" fontId="58" fillId="8" borderId="2" xfId="0" applyFont="1" applyFill="1" applyBorder="1" applyAlignment="1">
      <alignment horizontal="center" vertical="center"/>
    </xf>
    <xf numFmtId="0" fontId="58" fillId="8" borderId="2" xfId="1" applyFont="1" applyFill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/>
    </xf>
    <xf numFmtId="0" fontId="55" fillId="0" borderId="2" xfId="1" applyFont="1" applyBorder="1" applyAlignment="1">
      <alignment horizontal="center" vertical="center" wrapText="1"/>
    </xf>
    <xf numFmtId="0" fontId="55" fillId="2" borderId="3" xfId="1" applyFont="1" applyFill="1" applyBorder="1" applyAlignment="1">
      <alignment horizontal="left" vertical="top" wrapText="1"/>
    </xf>
    <xf numFmtId="0" fontId="52" fillId="8" borderId="2" xfId="5" applyFont="1" applyFill="1" applyBorder="1" applyAlignment="1">
      <alignment horizontal="center" vertical="center"/>
    </xf>
    <xf numFmtId="0" fontId="52" fillId="8" borderId="2" xfId="1" applyFont="1" applyFill="1" applyBorder="1" applyAlignment="1">
      <alignment horizontal="center" vertical="center" wrapText="1"/>
    </xf>
    <xf numFmtId="166" fontId="52" fillId="0" borderId="2" xfId="5" applyNumberFormat="1" applyFont="1" applyBorder="1" applyAlignment="1">
      <alignment horizontal="center" vertical="center" wrapText="1"/>
    </xf>
    <xf numFmtId="0" fontId="56" fillId="8" borderId="2" xfId="39" applyFont="1" applyFill="1" applyBorder="1" applyAlignment="1">
      <alignment horizontal="center" vertical="center"/>
    </xf>
    <xf numFmtId="0" fontId="52" fillId="0" borderId="3" xfId="4" applyFont="1" applyBorder="1" applyAlignment="1">
      <alignment horizontal="center" vertical="top" wrapText="1"/>
    </xf>
    <xf numFmtId="0" fontId="52" fillId="0" borderId="8" xfId="4" applyFont="1" applyBorder="1" applyAlignment="1">
      <alignment horizontal="center" vertical="center"/>
    </xf>
    <xf numFmtId="0" fontId="52" fillId="0" borderId="10" xfId="4" applyFont="1" applyBorder="1" applyAlignment="1">
      <alignment horizontal="center" vertical="center"/>
    </xf>
    <xf numFmtId="0" fontId="52" fillId="0" borderId="3" xfId="50" applyFont="1" applyBorder="1" applyAlignment="1">
      <alignment horizontal="left" vertical="center" wrapText="1"/>
    </xf>
    <xf numFmtId="0" fontId="56" fillId="0" borderId="3" xfId="51" applyFont="1" applyBorder="1" applyAlignment="1">
      <alignment horizontal="left" vertical="center" wrapText="1"/>
    </xf>
    <xf numFmtId="0" fontId="52" fillId="0" borderId="0" xfId="50" applyFont="1" applyAlignment="1">
      <alignment horizontal="right" vertical="center"/>
    </xf>
    <xf numFmtId="0" fontId="66" fillId="0" borderId="2" xfId="51" applyFont="1" applyBorder="1" applyAlignment="1">
      <alignment horizontal="center" vertical="center"/>
    </xf>
    <xf numFmtId="0" fontId="59" fillId="9" borderId="4" xfId="1" applyFont="1" applyFill="1" applyBorder="1" applyAlignment="1">
      <alignment horizontal="center" vertical="center" wrapText="1"/>
    </xf>
    <xf numFmtId="0" fontId="59" fillId="9" borderId="11" xfId="1" applyFont="1" applyFill="1" applyBorder="1" applyAlignment="1">
      <alignment horizontal="center" vertical="center" wrapText="1"/>
    </xf>
    <xf numFmtId="0" fontId="59" fillId="9" borderId="8" xfId="1" applyFont="1" applyFill="1" applyBorder="1" applyAlignment="1">
      <alignment horizontal="center" vertical="center" wrapText="1"/>
    </xf>
    <xf numFmtId="0" fontId="59" fillId="9" borderId="10" xfId="1" applyFont="1" applyFill="1" applyBorder="1" applyAlignment="1">
      <alignment horizontal="center" vertical="center" wrapText="1"/>
    </xf>
    <xf numFmtId="0" fontId="52" fillId="0" borderId="0" xfId="1" applyFont="1" applyAlignment="1">
      <alignment horizontal="right" vertical="top"/>
    </xf>
    <xf numFmtId="0" fontId="53" fillId="8" borderId="2" xfId="1" applyFont="1" applyFill="1" applyBorder="1" applyAlignment="1">
      <alignment horizontal="center" vertical="center"/>
    </xf>
    <xf numFmtId="0" fontId="58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left" vertical="top" wrapText="1"/>
    </xf>
    <xf numFmtId="0" fontId="59" fillId="9" borderId="2" xfId="1" applyFont="1" applyFill="1" applyBorder="1" applyAlignment="1">
      <alignment horizontal="center" vertical="center" wrapText="1"/>
    </xf>
    <xf numFmtId="0" fontId="52" fillId="8" borderId="8" xfId="1" applyFont="1" applyFill="1" applyBorder="1" applyAlignment="1">
      <alignment horizontal="center" vertical="center" wrapText="1"/>
    </xf>
    <xf numFmtId="0" fontId="52" fillId="8" borderId="9" xfId="1" applyFont="1" applyFill="1" applyBorder="1" applyAlignment="1">
      <alignment horizontal="center" vertical="center" wrapText="1"/>
    </xf>
    <xf numFmtId="0" fontId="52" fillId="8" borderId="10" xfId="1" applyFont="1" applyFill="1" applyBorder="1" applyAlignment="1">
      <alignment horizontal="center" vertical="center" wrapText="1"/>
    </xf>
    <xf numFmtId="0" fontId="52" fillId="8" borderId="4" xfId="1" applyFont="1" applyFill="1" applyBorder="1" applyAlignment="1">
      <alignment horizontal="center" vertical="center" wrapText="1"/>
    </xf>
    <xf numFmtId="0" fontId="52" fillId="8" borderId="11" xfId="1" applyFont="1" applyFill="1" applyBorder="1" applyAlignment="1">
      <alignment horizontal="center" vertical="center" wrapText="1"/>
    </xf>
    <xf numFmtId="0" fontId="52" fillId="0" borderId="3" xfId="5" applyFont="1" applyBorder="1" applyAlignment="1">
      <alignment horizontal="left" vertical="top" wrapText="1"/>
    </xf>
    <xf numFmtId="0" fontId="58" fillId="8" borderId="8" xfId="1" applyFont="1" applyFill="1" applyBorder="1" applyAlignment="1">
      <alignment horizontal="center" vertical="center" wrapText="1"/>
    </xf>
    <xf numFmtId="0" fontId="58" fillId="8" borderId="9" xfId="1" applyFont="1" applyFill="1" applyBorder="1" applyAlignment="1">
      <alignment horizontal="center" vertical="center" wrapText="1"/>
    </xf>
    <xf numFmtId="0" fontId="58" fillId="8" borderId="10" xfId="1" applyFont="1" applyFill="1" applyBorder="1" applyAlignment="1">
      <alignment horizontal="center" vertical="center" wrapText="1"/>
    </xf>
    <xf numFmtId="0" fontId="58" fillId="8" borderId="4" xfId="1" applyFont="1" applyFill="1" applyBorder="1" applyAlignment="1">
      <alignment horizontal="center" vertical="center" wrapText="1"/>
    </xf>
    <xf numFmtId="0" fontId="58" fillId="8" borderId="11" xfId="1" applyFont="1" applyFill="1" applyBorder="1" applyAlignment="1">
      <alignment horizontal="center" vertical="center" wrapText="1"/>
    </xf>
    <xf numFmtId="0" fontId="58" fillId="8" borderId="8" xfId="5" applyFont="1" applyFill="1" applyBorder="1" applyAlignment="1">
      <alignment horizontal="center" vertical="center" wrapText="1"/>
    </xf>
    <xf numFmtId="0" fontId="58" fillId="8" borderId="9" xfId="5" applyFont="1" applyFill="1" applyBorder="1" applyAlignment="1">
      <alignment horizontal="center" vertical="center" wrapText="1"/>
    </xf>
    <xf numFmtId="0" fontId="58" fillId="8" borderId="10" xfId="5" applyFont="1" applyFill="1" applyBorder="1" applyAlignment="1">
      <alignment horizontal="center" vertical="center" wrapText="1"/>
    </xf>
    <xf numFmtId="0" fontId="58" fillId="0" borderId="2" xfId="5" applyFont="1" applyBorder="1" applyAlignment="1">
      <alignment horizontal="center" vertical="center"/>
    </xf>
    <xf numFmtId="0" fontId="58" fillId="8" borderId="4" xfId="5" applyFont="1" applyFill="1" applyBorder="1" applyAlignment="1">
      <alignment horizontal="center" vertical="center" wrapText="1"/>
    </xf>
    <xf numFmtId="0" fontId="58" fillId="8" borderId="11" xfId="5" applyFont="1" applyFill="1" applyBorder="1" applyAlignment="1">
      <alignment horizontal="center" vertical="center" wrapText="1"/>
    </xf>
    <xf numFmtId="0" fontId="58" fillId="8" borderId="2" xfId="5" applyFont="1" applyFill="1" applyBorder="1" applyAlignment="1">
      <alignment horizontal="center" vertical="center" wrapText="1"/>
    </xf>
    <xf numFmtId="0" fontId="52" fillId="0" borderId="3" xfId="5" applyFont="1" applyBorder="1" applyAlignment="1">
      <alignment vertical="top" wrapText="1"/>
    </xf>
    <xf numFmtId="0" fontId="58" fillId="8" borderId="8" xfId="2" applyFont="1" applyFill="1" applyBorder="1" applyAlignment="1">
      <alignment horizontal="center" vertical="center" wrapText="1"/>
    </xf>
    <xf numFmtId="0" fontId="58" fillId="8" borderId="9" xfId="2" applyFont="1" applyFill="1" applyBorder="1" applyAlignment="1">
      <alignment horizontal="center" vertical="center" wrapText="1"/>
    </xf>
    <xf numFmtId="0" fontId="58" fillId="8" borderId="10" xfId="2" applyFont="1" applyFill="1" applyBorder="1" applyAlignment="1">
      <alignment horizontal="center" vertical="center" wrapText="1"/>
    </xf>
    <xf numFmtId="0" fontId="58" fillId="0" borderId="2" xfId="2" applyFont="1" applyBorder="1" applyAlignment="1">
      <alignment horizontal="center" vertical="center"/>
    </xf>
    <xf numFmtId="0" fontId="58" fillId="8" borderId="4" xfId="2" applyFont="1" applyFill="1" applyBorder="1" applyAlignment="1">
      <alignment horizontal="center" vertical="center" wrapText="1"/>
    </xf>
    <xf numFmtId="0" fontId="58" fillId="8" borderId="11" xfId="2" applyFont="1" applyFill="1" applyBorder="1" applyAlignment="1">
      <alignment horizontal="center" vertical="center" wrapText="1"/>
    </xf>
    <xf numFmtId="0" fontId="58" fillId="8" borderId="2" xfId="2" applyFont="1" applyFill="1" applyBorder="1" applyAlignment="1">
      <alignment horizontal="center" vertical="center" wrapText="1"/>
    </xf>
    <xf numFmtId="0" fontId="52" fillId="0" borderId="3" xfId="7" applyFont="1" applyBorder="1" applyAlignment="1">
      <alignment horizontal="left" vertical="top" wrapText="1"/>
    </xf>
    <xf numFmtId="0" fontId="69" fillId="8" borderId="8" xfId="0" applyFont="1" applyFill="1" applyBorder="1" applyAlignment="1">
      <alignment horizontal="center" vertical="center" wrapText="1"/>
    </xf>
    <xf numFmtId="0" fontId="69" fillId="8" borderId="9" xfId="0" applyFont="1" applyFill="1" applyBorder="1" applyAlignment="1">
      <alignment horizontal="center" vertical="center" wrapText="1"/>
    </xf>
    <xf numFmtId="0" fontId="69" fillId="8" borderId="10" xfId="0" applyFont="1" applyFill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69" fillId="8" borderId="4" xfId="0" applyFont="1" applyFill="1" applyBorder="1" applyAlignment="1">
      <alignment horizontal="center" vertical="center" wrapText="1"/>
    </xf>
    <xf numFmtId="0" fontId="69" fillId="8" borderId="11" xfId="0" applyFont="1" applyFill="1" applyBorder="1" applyAlignment="1">
      <alignment horizontal="center" vertical="center" wrapText="1"/>
    </xf>
    <xf numFmtId="0" fontId="69" fillId="8" borderId="2" xfId="0" applyFont="1" applyFill="1" applyBorder="1" applyAlignment="1">
      <alignment horizontal="center" vertical="center" wrapText="1"/>
    </xf>
    <xf numFmtId="0" fontId="58" fillId="8" borderId="2" xfId="5" applyFont="1" applyFill="1" applyBorder="1" applyAlignment="1">
      <alignment horizontal="center" vertical="center"/>
    </xf>
    <xf numFmtId="0" fontId="58" fillId="8" borderId="4" xfId="5" applyFont="1" applyFill="1" applyBorder="1" applyAlignment="1">
      <alignment horizontal="center" vertical="center" textRotation="90" wrapText="1"/>
    </xf>
    <xf numFmtId="0" fontId="58" fillId="8" borderId="11" xfId="5" applyFont="1" applyFill="1" applyBorder="1" applyAlignment="1">
      <alignment horizontal="center" vertical="center" textRotation="90" wrapText="1"/>
    </xf>
    <xf numFmtId="0" fontId="73" fillId="8" borderId="4" xfId="5" applyFont="1" applyFill="1" applyBorder="1" applyAlignment="1">
      <alignment horizontal="center" vertical="center" textRotation="90" wrapText="1"/>
    </xf>
    <xf numFmtId="0" fontId="73" fillId="8" borderId="11" xfId="5" applyFont="1" applyFill="1" applyBorder="1" applyAlignment="1">
      <alignment horizontal="center" vertical="center" textRotation="90" wrapText="1"/>
    </xf>
    <xf numFmtId="0" fontId="69" fillId="8" borderId="4" xfId="1" applyFont="1" applyFill="1" applyBorder="1" applyAlignment="1">
      <alignment horizontal="center" vertical="center" wrapText="1"/>
    </xf>
    <xf numFmtId="0" fontId="69" fillId="8" borderId="11" xfId="1" applyFont="1" applyFill="1" applyBorder="1" applyAlignment="1">
      <alignment horizontal="center" vertical="center" wrapText="1"/>
    </xf>
    <xf numFmtId="0" fontId="69" fillId="8" borderId="2" xfId="1" applyFont="1" applyFill="1" applyBorder="1" applyAlignment="1">
      <alignment horizontal="center" vertical="center" wrapText="1"/>
    </xf>
    <xf numFmtId="0" fontId="69" fillId="8" borderId="8" xfId="1" applyFont="1" applyFill="1" applyBorder="1" applyAlignment="1">
      <alignment horizontal="center" vertical="center" wrapText="1"/>
    </xf>
    <xf numFmtId="0" fontId="69" fillId="8" borderId="9" xfId="1" applyFont="1" applyFill="1" applyBorder="1" applyAlignment="1">
      <alignment horizontal="center" vertical="center" wrapText="1"/>
    </xf>
    <xf numFmtId="0" fontId="69" fillId="8" borderId="10" xfId="1" applyFont="1" applyFill="1" applyBorder="1" applyAlignment="1">
      <alignment horizontal="center" vertical="center" wrapText="1"/>
    </xf>
    <xf numFmtId="0" fontId="59" fillId="0" borderId="2" xfId="42" applyFont="1" applyBorder="1" applyAlignment="1">
      <alignment horizontal="center" vertical="center"/>
    </xf>
    <xf numFmtId="0" fontId="87" fillId="0" borderId="0" xfId="41" applyFont="1" applyAlignment="1">
      <alignment horizontal="right" vertical="center"/>
    </xf>
    <xf numFmtId="0" fontId="88" fillId="0" borderId="0" xfId="42" applyFont="1" applyAlignment="1">
      <alignment horizontal="left" vertical="center" wrapText="1"/>
    </xf>
    <xf numFmtId="0" fontId="89" fillId="0" borderId="0" xfId="41" applyFont="1" applyAlignment="1">
      <alignment vertical="center"/>
    </xf>
    <xf numFmtId="0" fontId="88" fillId="0" borderId="0" xfId="42" applyFont="1" applyAlignment="1">
      <alignment horizontal="left" vertical="center"/>
    </xf>
    <xf numFmtId="0" fontId="69" fillId="8" borderId="2" xfId="42" applyFont="1" applyFill="1" applyBorder="1" applyAlignment="1">
      <alignment horizontal="center" vertical="center"/>
    </xf>
    <xf numFmtId="0" fontId="66" fillId="8" borderId="2" xfId="42" applyFont="1" applyFill="1" applyBorder="1" applyAlignment="1">
      <alignment horizontal="center" vertical="center"/>
    </xf>
    <xf numFmtId="0" fontId="66" fillId="8" borderId="2" xfId="42" applyFont="1" applyFill="1" applyBorder="1" applyAlignment="1">
      <alignment horizontal="center" vertical="center" wrapText="1"/>
    </xf>
    <xf numFmtId="0" fontId="69" fillId="8" borderId="2" xfId="41" applyFont="1" applyFill="1" applyBorder="1" applyAlignment="1">
      <alignment horizontal="center" vertical="center" wrapText="1"/>
    </xf>
    <xf numFmtId="0" fontId="52" fillId="0" borderId="0" xfId="41" applyFont="1" applyAlignment="1">
      <alignment horizontal="right" vertical="top"/>
    </xf>
    <xf numFmtId="0" fontId="56" fillId="0" borderId="0" xfId="42" applyFont="1" applyAlignment="1">
      <alignment horizontal="left" vertical="top" wrapText="1"/>
    </xf>
    <xf numFmtId="0" fontId="31" fillId="0" borderId="0" xfId="41" applyAlignment="1">
      <alignment vertical="top"/>
    </xf>
    <xf numFmtId="0" fontId="56" fillId="0" borderId="0" xfId="42" applyFont="1" applyAlignment="1">
      <alignment horizontal="left" vertical="top"/>
    </xf>
    <xf numFmtId="0" fontId="58" fillId="8" borderId="4" xfId="42" applyFont="1" applyFill="1" applyBorder="1" applyAlignment="1">
      <alignment horizontal="center" vertical="center" wrapText="1"/>
    </xf>
    <xf numFmtId="0" fontId="58" fillId="8" borderId="11" xfId="42" applyFont="1" applyFill="1" applyBorder="1" applyAlignment="1">
      <alignment horizontal="center" vertical="center" wrapText="1"/>
    </xf>
    <xf numFmtId="0" fontId="59" fillId="8" borderId="2" xfId="42" applyFont="1" applyFill="1" applyBorder="1" applyAlignment="1">
      <alignment horizontal="center" vertical="center" wrapText="1"/>
    </xf>
    <xf numFmtId="0" fontId="58" fillId="8" borderId="2" xfId="41" applyFont="1" applyFill="1" applyBorder="1" applyAlignment="1">
      <alignment horizontal="center" vertical="center" wrapText="1"/>
    </xf>
    <xf numFmtId="0" fontId="97" fillId="0" borderId="3" xfId="42" applyFont="1" applyBorder="1" applyAlignment="1">
      <alignment horizontal="left" vertical="center" wrapText="1"/>
    </xf>
    <xf numFmtId="0" fontId="97" fillId="0" borderId="3" xfId="42" applyFont="1" applyBorder="1" applyAlignment="1">
      <alignment horizontal="left" vertical="center"/>
    </xf>
    <xf numFmtId="0" fontId="59" fillId="8" borderId="4" xfId="42" applyFont="1" applyFill="1" applyBorder="1" applyAlignment="1">
      <alignment horizontal="center" vertical="center"/>
    </xf>
    <xf numFmtId="0" fontId="50" fillId="0" borderId="4" xfId="42" applyFont="1" applyBorder="1" applyAlignment="1">
      <alignment horizontal="left" vertical="center"/>
    </xf>
    <xf numFmtId="0" fontId="50" fillId="0" borderId="17" xfId="42" applyFont="1" applyBorder="1" applyAlignment="1">
      <alignment horizontal="left" vertical="center"/>
    </xf>
    <xf numFmtId="0" fontId="50" fillId="0" borderId="11" xfId="42" applyFont="1" applyBorder="1" applyAlignment="1">
      <alignment horizontal="left" vertical="center"/>
    </xf>
    <xf numFmtId="0" fontId="59" fillId="0" borderId="14" xfId="41" applyFont="1" applyBorder="1" applyAlignment="1">
      <alignment horizontal="left" vertical="center"/>
    </xf>
    <xf numFmtId="0" fontId="59" fillId="0" borderId="18" xfId="41" applyFont="1" applyBorder="1" applyAlignment="1">
      <alignment horizontal="left" vertical="center"/>
    </xf>
    <xf numFmtId="0" fontId="59" fillId="0" borderId="16" xfId="41" applyFont="1" applyBorder="1" applyAlignment="1">
      <alignment horizontal="left" vertical="center"/>
    </xf>
    <xf numFmtId="0" fontId="59" fillId="0" borderId="4" xfId="41" applyFont="1" applyBorder="1" applyAlignment="1">
      <alignment horizontal="left" vertical="center"/>
    </xf>
    <xf numFmtId="0" fontId="59" fillId="0" borderId="17" xfId="41" applyFont="1" applyBorder="1" applyAlignment="1">
      <alignment horizontal="left" vertical="center"/>
    </xf>
    <xf numFmtId="0" fontId="59" fillId="0" borderId="11" xfId="41" applyFont="1" applyBorder="1" applyAlignment="1">
      <alignment horizontal="left" vertical="center"/>
    </xf>
    <xf numFmtId="0" fontId="59" fillId="0" borderId="2" xfId="41" applyFont="1" applyBorder="1" applyAlignment="1">
      <alignment horizontal="left" vertical="center"/>
    </xf>
    <xf numFmtId="0" fontId="56" fillId="0" borderId="3" xfId="42" applyFont="1" applyBorder="1" applyAlignment="1">
      <alignment horizontal="left" vertical="center" wrapText="1"/>
    </xf>
    <xf numFmtId="0" fontId="59" fillId="8" borderId="2" xfId="42" applyFont="1" applyFill="1" applyBorder="1" applyAlignment="1">
      <alignment horizontal="center" vertical="center"/>
    </xf>
    <xf numFmtId="0" fontId="59" fillId="0" borderId="17" xfId="42" applyFont="1" applyBorder="1" applyAlignment="1">
      <alignment horizontal="left" vertical="center" wrapText="1"/>
    </xf>
    <xf numFmtId="0" fontId="59" fillId="0" borderId="11" xfId="42" applyFont="1" applyBorder="1" applyAlignment="1">
      <alignment horizontal="left" vertical="center" wrapText="1"/>
    </xf>
    <xf numFmtId="0" fontId="59" fillId="0" borderId="4" xfId="42" applyFont="1" applyBorder="1" applyAlignment="1">
      <alignment horizontal="left" vertical="center"/>
    </xf>
    <xf numFmtId="0" fontId="59" fillId="0" borderId="17" xfId="42" applyFont="1" applyBorder="1" applyAlignment="1">
      <alignment horizontal="left" vertical="center"/>
    </xf>
    <xf numFmtId="0" fontId="59" fillId="0" borderId="14" xfId="42" applyFont="1" applyBorder="1" applyAlignment="1">
      <alignment horizontal="left" vertical="center"/>
    </xf>
    <xf numFmtId="0" fontId="59" fillId="0" borderId="18" xfId="42" applyFont="1" applyBorder="1" applyAlignment="1">
      <alignment horizontal="left" vertical="center"/>
    </xf>
    <xf numFmtId="0" fontId="59" fillId="0" borderId="16" xfId="42" applyFont="1" applyBorder="1" applyAlignment="1">
      <alignment horizontal="left" vertical="center"/>
    </xf>
    <xf numFmtId="0" fontId="58" fillId="8" borderId="8" xfId="38" applyFont="1" applyFill="1" applyBorder="1" applyAlignment="1">
      <alignment horizontal="center" vertical="center"/>
    </xf>
    <xf numFmtId="0" fontId="58" fillId="8" borderId="9" xfId="38" applyFont="1" applyFill="1" applyBorder="1" applyAlignment="1">
      <alignment horizontal="center" vertical="center"/>
    </xf>
    <xf numFmtId="0" fontId="58" fillId="8" borderId="10" xfId="38" applyFont="1" applyFill="1" applyBorder="1" applyAlignment="1">
      <alignment horizontal="center" vertical="center"/>
    </xf>
    <xf numFmtId="0" fontId="58" fillId="0" borderId="2" xfId="38" applyFont="1" applyBorder="1" applyAlignment="1">
      <alignment horizontal="center" vertical="center"/>
    </xf>
    <xf numFmtId="0" fontId="52" fillId="0" borderId="3" xfId="5" applyFont="1" applyBorder="1" applyAlignment="1">
      <alignment vertical="center"/>
    </xf>
    <xf numFmtId="0" fontId="52" fillId="0" borderId="3" xfId="5" applyFont="1" applyBorder="1" applyAlignment="1">
      <alignment horizontal="left" vertical="center"/>
    </xf>
    <xf numFmtId="0" fontId="58" fillId="8" borderId="4" xfId="38" applyFont="1" applyFill="1" applyBorder="1" applyAlignment="1">
      <alignment horizontal="center" vertical="center" wrapText="1"/>
    </xf>
    <xf numFmtId="0" fontId="58" fillId="8" borderId="11" xfId="38" applyFont="1" applyFill="1" applyBorder="1" applyAlignment="1">
      <alignment horizontal="center" vertical="center" wrapText="1"/>
    </xf>
    <xf numFmtId="0" fontId="58" fillId="8" borderId="2" xfId="38" applyFont="1" applyFill="1" applyBorder="1" applyAlignment="1">
      <alignment horizontal="center" vertical="center" wrapText="1"/>
    </xf>
    <xf numFmtId="0" fontId="58" fillId="8" borderId="8" xfId="38" applyFont="1" applyFill="1" applyBorder="1" applyAlignment="1">
      <alignment horizontal="center" vertical="center" wrapText="1"/>
    </xf>
    <xf numFmtId="0" fontId="58" fillId="8" borderId="9" xfId="38" applyFont="1" applyFill="1" applyBorder="1" applyAlignment="1">
      <alignment horizontal="center" vertical="center" wrapText="1"/>
    </xf>
    <xf numFmtId="0" fontId="58" fillId="8" borderId="10" xfId="38" applyFont="1" applyFill="1" applyBorder="1" applyAlignment="1">
      <alignment horizontal="center" vertical="center" wrapText="1"/>
    </xf>
    <xf numFmtId="0" fontId="58" fillId="0" borderId="2" xfId="42" applyFont="1" applyBorder="1" applyAlignment="1">
      <alignment horizontal="center" vertical="center" wrapText="1"/>
    </xf>
    <xf numFmtId="0" fontId="58" fillId="8" borderId="2" xfId="42" applyFont="1" applyFill="1" applyBorder="1" applyAlignment="1">
      <alignment horizontal="center" vertical="top" wrapText="1"/>
    </xf>
    <xf numFmtId="0" fontId="52" fillId="0" borderId="0" xfId="42" applyFont="1" applyAlignment="1">
      <alignment horizontal="left" vertical="top" wrapText="1"/>
    </xf>
    <xf numFmtId="0" fontId="58" fillId="8" borderId="2" xfId="42" applyFont="1" applyFill="1" applyBorder="1" applyAlignment="1">
      <alignment horizontal="center" vertical="center" wrapText="1"/>
    </xf>
    <xf numFmtId="0" fontId="58" fillId="8" borderId="2" xfId="42" applyFont="1" applyFill="1" applyBorder="1" applyAlignment="1">
      <alignment horizontal="center"/>
    </xf>
    <xf numFmtId="0" fontId="52" fillId="0" borderId="3" xfId="42" applyFont="1" applyBorder="1" applyAlignment="1">
      <alignment horizontal="left" vertical="top" wrapText="1"/>
    </xf>
    <xf numFmtId="0" fontId="52" fillId="0" borderId="3" xfId="42" applyFont="1" applyBorder="1" applyAlignment="1">
      <alignment horizontal="left" vertical="top"/>
    </xf>
    <xf numFmtId="0" fontId="58" fillId="8" borderId="2" xfId="42" applyFont="1" applyFill="1" applyBorder="1" applyAlignment="1">
      <alignment horizontal="center" vertical="center"/>
    </xf>
    <xf numFmtId="0" fontId="59" fillId="0" borderId="2" xfId="42" applyFont="1" applyBorder="1" applyAlignment="1">
      <alignment horizontal="center" vertical="center" wrapText="1"/>
    </xf>
    <xf numFmtId="165" fontId="58" fillId="0" borderId="8" xfId="4" applyNumberFormat="1" applyFont="1" applyBorder="1" applyAlignment="1">
      <alignment horizontal="center" vertical="center"/>
    </xf>
    <xf numFmtId="165" fontId="58" fillId="0" borderId="10" xfId="4" applyNumberFormat="1" applyFont="1" applyBorder="1" applyAlignment="1">
      <alignment horizontal="center" vertical="center"/>
    </xf>
    <xf numFmtId="0" fontId="52" fillId="0" borderId="3" xfId="4" applyFont="1" applyBorder="1" applyAlignment="1">
      <alignment horizontal="center" vertical="center" wrapText="1"/>
    </xf>
    <xf numFmtId="0" fontId="52" fillId="0" borderId="3" xfId="4" applyFont="1" applyBorder="1" applyAlignment="1">
      <alignment horizontal="center" vertical="center"/>
    </xf>
    <xf numFmtId="0" fontId="58" fillId="8" borderId="4" xfId="4" applyFont="1" applyFill="1" applyBorder="1" applyAlignment="1">
      <alignment horizontal="center" vertical="center" wrapText="1"/>
    </xf>
    <xf numFmtId="0" fontId="58" fillId="8" borderId="11" xfId="4" applyFont="1" applyFill="1" applyBorder="1" applyAlignment="1">
      <alignment horizontal="center" vertical="center" wrapText="1"/>
    </xf>
    <xf numFmtId="0" fontId="58" fillId="8" borderId="2" xfId="4" applyFont="1" applyFill="1" applyBorder="1" applyAlignment="1">
      <alignment horizontal="center" vertical="center" wrapText="1"/>
    </xf>
    <xf numFmtId="0" fontId="52" fillId="0" borderId="0" xfId="9" applyFont="1" applyAlignment="1">
      <alignment horizontal="center" vertical="center" wrapText="1"/>
    </xf>
    <xf numFmtId="0" fontId="52" fillId="0" borderId="8" xfId="9" applyFont="1" applyBorder="1" applyAlignment="1">
      <alignment horizontal="center" vertical="center"/>
    </xf>
    <xf numFmtId="0" fontId="52" fillId="0" borderId="10" xfId="9" applyFont="1" applyBorder="1" applyAlignment="1">
      <alignment horizontal="center" vertical="center"/>
    </xf>
    <xf numFmtId="0" fontId="58" fillId="8" borderId="18" xfId="1" applyFont="1" applyFill="1" applyBorder="1" applyAlignment="1">
      <alignment horizontal="center" vertical="center" wrapText="1"/>
    </xf>
    <xf numFmtId="0" fontId="58" fillId="8" borderId="0" xfId="1" applyFont="1" applyFill="1" applyAlignment="1">
      <alignment horizontal="center" vertical="center" wrapText="1"/>
    </xf>
    <xf numFmtId="0" fontId="58" fillId="8" borderId="19" xfId="1" applyFont="1" applyFill="1" applyBorder="1" applyAlignment="1">
      <alignment horizontal="center" vertical="center" wrapText="1"/>
    </xf>
    <xf numFmtId="0" fontId="58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left" vertical="center" wrapText="1"/>
    </xf>
    <xf numFmtId="0" fontId="52" fillId="0" borderId="3" xfId="1" applyFont="1" applyBorder="1" applyAlignment="1">
      <alignment horizontal="left" vertical="center"/>
    </xf>
    <xf numFmtId="0" fontId="58" fillId="8" borderId="17" xfId="1" applyFont="1" applyFill="1" applyBorder="1" applyAlignment="1">
      <alignment horizontal="center" vertical="center" wrapText="1"/>
    </xf>
    <xf numFmtId="0" fontId="58" fillId="8" borderId="16" xfId="1" applyFont="1" applyFill="1" applyBorder="1" applyAlignment="1">
      <alignment horizontal="center" vertical="center" wrapText="1"/>
    </xf>
    <xf numFmtId="0" fontId="58" fillId="8" borderId="3" xfId="1" applyFont="1" applyFill="1" applyBorder="1" applyAlignment="1">
      <alignment horizontal="center" vertical="center" wrapText="1"/>
    </xf>
    <xf numFmtId="0" fontId="58" fillId="8" borderId="15" xfId="1" applyFont="1" applyFill="1" applyBorder="1" applyAlignment="1">
      <alignment horizontal="center" vertical="center" wrapText="1"/>
    </xf>
    <xf numFmtId="0" fontId="52" fillId="0" borderId="3" xfId="41" applyFont="1" applyBorder="1" applyAlignment="1">
      <alignment horizontal="left" vertical="top" wrapText="1"/>
    </xf>
    <xf numFmtId="0" fontId="60" fillId="8" borderId="2" xfId="1" applyFont="1" applyFill="1" applyBorder="1" applyAlignment="1">
      <alignment horizontal="center" vertical="center" wrapText="1"/>
    </xf>
    <xf numFmtId="0" fontId="53" fillId="8" borderId="2" xfId="1" applyFont="1" applyFill="1" applyBorder="1" applyAlignment="1">
      <alignment vertical="center"/>
    </xf>
    <xf numFmtId="0" fontId="60" fillId="8" borderId="14" xfId="1" applyFont="1" applyFill="1" applyBorder="1" applyAlignment="1">
      <alignment horizontal="center" vertical="center" wrapText="1"/>
    </xf>
    <xf numFmtId="0" fontId="60" fillId="8" borderId="12" xfId="1" applyFont="1" applyFill="1" applyBorder="1" applyAlignment="1">
      <alignment horizontal="center" vertical="center" wrapText="1"/>
    </xf>
    <xf numFmtId="0" fontId="60" fillId="8" borderId="13" xfId="1" applyFont="1" applyFill="1" applyBorder="1" applyAlignment="1">
      <alignment horizontal="center" vertical="center" wrapText="1"/>
    </xf>
    <xf numFmtId="0" fontId="60" fillId="8" borderId="2" xfId="43" applyFont="1" applyFill="1" applyBorder="1" applyAlignment="1">
      <alignment horizontal="center" vertical="center" wrapText="1"/>
    </xf>
    <xf numFmtId="0" fontId="53" fillId="8" borderId="2" xfId="43" applyFont="1" applyFill="1" applyBorder="1" applyAlignment="1">
      <alignment vertical="center"/>
    </xf>
    <xf numFmtId="0" fontId="60" fillId="2" borderId="2" xfId="1" applyFont="1" applyFill="1" applyBorder="1" applyAlignment="1">
      <alignment horizontal="center" vertical="center" wrapText="1"/>
    </xf>
    <xf numFmtId="0" fontId="52" fillId="0" borderId="3" xfId="41" applyFont="1" applyBorder="1" applyAlignment="1">
      <alignment horizontal="left" vertical="center" wrapText="1"/>
    </xf>
    <xf numFmtId="0" fontId="86" fillId="8" borderId="2" xfId="1" applyFont="1" applyFill="1" applyBorder="1" applyAlignment="1">
      <alignment horizontal="center" vertical="center" wrapText="1"/>
    </xf>
    <xf numFmtId="0" fontId="75" fillId="8" borderId="2" xfId="1" applyFont="1" applyFill="1" applyBorder="1" applyAlignment="1">
      <alignment vertical="center"/>
    </xf>
    <xf numFmtId="0" fontId="86" fillId="8" borderId="14" xfId="1" applyFont="1" applyFill="1" applyBorder="1" applyAlignment="1">
      <alignment horizontal="center" vertical="center" wrapText="1"/>
    </xf>
    <xf numFmtId="0" fontId="86" fillId="8" borderId="12" xfId="1" applyFont="1" applyFill="1" applyBorder="1" applyAlignment="1">
      <alignment horizontal="center" vertical="center" wrapText="1"/>
    </xf>
    <xf numFmtId="0" fontId="86" fillId="8" borderId="13" xfId="1" applyFont="1" applyFill="1" applyBorder="1" applyAlignment="1">
      <alignment horizontal="center" vertical="center" wrapText="1"/>
    </xf>
    <xf numFmtId="0" fontId="86" fillId="8" borderId="2" xfId="43" applyFont="1" applyFill="1" applyBorder="1" applyAlignment="1">
      <alignment horizontal="center" vertical="center" wrapText="1"/>
    </xf>
    <xf numFmtId="0" fontId="75" fillId="8" borderId="2" xfId="43" applyFont="1" applyFill="1" applyBorder="1" applyAlignment="1">
      <alignment vertical="center"/>
    </xf>
    <xf numFmtId="0" fontId="58" fillId="8" borderId="2" xfId="56" applyFont="1" applyFill="1" applyBorder="1" applyAlignment="1">
      <alignment horizontal="center" vertical="center" wrapText="1"/>
    </xf>
    <xf numFmtId="0" fontId="60" fillId="8" borderId="2" xfId="4" applyFont="1" applyFill="1" applyBorder="1" applyAlignment="1">
      <alignment horizontal="center" vertical="center" wrapText="1"/>
    </xf>
    <xf numFmtId="0" fontId="53" fillId="8" borderId="2" xfId="4" applyFont="1" applyFill="1" applyBorder="1" applyAlignment="1">
      <alignment vertical="center"/>
    </xf>
    <xf numFmtId="0" fontId="60" fillId="2" borderId="8" xfId="56" applyFont="1" applyFill="1" applyBorder="1" applyAlignment="1">
      <alignment horizontal="center" vertical="center" wrapText="1"/>
    </xf>
    <xf numFmtId="0" fontId="60" fillId="2" borderId="10" xfId="56" applyFont="1" applyFill="1" applyBorder="1" applyAlignment="1">
      <alignment horizontal="center" vertical="center" wrapText="1"/>
    </xf>
    <xf numFmtId="0" fontId="60" fillId="8" borderId="2" xfId="56" applyFont="1" applyFill="1" applyBorder="1" applyAlignment="1">
      <alignment horizontal="center" vertical="center" wrapText="1"/>
    </xf>
    <xf numFmtId="0" fontId="60" fillId="2" borderId="2" xfId="5" applyFont="1" applyFill="1" applyBorder="1" applyAlignment="1">
      <alignment horizontal="center" vertical="center" wrapText="1"/>
    </xf>
    <xf numFmtId="0" fontId="52" fillId="0" borderId="0" xfId="5" applyFont="1" applyAlignment="1">
      <alignment horizontal="left" vertical="top" wrapText="1"/>
    </xf>
    <xf numFmtId="0" fontId="52" fillId="0" borderId="0" xfId="5" applyFont="1" applyAlignment="1">
      <alignment horizontal="left" vertical="top"/>
    </xf>
    <xf numFmtId="0" fontId="86" fillId="8" borderId="2" xfId="5" applyFont="1" applyFill="1" applyBorder="1" applyAlignment="1">
      <alignment horizontal="center" vertical="center" wrapText="1"/>
    </xf>
    <xf numFmtId="0" fontId="69" fillId="8" borderId="2" xfId="5" applyFont="1" applyFill="1" applyBorder="1" applyAlignment="1">
      <alignment vertical="center"/>
    </xf>
    <xf numFmtId="0" fontId="52" fillId="0" borderId="0" xfId="5" applyFont="1" applyAlignment="1">
      <alignment horizontal="right" vertical="top"/>
    </xf>
    <xf numFmtId="0" fontId="58" fillId="0" borderId="2" xfId="5" applyFont="1" applyBorder="1" applyAlignment="1">
      <alignment horizontal="center" vertical="center" wrapText="1"/>
    </xf>
    <xf numFmtId="0" fontId="58" fillId="0" borderId="2" xfId="48" applyFont="1" applyBorder="1" applyAlignment="1">
      <alignment horizontal="center" vertical="center"/>
    </xf>
    <xf numFmtId="0" fontId="52" fillId="0" borderId="0" xfId="48" applyFont="1" applyAlignment="1">
      <alignment horizontal="center" vertical="center" wrapText="1"/>
    </xf>
    <xf numFmtId="0" fontId="58" fillId="8" borderId="4" xfId="48" applyFont="1" applyFill="1" applyBorder="1" applyAlignment="1">
      <alignment horizontal="center" vertical="center" wrapText="1"/>
    </xf>
    <xf numFmtId="0" fontId="58" fillId="8" borderId="11" xfId="48" applyFont="1" applyFill="1" applyBorder="1" applyAlignment="1">
      <alignment horizontal="center" vertical="center" wrapText="1"/>
    </xf>
    <xf numFmtId="0" fontId="58" fillId="8" borderId="8" xfId="48" applyFont="1" applyFill="1" applyBorder="1" applyAlignment="1">
      <alignment horizontal="center" vertical="center" wrapText="1"/>
    </xf>
    <xf numFmtId="0" fontId="58" fillId="8" borderId="10" xfId="48" applyFont="1" applyFill="1" applyBorder="1" applyAlignment="1">
      <alignment horizontal="center" vertical="center" wrapText="1"/>
    </xf>
    <xf numFmtId="0" fontId="69" fillId="0" borderId="3" xfId="5" applyFont="1" applyBorder="1" applyAlignment="1">
      <alignment horizontal="left" vertical="top" wrapText="1"/>
    </xf>
    <xf numFmtId="0" fontId="69" fillId="8" borderId="2" xfId="5" applyFont="1" applyFill="1" applyBorder="1" applyAlignment="1">
      <alignment horizontal="center" vertical="center" wrapText="1"/>
    </xf>
    <xf numFmtId="0" fontId="52" fillId="8" borderId="2" xfId="5" applyFont="1" applyFill="1" applyBorder="1" applyAlignment="1">
      <alignment horizontal="center" vertical="center" wrapText="1"/>
    </xf>
    <xf numFmtId="0" fontId="58" fillId="8" borderId="2" xfId="28" applyFont="1" applyFill="1" applyBorder="1" applyAlignment="1">
      <alignment horizontal="center" vertical="center" wrapText="1"/>
    </xf>
    <xf numFmtId="0" fontId="52" fillId="0" borderId="9" xfId="5" applyFont="1" applyBorder="1" applyAlignment="1">
      <alignment horizontal="left" vertical="top" wrapText="1"/>
    </xf>
    <xf numFmtId="0" fontId="60" fillId="8" borderId="14" xfId="4" applyFont="1" applyFill="1" applyBorder="1" applyAlignment="1">
      <alignment horizontal="center" vertical="center" wrapText="1"/>
    </xf>
    <xf numFmtId="0" fontId="60" fillId="8" borderId="12" xfId="4" applyFont="1" applyFill="1" applyBorder="1" applyAlignment="1">
      <alignment horizontal="center" vertical="center" wrapText="1"/>
    </xf>
    <xf numFmtId="0" fontId="60" fillId="8" borderId="13" xfId="4" applyFont="1" applyFill="1" applyBorder="1" applyAlignment="1">
      <alignment horizontal="center" vertical="center" wrapText="1"/>
    </xf>
    <xf numFmtId="0" fontId="69" fillId="8" borderId="2" xfId="4" applyFont="1" applyFill="1" applyBorder="1" applyAlignment="1">
      <alignment horizontal="center" vertical="center" wrapText="1"/>
    </xf>
    <xf numFmtId="0" fontId="58" fillId="8" borderId="2" xfId="44" applyFont="1" applyFill="1" applyBorder="1" applyAlignment="1">
      <alignment horizontal="center" vertical="center" wrapText="1"/>
    </xf>
    <xf numFmtId="0" fontId="73" fillId="8" borderId="2" xfId="17" applyFont="1" applyFill="1" applyBorder="1" applyAlignment="1">
      <alignment horizontal="center" vertical="center" wrapText="1"/>
    </xf>
    <xf numFmtId="0" fontId="52" fillId="0" borderId="2" xfId="17" applyFont="1" applyBorder="1" applyAlignment="1">
      <alignment horizontal="center" vertical="center" wrapText="1"/>
    </xf>
    <xf numFmtId="0" fontId="52" fillId="8" borderId="2" xfId="17" applyFont="1" applyFill="1" applyBorder="1" applyAlignment="1">
      <alignment horizontal="center" vertical="center" wrapText="1"/>
    </xf>
    <xf numFmtId="0" fontId="52" fillId="0" borderId="2" xfId="5" applyFont="1" applyBorder="1" applyAlignment="1">
      <alignment horizontal="center" vertical="center" wrapText="1"/>
    </xf>
    <xf numFmtId="0" fontId="58" fillId="0" borderId="8" xfId="28" applyFont="1" applyBorder="1" applyAlignment="1">
      <alignment horizontal="center" vertical="center" wrapText="1"/>
    </xf>
    <xf numFmtId="0" fontId="58" fillId="0" borderId="9" xfId="28" applyFont="1" applyBorder="1" applyAlignment="1">
      <alignment horizontal="center" vertical="center" wrapText="1"/>
    </xf>
    <xf numFmtId="0" fontId="58" fillId="0" borderId="10" xfId="28" applyFont="1" applyBorder="1" applyAlignment="1">
      <alignment horizontal="center" vertical="center" wrapText="1"/>
    </xf>
    <xf numFmtId="0" fontId="52" fillId="0" borderId="8" xfId="5" applyFont="1" applyBorder="1" applyAlignment="1">
      <alignment horizontal="center" vertical="center"/>
    </xf>
    <xf numFmtId="0" fontId="52" fillId="0" borderId="10" xfId="5" applyFont="1" applyBorder="1" applyAlignment="1">
      <alignment horizontal="center" vertical="center"/>
    </xf>
    <xf numFmtId="0" fontId="52" fillId="8" borderId="4" xfId="5" applyFont="1" applyFill="1" applyBorder="1" applyAlignment="1">
      <alignment horizontal="center" vertical="center" wrapText="1"/>
    </xf>
    <xf numFmtId="0" fontId="52" fillId="8" borderId="11" xfId="5" applyFont="1" applyFill="1" applyBorder="1" applyAlignment="1">
      <alignment horizontal="center" vertical="center" wrapText="1"/>
    </xf>
    <xf numFmtId="0" fontId="69" fillId="8" borderId="8" xfId="5" applyFont="1" applyFill="1" applyBorder="1" applyAlignment="1">
      <alignment horizontal="center" vertical="center" wrapText="1"/>
    </xf>
    <xf numFmtId="0" fontId="69" fillId="8" borderId="9" xfId="5" applyFont="1" applyFill="1" applyBorder="1" applyAlignment="1">
      <alignment horizontal="center" vertical="center" wrapText="1"/>
    </xf>
    <xf numFmtId="0" fontId="69" fillId="8" borderId="10" xfId="5" applyFont="1" applyFill="1" applyBorder="1" applyAlignment="1">
      <alignment horizontal="center" vertical="center" wrapText="1"/>
    </xf>
    <xf numFmtId="0" fontId="52" fillId="0" borderId="0" xfId="41" applyFont="1" applyAlignment="1">
      <alignment horizontal="center" vertical="center" wrapText="1"/>
    </xf>
    <xf numFmtId="0" fontId="59" fillId="0" borderId="8" xfId="42" applyFont="1" applyBorder="1" applyAlignment="1">
      <alignment horizontal="center" vertical="center"/>
    </xf>
    <xf numFmtId="0" fontId="59" fillId="0" borderId="10" xfId="42" applyFont="1" applyBorder="1" applyAlignment="1">
      <alignment horizontal="center" vertical="center"/>
    </xf>
    <xf numFmtId="0" fontId="56" fillId="0" borderId="3" xfId="42" applyFont="1" applyBorder="1" applyAlignment="1">
      <alignment horizontal="left" vertical="center"/>
    </xf>
    <xf numFmtId="0" fontId="59" fillId="8" borderId="14" xfId="42" applyFont="1" applyFill="1" applyBorder="1" applyAlignment="1">
      <alignment horizontal="center" vertical="center"/>
    </xf>
    <xf numFmtId="0" fontId="59" fillId="8" borderId="13" xfId="42" applyFont="1" applyFill="1" applyBorder="1" applyAlignment="1">
      <alignment horizontal="center" vertical="center"/>
    </xf>
    <xf numFmtId="0" fontId="59" fillId="0" borderId="11" xfId="42" applyFont="1" applyBorder="1" applyAlignment="1">
      <alignment horizontal="left" vertical="center"/>
    </xf>
    <xf numFmtId="0" fontId="59" fillId="0" borderId="4" xfId="42" applyFont="1" applyBorder="1" applyAlignment="1">
      <alignment horizontal="left" vertical="center" wrapText="1"/>
    </xf>
    <xf numFmtId="0" fontId="59" fillId="0" borderId="14" xfId="42" applyFont="1" applyBorder="1" applyAlignment="1">
      <alignment horizontal="left" vertical="center" wrapText="1"/>
    </xf>
    <xf numFmtId="0" fontId="59" fillId="0" borderId="16" xfId="42" applyFont="1" applyBorder="1" applyAlignment="1">
      <alignment horizontal="left" vertical="center" wrapText="1"/>
    </xf>
    <xf numFmtId="0" fontId="59" fillId="0" borderId="2" xfId="42" applyFont="1" applyBorder="1" applyAlignment="1">
      <alignment horizontal="left" vertical="center"/>
    </xf>
    <xf numFmtId="0" fontId="68" fillId="8" borderId="2" xfId="1" applyFont="1" applyFill="1" applyBorder="1" applyAlignment="1">
      <alignment horizontal="center" vertical="center" wrapText="1"/>
    </xf>
    <xf numFmtId="0" fontId="59" fillId="8" borderId="2" xfId="1" applyFont="1" applyFill="1" applyBorder="1" applyAlignment="1">
      <alignment horizontal="center" vertical="center" wrapText="1"/>
    </xf>
    <xf numFmtId="0" fontId="59" fillId="8" borderId="4" xfId="1" applyFont="1" applyFill="1" applyBorder="1" applyAlignment="1">
      <alignment horizontal="center" vertical="center" wrapText="1"/>
    </xf>
    <xf numFmtId="0" fontId="59" fillId="8" borderId="11" xfId="1" applyFont="1" applyFill="1" applyBorder="1" applyAlignment="1">
      <alignment horizontal="center" vertical="center" wrapText="1"/>
    </xf>
    <xf numFmtId="0" fontId="59" fillId="8" borderId="14" xfId="1" applyFont="1" applyFill="1" applyBorder="1" applyAlignment="1">
      <alignment horizontal="center" vertical="center" wrapText="1"/>
    </xf>
    <xf numFmtId="0" fontId="59" fillId="8" borderId="12" xfId="1" applyFont="1" applyFill="1" applyBorder="1" applyAlignment="1">
      <alignment horizontal="center" vertical="center" wrapText="1"/>
    </xf>
    <xf numFmtId="0" fontId="59" fillId="8" borderId="13" xfId="1" applyFont="1" applyFill="1" applyBorder="1" applyAlignment="1">
      <alignment horizontal="center" vertical="center" wrapText="1"/>
    </xf>
    <xf numFmtId="0" fontId="59" fillId="8" borderId="8" xfId="1" applyFont="1" applyFill="1" applyBorder="1" applyAlignment="1">
      <alignment horizontal="center" vertical="center" wrapText="1"/>
    </xf>
    <xf numFmtId="0" fontId="59" fillId="8" borderId="9" xfId="1" applyFont="1" applyFill="1" applyBorder="1" applyAlignment="1">
      <alignment horizontal="center" vertical="center" wrapText="1"/>
    </xf>
    <xf numFmtId="0" fontId="59" fillId="8" borderId="10" xfId="1" applyFont="1" applyFill="1" applyBorder="1" applyAlignment="1">
      <alignment horizontal="center" vertical="center" wrapText="1"/>
    </xf>
    <xf numFmtId="0" fontId="58" fillId="0" borderId="8" xfId="4" applyFont="1" applyBorder="1" applyAlignment="1">
      <alignment horizontal="center" vertical="center"/>
    </xf>
    <xf numFmtId="0" fontId="58" fillId="0" borderId="10" xfId="4" applyFont="1" applyBorder="1" applyAlignment="1">
      <alignment horizontal="center" vertical="center"/>
    </xf>
    <xf numFmtId="170" fontId="52" fillId="0" borderId="3" xfId="5" applyNumberFormat="1" applyFont="1" applyBorder="1" applyAlignment="1">
      <alignment horizontal="left" vertical="top" wrapText="1"/>
    </xf>
    <xf numFmtId="170" fontId="52" fillId="0" borderId="3" xfId="5" applyNumberFormat="1" applyFont="1" applyBorder="1" applyAlignment="1">
      <alignment horizontal="left" vertical="top"/>
    </xf>
    <xf numFmtId="0" fontId="56" fillId="0" borderId="3" xfId="63" applyFont="1" applyBorder="1" applyAlignment="1">
      <alignment horizontal="left" vertical="center"/>
    </xf>
    <xf numFmtId="0" fontId="52" fillId="8" borderId="2" xfId="63" applyFont="1" applyFill="1" applyBorder="1" applyAlignment="1">
      <alignment horizontal="center" vertical="center" wrapText="1"/>
    </xf>
    <xf numFmtId="0" fontId="58" fillId="8" borderId="8" xfId="63" applyFont="1" applyFill="1" applyBorder="1" applyAlignment="1">
      <alignment horizontal="center" vertical="center" wrapText="1"/>
    </xf>
    <xf numFmtId="0" fontId="58" fillId="8" borderId="9" xfId="63" applyFont="1" applyFill="1" applyBorder="1" applyAlignment="1">
      <alignment horizontal="center" vertical="center" wrapText="1"/>
    </xf>
    <xf numFmtId="0" fontId="58" fillId="8" borderId="2" xfId="63" applyFont="1" applyFill="1" applyBorder="1" applyAlignment="1">
      <alignment horizontal="center" vertical="center" wrapText="1"/>
    </xf>
    <xf numFmtId="0" fontId="58" fillId="8" borderId="2" xfId="63" applyFont="1" applyFill="1" applyBorder="1" applyAlignment="1">
      <alignment horizontal="center"/>
    </xf>
    <xf numFmtId="0" fontId="58" fillId="8" borderId="2" xfId="63" applyFont="1" applyFill="1" applyBorder="1" applyAlignment="1">
      <alignment horizontal="center" vertical="center"/>
    </xf>
    <xf numFmtId="0" fontId="58" fillId="8" borderId="4" xfId="63" applyFont="1" applyFill="1" applyBorder="1" applyAlignment="1">
      <alignment horizontal="center" vertical="center"/>
    </xf>
    <xf numFmtId="0" fontId="58" fillId="8" borderId="10" xfId="63" applyFont="1" applyFill="1" applyBorder="1" applyAlignment="1">
      <alignment horizontal="center" vertical="center" wrapText="1"/>
    </xf>
    <xf numFmtId="0" fontId="53" fillId="8" borderId="2" xfId="63" applyFont="1" applyFill="1" applyBorder="1"/>
    <xf numFmtId="0" fontId="69" fillId="8" borderId="2" xfId="63" applyFont="1" applyFill="1" applyBorder="1" applyAlignment="1">
      <alignment horizontal="center" vertical="center"/>
    </xf>
    <xf numFmtId="0" fontId="69" fillId="8" borderId="8" xfId="63" applyFont="1" applyFill="1" applyBorder="1" applyAlignment="1">
      <alignment horizontal="center" vertical="center"/>
    </xf>
    <xf numFmtId="0" fontId="69" fillId="8" borderId="9" xfId="63" applyFont="1" applyFill="1" applyBorder="1" applyAlignment="1">
      <alignment horizontal="center" vertical="center"/>
    </xf>
    <xf numFmtId="0" fontId="69" fillId="8" borderId="10" xfId="63" applyFont="1" applyFill="1" applyBorder="1" applyAlignment="1">
      <alignment horizontal="center" vertical="center"/>
    </xf>
    <xf numFmtId="0" fontId="58" fillId="8" borderId="2" xfId="64" applyFont="1" applyFill="1" applyBorder="1" applyAlignment="1">
      <alignment horizontal="center" vertical="center"/>
    </xf>
    <xf numFmtId="0" fontId="58" fillId="8" borderId="2" xfId="64" applyFont="1" applyFill="1" applyBorder="1" applyAlignment="1">
      <alignment horizontal="center" vertical="center" wrapText="1"/>
    </xf>
    <xf numFmtId="0" fontId="58" fillId="8" borderId="2" xfId="64" applyFont="1" applyFill="1" applyBorder="1" applyAlignment="1">
      <alignment horizontal="center"/>
    </xf>
    <xf numFmtId="0" fontId="58" fillId="8" borderId="4" xfId="64" applyFont="1" applyFill="1" applyBorder="1" applyAlignment="1">
      <alignment horizontal="center" vertical="center"/>
    </xf>
    <xf numFmtId="0" fontId="69" fillId="8" borderId="2" xfId="64" applyFont="1" applyFill="1" applyBorder="1" applyAlignment="1">
      <alignment horizontal="center" vertical="center"/>
    </xf>
    <xf numFmtId="0" fontId="69" fillId="8" borderId="2" xfId="64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67">
    <cellStyle name="Comma 2" xfId="6" xr:uid="{00000000-0005-0000-0000-000000000000}"/>
    <cellStyle name="Normal" xfId="0" builtinId="0"/>
    <cellStyle name="Normal 10" xfId="20" xr:uid="{00000000-0005-0000-0000-000002000000}"/>
    <cellStyle name="Normal 10 2" xfId="57" xr:uid="{00000000-0005-0000-0000-000003000000}"/>
    <cellStyle name="Normal 11" xfId="35" xr:uid="{00000000-0005-0000-0000-000004000000}"/>
    <cellStyle name="Normal 12" xfId="37" xr:uid="{00000000-0005-0000-0000-000005000000}"/>
    <cellStyle name="Normal 13" xfId="40" xr:uid="{00000000-0005-0000-0000-000006000000}"/>
    <cellStyle name="Normal 14" xfId="47" xr:uid="{00000000-0005-0000-0000-000007000000}"/>
    <cellStyle name="Normal 14 2" xfId="52" xr:uid="{00000000-0005-0000-0000-000008000000}"/>
    <cellStyle name="Normal 14 2 2" xfId="58" xr:uid="{00000000-0005-0000-0000-000009000000}"/>
    <cellStyle name="Normal 14 2 2 2" xfId="62" xr:uid="{00000000-0005-0000-0000-00000A000000}"/>
    <cellStyle name="Normal 14 2 2 2 2 2" xfId="64" xr:uid="{00000000-0005-0000-0000-00000B000000}"/>
    <cellStyle name="Normal 14 2 2 3 2" xfId="63" xr:uid="{00000000-0005-0000-0000-00000C000000}"/>
    <cellStyle name="Normal 15" xfId="55" xr:uid="{00000000-0005-0000-0000-00000D000000}"/>
    <cellStyle name="Normal 16" xfId="61" xr:uid="{00000000-0005-0000-0000-00000E000000}"/>
    <cellStyle name="Normal 2" xfId="1" xr:uid="{00000000-0005-0000-0000-00000F000000}"/>
    <cellStyle name="Normal 2 2" xfId="5" xr:uid="{00000000-0005-0000-0000-000010000000}"/>
    <cellStyle name="Normal 2 2 2" xfId="41" xr:uid="{00000000-0005-0000-0000-000011000000}"/>
    <cellStyle name="Normal 2 3" xfId="7" xr:uid="{00000000-0005-0000-0000-000012000000}"/>
    <cellStyle name="Normal 2 4" xfId="17" xr:uid="{00000000-0005-0000-0000-000013000000}"/>
    <cellStyle name="Normal 2 4 2" xfId="33" xr:uid="{00000000-0005-0000-0000-000014000000}"/>
    <cellStyle name="Normal 2 5" xfId="22" xr:uid="{00000000-0005-0000-0000-000015000000}"/>
    <cellStyle name="Normal 2 5 2" xfId="23" xr:uid="{00000000-0005-0000-0000-000016000000}"/>
    <cellStyle name="Normal 2 6" xfId="25" xr:uid="{00000000-0005-0000-0000-000017000000}"/>
    <cellStyle name="Normal 2 7" xfId="38" xr:uid="{00000000-0005-0000-0000-000018000000}"/>
    <cellStyle name="Normal 2 7 2" xfId="53" xr:uid="{00000000-0005-0000-0000-000019000000}"/>
    <cellStyle name="Normal 3" xfId="2" xr:uid="{00000000-0005-0000-0000-00001A000000}"/>
    <cellStyle name="Normal 3 2" xfId="3" xr:uid="{00000000-0005-0000-0000-00001B000000}"/>
    <cellStyle name="Normal 3 2 2" xfId="4" xr:uid="{00000000-0005-0000-0000-00001C000000}"/>
    <cellStyle name="Normal 3 2 2 2" xfId="43" xr:uid="{00000000-0005-0000-0000-00001D000000}"/>
    <cellStyle name="Normal 3 2 3" xfId="26" xr:uid="{00000000-0005-0000-0000-00001E000000}"/>
    <cellStyle name="Normal 3 2 3 2" xfId="34" xr:uid="{00000000-0005-0000-0000-00001F000000}"/>
    <cellStyle name="Normal 3 2 3 3" xfId="36" xr:uid="{00000000-0005-0000-0000-000020000000}"/>
    <cellStyle name="Normal 3 2 3 4" xfId="39" xr:uid="{00000000-0005-0000-0000-000021000000}"/>
    <cellStyle name="Normal 3 3" xfId="15" xr:uid="{00000000-0005-0000-0000-000022000000}"/>
    <cellStyle name="Normal 3 3 2" xfId="28" xr:uid="{00000000-0005-0000-0000-000023000000}"/>
    <cellStyle name="Normal 3 3 2 2" xfId="44" xr:uid="{00000000-0005-0000-0000-000024000000}"/>
    <cellStyle name="Normal 3 4" xfId="24" xr:uid="{00000000-0005-0000-0000-000025000000}"/>
    <cellStyle name="Normal 3 4 2" xfId="56" xr:uid="{00000000-0005-0000-0000-000026000000}"/>
    <cellStyle name="Normal 3 5" xfId="49" xr:uid="{00000000-0005-0000-0000-000027000000}"/>
    <cellStyle name="Normal 4" xfId="8" xr:uid="{00000000-0005-0000-0000-000028000000}"/>
    <cellStyle name="Normal 4 2" xfId="9" xr:uid="{00000000-0005-0000-0000-000029000000}"/>
    <cellStyle name="Normal 4 2 2" xfId="48" xr:uid="{00000000-0005-0000-0000-00002A000000}"/>
    <cellStyle name="Normal 5" xfId="10" xr:uid="{00000000-0005-0000-0000-00002B000000}"/>
    <cellStyle name="Normal 5 2" xfId="32" xr:uid="{00000000-0005-0000-0000-00002C000000}"/>
    <cellStyle name="Normal 5 2 2" xfId="54" xr:uid="{00000000-0005-0000-0000-00002D000000}"/>
    <cellStyle name="Normal 5 2 2 2" xfId="60" xr:uid="{00000000-0005-0000-0000-00002E000000}"/>
    <cellStyle name="Normal 5 2 2 2 2 2" xfId="66" xr:uid="{00000000-0005-0000-0000-00002F000000}"/>
    <cellStyle name="Normal 5 2 3" xfId="59" xr:uid="{00000000-0005-0000-0000-000030000000}"/>
    <cellStyle name="Normal 5 2 3 2 2" xfId="65" xr:uid="{00000000-0005-0000-0000-000031000000}"/>
    <cellStyle name="Normal 6" xfId="11" xr:uid="{00000000-0005-0000-0000-000032000000}"/>
    <cellStyle name="Normal 7" xfId="12" xr:uid="{00000000-0005-0000-0000-000033000000}"/>
    <cellStyle name="Normal 7 2" xfId="19" xr:uid="{00000000-0005-0000-0000-000034000000}"/>
    <cellStyle name="Normal 7 2 2" xfId="51" xr:uid="{00000000-0005-0000-0000-000035000000}"/>
    <cellStyle name="Normal 7 3" xfId="29" xr:uid="{00000000-0005-0000-0000-000036000000}"/>
    <cellStyle name="Normal 7 3 2" xfId="42" xr:uid="{00000000-0005-0000-0000-000037000000}"/>
    <cellStyle name="Normal 7 4" xfId="30" xr:uid="{00000000-0005-0000-0000-000038000000}"/>
    <cellStyle name="Normal 7 4 2" xfId="46" xr:uid="{00000000-0005-0000-0000-000039000000}"/>
    <cellStyle name="Normal 7 5" xfId="31" xr:uid="{00000000-0005-0000-0000-00003A000000}"/>
    <cellStyle name="Normal 7 5 2" xfId="45" xr:uid="{00000000-0005-0000-0000-00003B000000}"/>
    <cellStyle name="Normal 8" xfId="16" xr:uid="{00000000-0005-0000-0000-00003C000000}"/>
    <cellStyle name="Normal 8 2" xfId="18" xr:uid="{00000000-0005-0000-0000-00003D000000}"/>
    <cellStyle name="Normal 8 2 2" xfId="50" xr:uid="{00000000-0005-0000-0000-00003E000000}"/>
    <cellStyle name="Normal 9" xfId="21" xr:uid="{00000000-0005-0000-0000-00003F000000}"/>
    <cellStyle name="Percent 2" xfId="13" xr:uid="{00000000-0005-0000-0000-000040000000}"/>
    <cellStyle name="Percent 3" xfId="14" xr:uid="{00000000-0005-0000-0000-000041000000}"/>
    <cellStyle name="Percent 4" xfId="27" xr:uid="{00000000-0005-0000-0000-000042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1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5194591773951103E-2"/>
          <c:y val="5.1784412365121033E-2"/>
          <c:w val="0.9030447751894517"/>
          <c:h val="0.7978412073491071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'ManagementCollegeNo (2)'!$A$41</c:f>
              <c:strCache>
                <c:ptCount val="1"/>
                <c:pt idx="0">
                  <c:v>% Number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3.703703703703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78-4EEB-ADF6-95BD6BC724DF}"/>
                </c:ext>
              </c:extLst>
            </c:dLbl>
            <c:dLbl>
              <c:idx val="1"/>
              <c:layout>
                <c:manualLayout>
                  <c:x val="1.9782393669634519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78-4EEB-ADF6-95BD6BC724DF}"/>
                </c:ext>
              </c:extLst>
            </c:dLbl>
            <c:dLbl>
              <c:idx val="2"/>
              <c:layout>
                <c:manualLayout>
                  <c:x val="0"/>
                  <c:y val="-5.5555555555555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78-4EEB-ADF6-95BD6BC72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78-4EEB-ADF6-95BD6BC724DF}"/>
            </c:ext>
          </c:extLst>
        </c:ser>
        <c:ser>
          <c:idx val="1"/>
          <c:order val="1"/>
          <c:tx>
            <c:strRef>
              <c:f>'ManagementCollegeNo (2)'!$A$42</c:f>
              <c:strCache>
                <c:ptCount val="1"/>
                <c:pt idx="0">
                  <c:v>% Enrolment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186943620178060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78-4EEB-ADF6-95BD6BC724DF}"/>
                </c:ext>
              </c:extLst>
            </c:dLbl>
            <c:dLbl>
              <c:idx val="1"/>
              <c:layout>
                <c:manualLayout>
                  <c:x val="9.8911968348173191E-3"/>
                  <c:y val="-4.6296296296296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78-4EEB-ADF6-95BD6BC724DF}"/>
                </c:ext>
              </c:extLst>
            </c:dLbl>
            <c:dLbl>
              <c:idx val="2"/>
              <c:layout>
                <c:manualLayout>
                  <c:x val="9.8911968348173816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978-4EEB-ADF6-95BD6BC72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(2)'!$B$42:$D$42</c:f>
              <c:numCache>
                <c:formatCode>0.0</c:formatCode>
                <c:ptCount val="3"/>
                <c:pt idx="0">
                  <c:v>37.020716588195</c:v>
                </c:pt>
                <c:pt idx="1">
                  <c:v>23.781242219635931</c:v>
                </c:pt>
                <c:pt idx="2">
                  <c:v>39.198041192169065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78-4EEB-ADF6-95BD6BC72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96556256"/>
        <c:axId val="343012840"/>
        <c:axId val="0"/>
      </c:bar3DChart>
      <c:catAx>
        <c:axId val="39655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43012840"/>
        <c:crosses val="autoZero"/>
        <c:auto val="1"/>
        <c:lblAlgn val="ctr"/>
        <c:lblOffset val="100"/>
        <c:noMultiLvlLbl val="0"/>
      </c:catAx>
      <c:valAx>
        <c:axId val="34301284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9655625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47194576197264326"/>
          <c:y val="5.6946847161346202E-2"/>
          <c:w val="0.30882911913239425"/>
          <c:h val="0.18880726116132679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232" l="0.70000000000000062" r="0.70000000000000062" t="0.7500000000000123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0-4405-A5C7-135F6DE3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144" l="0.70000000000000062" r="0.70000000000000062" t="0.750000000000011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81620633104019E-2"/>
          <c:y val="5.1941612561587247E-2"/>
          <c:w val="0.86533020346865264"/>
          <c:h val="0.89611677487681141"/>
        </c:manualLayout>
      </c:layout>
      <c:bubbleChart>
        <c:varyColors val="0"/>
        <c:ser>
          <c:idx val="0"/>
          <c:order val="0"/>
          <c:tx>
            <c:strRef>
              <c:f>'4CollegeIndicator (2)'!$D$2</c:f>
              <c:strCache>
                <c:ptCount val="1"/>
                <c:pt idx="0">
                  <c:v>Population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-0.15232722143864597"/>
                  <c:y val="0.1403508771929825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40-4DC0-BB05-C0F11BBDD7B7}"/>
                </c:ext>
              </c:extLst>
            </c:dLbl>
            <c:dLbl>
              <c:idx val="2"/>
              <c:layout>
                <c:manualLayout>
                  <c:x val="-3.7611659614480486E-2"/>
                  <c:y val="-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40-4DC0-BB05-C0F11BBDD7B7}"/>
                </c:ext>
              </c:extLst>
            </c:dLbl>
            <c:dLbl>
              <c:idx val="3"/>
              <c:layout>
                <c:manualLayout>
                  <c:x val="-0.10719322990127332"/>
                  <c:y val="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40-4DC0-BB05-C0F11BBDD7B7}"/>
                </c:ext>
              </c:extLst>
            </c:dLbl>
            <c:dLbl>
              <c:idx val="4"/>
              <c:layout>
                <c:manualLayout>
                  <c:x val="-0.10343206393982136"/>
                  <c:y val="-0.1543859649122807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40-4DC0-BB05-C0F11BBDD7B7}"/>
                </c:ext>
              </c:extLst>
            </c:dLbl>
            <c:dLbl>
              <c:idx val="5"/>
              <c:layout>
                <c:manualLayout>
                  <c:x val="-0.10719322990127332"/>
                  <c:y val="8.888852051388326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740-4DC0-BB05-C0F11BBDD7B7}"/>
                </c:ext>
              </c:extLst>
            </c:dLbl>
            <c:dLbl>
              <c:idx val="6"/>
              <c:layout>
                <c:manualLayout>
                  <c:x val="-9.2148566055477207E-2"/>
                  <c:y val="-0.1029239766081872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40-4DC0-BB05-C0F11BBDD7B7}"/>
                </c:ext>
              </c:extLst>
            </c:dLbl>
            <c:dLbl>
              <c:idx val="7"/>
              <c:layout>
                <c:manualLayout>
                  <c:x val="-8.4626234132581205E-2"/>
                  <c:y val="0.1122807017543859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40-4DC0-BB05-C0F11BBDD7B7}"/>
                </c:ext>
              </c:extLst>
            </c:dLbl>
            <c:dLbl>
              <c:idx val="8"/>
              <c:layout>
                <c:manualLayout>
                  <c:x val="-8.086506817113627E-2"/>
                  <c:y val="-0.13567251461987784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40-4DC0-BB05-C0F11BBDD7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(2)'!$C$3:$C$11</c:f>
              <c:strCache>
                <c:ptCount val="9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West Bengal</c:v>
                </c:pt>
                <c:pt idx="4">
                  <c:v>Andhra Pradesh</c:v>
                </c:pt>
                <c:pt idx="5">
                  <c:v>Madhya Pradesh</c:v>
                </c:pt>
                <c:pt idx="6">
                  <c:v>Rajasthan</c:v>
                </c:pt>
                <c:pt idx="7">
                  <c:v>Tamil Nadu</c:v>
                </c:pt>
                <c:pt idx="8">
                  <c:v>Karnataka</c:v>
                </c:pt>
              </c:strCache>
            </c:strRef>
          </c:xVal>
          <c:yVal>
            <c:numRef>
              <c:f>'4CollegeIndicator (2)'!$D$3:$D$11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bubbleSize>
            <c:numRef>
              <c:f>'4CollegeIndicator (2)'!$E$3:$E$11</c:f>
              <c:numCache>
                <c:formatCode>General</c:formatCode>
                <c:ptCount val="9"/>
                <c:pt idx="0">
                  <c:v>4049</c:v>
                </c:pt>
                <c:pt idx="1">
                  <c:v>4512</c:v>
                </c:pt>
                <c:pt idx="2">
                  <c:v>629</c:v>
                </c:pt>
                <c:pt idx="3">
                  <c:v>857</c:v>
                </c:pt>
                <c:pt idx="4">
                  <c:v>4780</c:v>
                </c:pt>
                <c:pt idx="5">
                  <c:v>2009</c:v>
                </c:pt>
                <c:pt idx="6">
                  <c:v>2435</c:v>
                </c:pt>
                <c:pt idx="7">
                  <c:v>1985</c:v>
                </c:pt>
                <c:pt idx="8">
                  <c:v>3098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1740-4DC0-BB05-C0F11BBDD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16105920"/>
        <c:axId val="396565632"/>
      </c:bubbleChart>
      <c:valAx>
        <c:axId val="416105920"/>
        <c:scaling>
          <c:orientation val="minMax"/>
          <c:max val="10"/>
          <c:min val="0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96565632"/>
        <c:crosses val="autoZero"/>
        <c:crossBetween val="midCat"/>
      </c:valAx>
      <c:valAx>
        <c:axId val="396565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16105920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6.9189165176637858E-3"/>
                <c:y val="0.15942717686605318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  <c:spPr>
        <a:ln>
          <a:solidFill>
            <a:srgbClr val="8064A2">
              <a:lumMod val="75000"/>
            </a:srgbClr>
          </a:solidFill>
        </a:ln>
      </c:spPr>
    </c:plotArea>
    <c:plotVisOnly val="1"/>
    <c:dispBlanksAs val="gap"/>
    <c:showDLblsOverMax val="0"/>
  </c:chart>
  <c:printSettings>
    <c:headerFooter/>
    <c:pageMargins b="0.75000000000001033" l="0.70000000000000062" r="0.70000000000000062" t="0.750000000000010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ubbleChart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0.17777777777777778"/>
                  <c:y val="-0.1309941520467839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A7-4D82-8F43-1E89AD2C68F7}"/>
                </c:ext>
              </c:extLst>
            </c:dLbl>
            <c:dLbl>
              <c:idx val="2"/>
              <c:layout>
                <c:manualLayout>
                  <c:x val="-0.10555555555555562"/>
                  <c:y val="9.824561403508773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7-4D82-8F43-1E89AD2C68F7}"/>
                </c:ext>
              </c:extLst>
            </c:dLbl>
            <c:dLbl>
              <c:idx val="3"/>
              <c:layout>
                <c:manualLayout>
                  <c:x val="-1.3888888888889223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A7-4D82-8F43-1E89AD2C68F7}"/>
                </c:ext>
              </c:extLst>
            </c:dLbl>
            <c:dLbl>
              <c:idx val="4"/>
              <c:layout>
                <c:manualLayout>
                  <c:x val="-6.1111111111111123E-2"/>
                  <c:y val="-0.1590643274853844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A7-4D82-8F43-1E89AD2C6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(2)'!$C$8:$C$15</c:f>
              <c:strCache>
                <c:ptCount val="8"/>
                <c:pt idx="0">
                  <c:v>Madhya Pradesh</c:v>
                </c:pt>
                <c:pt idx="1">
                  <c:v>Rajasthan</c:v>
                </c:pt>
                <c:pt idx="2">
                  <c:v>Tamil Nadu</c:v>
                </c:pt>
                <c:pt idx="3">
                  <c:v>Karnataka</c:v>
                </c:pt>
                <c:pt idx="4">
                  <c:v>Gujarat</c:v>
                </c:pt>
                <c:pt idx="5">
                  <c:v>Odisha</c:v>
                </c:pt>
                <c:pt idx="6">
                  <c:v>Jharkhand</c:v>
                </c:pt>
                <c:pt idx="7">
                  <c:v>Assam</c:v>
                </c:pt>
              </c:strCache>
            </c:strRef>
          </c:xVal>
          <c:yVal>
            <c:numRef>
              <c:f>'4CollegeIndicator (2)'!$D$8:$D$15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bubbleSize>
            <c:numRef>
              <c:f>'4CollegeIndicator (2)'!$E$8:$E$15</c:f>
              <c:numCache>
                <c:formatCode>General</c:formatCode>
                <c:ptCount val="8"/>
                <c:pt idx="0">
                  <c:v>2009</c:v>
                </c:pt>
                <c:pt idx="1">
                  <c:v>2435</c:v>
                </c:pt>
                <c:pt idx="2">
                  <c:v>1985</c:v>
                </c:pt>
                <c:pt idx="3">
                  <c:v>3098</c:v>
                </c:pt>
                <c:pt idx="4">
                  <c:v>1815</c:v>
                </c:pt>
                <c:pt idx="5">
                  <c:v>1089</c:v>
                </c:pt>
                <c:pt idx="6">
                  <c:v>187</c:v>
                </c:pt>
                <c:pt idx="7">
                  <c:v>485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40A7-4D82-8F43-1E89AD2C6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95929712"/>
        <c:axId val="495934808"/>
      </c:bubbleChart>
      <c:valAx>
        <c:axId val="495929712"/>
        <c:scaling>
          <c:orientation val="minMax"/>
        </c:scaling>
        <c:delete val="1"/>
        <c:axPos val="b"/>
        <c:majorTickMark val="out"/>
        <c:minorTickMark val="none"/>
        <c:tickLblPos val="nextTo"/>
        <c:crossAx val="495934808"/>
        <c:crosses val="autoZero"/>
        <c:crossBetween val="midCat"/>
      </c:valAx>
      <c:valAx>
        <c:axId val="495934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95929712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3.888888888888889E-2"/>
                <c:y val="0.19685407745084488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StandaloneMgt!$A$7</c:f>
              <c:strCache>
                <c:ptCount val="1"/>
                <c:pt idx="0">
                  <c:v>Private</c:v>
                </c:pt>
              </c:strCache>
            </c:strRef>
          </c:tx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StandaloneMgt!$B$7:$E$7</c:f>
              <c:numCache>
                <c:formatCode>General</c:formatCode>
                <c:ptCount val="4"/>
                <c:pt idx="0">
                  <c:v>1426</c:v>
                </c:pt>
                <c:pt idx="1">
                  <c:v>2130</c:v>
                </c:pt>
                <c:pt idx="2">
                  <c:v>742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F-4E35-A512-F0DF25A774B1}"/>
            </c:ext>
          </c:extLst>
        </c:ser>
        <c:ser>
          <c:idx val="1"/>
          <c:order val="1"/>
          <c:tx>
            <c:strRef>
              <c:f>StandaloneMgt!$A$8</c:f>
              <c:strCache>
                <c:ptCount val="1"/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StandaloneMgt!$B$8:$E$8</c:f>
              <c:numCache>
                <c:formatCode>General</c:formatCode>
                <c:ptCount val="4"/>
                <c:pt idx="0">
                  <c:v>555</c:v>
                </c:pt>
                <c:pt idx="1">
                  <c:v>666</c:v>
                </c:pt>
                <c:pt idx="2">
                  <c:v>131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F-4E35-A512-F0DF25A77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5934024"/>
        <c:axId val="495934416"/>
        <c:axId val="0"/>
      </c:bar3DChart>
      <c:catAx>
        <c:axId val="495934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95934416"/>
        <c:crosses val="autoZero"/>
        <c:auto val="1"/>
        <c:lblAlgn val="ctr"/>
        <c:lblOffset val="100"/>
        <c:noMultiLvlLbl val="0"/>
      </c:catAx>
      <c:valAx>
        <c:axId val="49593441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495934024"/>
        <c:crosses val="autoZero"/>
        <c:crossBetween val="between"/>
      </c:valAx>
    </c:plotArea>
    <c:legend>
      <c:legendPos val="r"/>
      <c:legendEntry>
        <c:idx val="0"/>
        <c:delete val="1"/>
      </c:legendEntry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3</xdr:col>
      <xdr:colOff>171450</xdr:colOff>
      <xdr:row>53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40</xdr:row>
      <xdr:rowOff>152400</xdr:rowOff>
    </xdr:from>
    <xdr:to>
      <xdr:col>8</xdr:col>
      <xdr:colOff>762000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304800</xdr:rowOff>
    </xdr:from>
    <xdr:to>
      <xdr:col>17</xdr:col>
      <xdr:colOff>76201</xdr:colOff>
      <xdr:row>11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12</xdr:row>
      <xdr:rowOff>133350</xdr:rowOff>
    </xdr:from>
    <xdr:to>
      <xdr:col>14</xdr:col>
      <xdr:colOff>180975</xdr:colOff>
      <xdr:row>26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6</xdr:row>
      <xdr:rowOff>47625</xdr:rowOff>
    </xdr:from>
    <xdr:to>
      <xdr:col>13</xdr:col>
      <xdr:colOff>381000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KAS\Desktop\Ready\Enrolment\Tables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ISHE%20201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UniNo"/>
      <sheetName val="2CollegeIndicator"/>
      <sheetName val="3ManagementCollegeNo"/>
      <sheetName val="4TotalEnr"/>
      <sheetName val="4aTotalRegularEnr"/>
      <sheetName val="5UnivActwithConsUnit"/>
      <sheetName val="6CollegeAct"/>
      <sheetName val="7AllSAAct"/>
      <sheetName val="8CollegeEst"/>
      <sheetName val="9TotalEnrCategory"/>
      <sheetName val="11GER"/>
      <sheetName val="12GPI"/>
      <sheetName val="13TeacherCategory"/>
      <sheetName val="14TeacherPost"/>
      <sheetName val="14aTeacherPostEstimatedUC"/>
      <sheetName val="14bTeacherPostEstimatedU"/>
      <sheetName val="ManagementCollegeNo (2)"/>
      <sheetName val="WomenCollege"/>
      <sheetName val="15PTR"/>
      <sheetName val="16UnivEnrolinclConstituentUnits"/>
      <sheetName val="17TypeTeacherPostEstimated"/>
      <sheetName val="18TypePTR"/>
      <sheetName val="19pop2014"/>
      <sheetName val="StandAlone"/>
      <sheetName val="6aTotalDistanceEnr"/>
      <sheetName val="4CollegeIndicator (2)"/>
      <sheetName val="RespondingTypeCollege"/>
      <sheetName val="Paste"/>
      <sheetName val="StandaloneMgt"/>
    </sheetNames>
    <sheetDataSet>
      <sheetData sheetId="0" refreshError="1"/>
      <sheetData sheetId="1" refreshError="1"/>
      <sheetData sheetId="2" refreshError="1"/>
      <sheetData sheetId="3">
        <row r="41">
          <cell r="C41">
            <v>69585</v>
          </cell>
        </row>
      </sheetData>
      <sheetData sheetId="4" refreshError="1"/>
      <sheetData sheetId="5" refreshError="1"/>
      <sheetData sheetId="6">
        <row r="2">
          <cell r="A2" t="str">
            <v>Sl No</v>
          </cell>
        </row>
      </sheetData>
      <sheetData sheetId="7" refreshError="1"/>
      <sheetData sheetId="8" refreshError="1"/>
      <sheetData sheetId="9" refreshError="1"/>
      <sheetData sheetId="10">
        <row r="4">
          <cell r="C4">
            <v>30.449172576832151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B5" t="str">
            <v>Andaman &amp; Nicobar Islands</v>
          </cell>
          <cell r="E5">
            <v>44990</v>
          </cell>
        </row>
        <row r="6">
          <cell r="B6" t="str">
            <v>Andhra Pradesh</v>
          </cell>
          <cell r="E6">
            <v>5708890</v>
          </cell>
        </row>
        <row r="7">
          <cell r="B7" t="str">
            <v>Arunachal Pradesh</v>
          </cell>
          <cell r="E7">
            <v>164130</v>
          </cell>
        </row>
        <row r="8">
          <cell r="B8" t="str">
            <v>Assam</v>
          </cell>
          <cell r="E8">
            <v>3663803</v>
          </cell>
        </row>
        <row r="9">
          <cell r="B9" t="str">
            <v>Bihar</v>
          </cell>
          <cell r="E9">
            <v>10809554</v>
          </cell>
        </row>
        <row r="10">
          <cell r="B10" t="str">
            <v>Chandigarh</v>
          </cell>
          <cell r="E10">
            <v>159472</v>
          </cell>
        </row>
        <row r="11">
          <cell r="B11" t="str">
            <v>Chhattisgarh</v>
          </cell>
          <cell r="E11">
            <v>3041060</v>
          </cell>
        </row>
        <row r="12">
          <cell r="B12" t="str">
            <v>Dadra &amp; Nagar Haveli</v>
          </cell>
          <cell r="E12">
            <v>55834</v>
          </cell>
        </row>
        <row r="13">
          <cell r="B13" t="str">
            <v>Daman &amp; Diu</v>
          </cell>
          <cell r="E13">
            <v>49980</v>
          </cell>
        </row>
        <row r="14">
          <cell r="B14" t="str">
            <v>Delhi</v>
          </cell>
          <cell r="E14">
            <v>2177801</v>
          </cell>
        </row>
        <row r="15">
          <cell r="B15" t="str">
            <v>Goa</v>
          </cell>
          <cell r="E15">
            <v>163579</v>
          </cell>
        </row>
        <row r="16">
          <cell r="B16" t="str">
            <v>Gujarat</v>
          </cell>
          <cell r="E16">
            <v>7151245</v>
          </cell>
        </row>
        <row r="17">
          <cell r="B17" t="str">
            <v>Haryana</v>
          </cell>
          <cell r="E17">
            <v>3185283</v>
          </cell>
        </row>
        <row r="18">
          <cell r="B18" t="str">
            <v>Himachal Pradesh</v>
          </cell>
          <cell r="E18">
            <v>762873</v>
          </cell>
        </row>
        <row r="19">
          <cell r="B19" t="str">
            <v>Jammu and Kashmir</v>
          </cell>
          <cell r="E19">
            <v>1384487</v>
          </cell>
        </row>
        <row r="20">
          <cell r="B20" t="str">
            <v>Jharkhand</v>
          </cell>
          <cell r="E20">
            <v>3673012</v>
          </cell>
        </row>
        <row r="21">
          <cell r="B21" t="str">
            <v>Karnataka</v>
          </cell>
          <cell r="E21">
            <v>7261785</v>
          </cell>
        </row>
        <row r="22">
          <cell r="B22" t="str">
            <v>Kerala</v>
          </cell>
          <cell r="E22">
            <v>3110141</v>
          </cell>
        </row>
        <row r="23">
          <cell r="B23" t="str">
            <v>Lakshadweep</v>
          </cell>
          <cell r="E23">
            <v>6836</v>
          </cell>
        </row>
        <row r="24">
          <cell r="B24" t="str">
            <v>Madhya Pradesh</v>
          </cell>
          <cell r="E24">
            <v>8668523</v>
          </cell>
        </row>
        <row r="25">
          <cell r="B25" t="str">
            <v>Maharastra</v>
          </cell>
          <cell r="E25">
            <v>13408302</v>
          </cell>
        </row>
        <row r="26">
          <cell r="B26" t="str">
            <v>Manipur</v>
          </cell>
          <cell r="E26">
            <v>294476</v>
          </cell>
        </row>
        <row r="27">
          <cell r="B27" t="str">
            <v>Meghalaya</v>
          </cell>
          <cell r="E27">
            <v>348770</v>
          </cell>
        </row>
        <row r="28">
          <cell r="B28" t="str">
            <v>Mizoram</v>
          </cell>
          <cell r="E28">
            <v>132235</v>
          </cell>
        </row>
        <row r="29">
          <cell r="B29" t="str">
            <v>Nagaland</v>
          </cell>
          <cell r="E29">
            <v>250759</v>
          </cell>
        </row>
        <row r="30">
          <cell r="B30" t="str">
            <v>Odisha</v>
          </cell>
          <cell r="E30">
            <v>4685815</v>
          </cell>
        </row>
        <row r="31">
          <cell r="B31" t="str">
            <v>Puducherry</v>
          </cell>
          <cell r="E31">
            <v>141160</v>
          </cell>
        </row>
        <row r="32">
          <cell r="B32" t="str">
            <v>Punjab</v>
          </cell>
          <cell r="E32">
            <v>3334425</v>
          </cell>
        </row>
        <row r="33">
          <cell r="B33" t="str">
            <v>Rajasthan</v>
          </cell>
          <cell r="E33">
            <v>8485724</v>
          </cell>
        </row>
        <row r="34">
          <cell r="B34" t="str">
            <v>Sikkim</v>
          </cell>
          <cell r="E34">
            <v>79667</v>
          </cell>
        </row>
        <row r="35">
          <cell r="B35" t="str">
            <v>Tamil Nadu</v>
          </cell>
          <cell r="E35">
            <v>7531180</v>
          </cell>
        </row>
        <row r="36">
          <cell r="B36" t="str">
            <v>Telangana</v>
          </cell>
          <cell r="E36">
            <v>4134704</v>
          </cell>
        </row>
        <row r="37">
          <cell r="B37" t="str">
            <v>Tripura</v>
          </cell>
          <cell r="E37">
            <v>444191</v>
          </cell>
        </row>
        <row r="38">
          <cell r="B38" t="str">
            <v>Uttar Pradesh</v>
          </cell>
          <cell r="E38">
            <v>24111792</v>
          </cell>
        </row>
        <row r="39">
          <cell r="B39" t="str">
            <v>Uttaranchal</v>
          </cell>
          <cell r="E39">
            <v>1233427</v>
          </cell>
        </row>
        <row r="40">
          <cell r="B40" t="str">
            <v>West Bengal</v>
          </cell>
          <cell r="E40">
            <v>10941621</v>
          </cell>
        </row>
      </sheetData>
      <sheetData sheetId="23">
        <row r="41">
          <cell r="E41">
            <v>243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UniNo"/>
      <sheetName val="1InsResponse"/>
      <sheetName val="2University-Specialisation"/>
      <sheetName val="3Collegerange"/>
      <sheetName val="4CollegeIndicator"/>
      <sheetName val="4aCollegeSpec"/>
      <sheetName val="5ManagementCollegeNo"/>
      <sheetName val="6TotalEnr"/>
      <sheetName val="6aTotalRegularEnr"/>
      <sheetName val="6aTotalDistanceEnr"/>
      <sheetName val="7UnivActwithConsUnit"/>
      <sheetName val="8CollegeAct"/>
      <sheetName val="9AllSAAct"/>
      <sheetName val="SAIEnrol"/>
      <sheetName val="10CollegeEst"/>
      <sheetName val="11Programme"/>
      <sheetName val="11aProgrammeDistance "/>
      <sheetName val="12UGDisc "/>
      <sheetName val="13PGDisc"/>
      <sheetName val="14TotalEnrCategory"/>
      <sheetName val="16FS-countrylevel"/>
      <sheetName val="17FS-statelevel"/>
      <sheetName val="18FS-prog"/>
      <sheetName val="19GER"/>
      <sheetName val="ManagementCollegeNo (2)"/>
      <sheetName val="WomenCollege"/>
      <sheetName val="20GPI"/>
      <sheetName val="21TeacherCategory"/>
      <sheetName val="22TeacherPost"/>
      <sheetName val="22aTeacherPostUC"/>
      <sheetName val="22bTeacherPostU"/>
      <sheetName val="23StaffPost"/>
      <sheetName val="24StaffCategory"/>
      <sheetName val="25PTR"/>
      <sheetName val="26UnivEnrolinclConstituentU"/>
      <sheetName val="27TypeEnrolmentCategory-Est"/>
      <sheetName val="29TypeTeacherPostEstimated"/>
      <sheetName val="30TypeTeacherCategoryEstimated"/>
      <sheetName val="31Hostelstate "/>
      <sheetName val="32TypeHostel"/>
      <sheetName val="33OutTurnState"/>
      <sheetName val="34OutTurn Prog "/>
      <sheetName val="35UGDisc"/>
      <sheetName val="36 PGDisc "/>
      <sheetName val="37CollegeTypeNo"/>
      <sheetName val="38pop2016"/>
      <sheetName val="39TypeStateUnivwithConsUnit"/>
      <sheetName val="40NoUni"/>
      <sheetName val="41NoUniType"/>
      <sheetName val="42CollegeIndicator"/>
      <sheetName val="43ENRLT"/>
      <sheetName val="44ENRLR"/>
      <sheetName val="45EnrlCategory"/>
      <sheetName val="46EnrlMinority"/>
      <sheetName val="47GER "/>
      <sheetName val="48GPI"/>
      <sheetName val="49PTR"/>
      <sheetName val="50LevelEnrlUniType"/>
      <sheetName val="51PostTeacher"/>
      <sheetName val="52Pop"/>
      <sheetName val="4CollegeIndicator (2)"/>
      <sheetName val="RespondingTypeCollege"/>
      <sheetName val="Paste"/>
      <sheetName val="StandaloneMgt"/>
      <sheetName val="1UniN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Table 7.</v>
          </cell>
          <cell r="N1" t="str">
            <v>Enrolment in Universities teaching departments and its Constituent Units/Off-campus Centres</v>
          </cell>
          <cell r="W1" t="str">
            <v>Enrolment in Universities teaching departments and its Constituent Units/Off-campus Centres</v>
          </cell>
        </row>
        <row r="2">
          <cell r="B2" t="str">
            <v>State/UTs</v>
          </cell>
          <cell r="D2">
            <v>0</v>
          </cell>
          <cell r="E2" t="str">
            <v>Ph.D.</v>
          </cell>
          <cell r="F2">
            <v>0</v>
          </cell>
          <cell r="G2">
            <v>0</v>
          </cell>
          <cell r="H2" t="str">
            <v>M.Phil.</v>
          </cell>
          <cell r="I2">
            <v>0</v>
          </cell>
          <cell r="J2">
            <v>0</v>
          </cell>
          <cell r="K2" t="str">
            <v>Post Graduate</v>
          </cell>
          <cell r="L2">
            <v>0</v>
          </cell>
          <cell r="M2">
            <v>0</v>
          </cell>
          <cell r="N2" t="str">
            <v>Under Graduate</v>
          </cell>
          <cell r="O2">
            <v>0</v>
          </cell>
          <cell r="P2">
            <v>0</v>
          </cell>
          <cell r="Q2" t="str">
            <v>PG Diploma</v>
          </cell>
          <cell r="R2">
            <v>0</v>
          </cell>
          <cell r="S2">
            <v>0</v>
          </cell>
          <cell r="T2" t="str">
            <v>Diploma</v>
          </cell>
          <cell r="U2">
            <v>0</v>
          </cell>
          <cell r="V2">
            <v>0</v>
          </cell>
          <cell r="W2" t="str">
            <v>Certificate</v>
          </cell>
          <cell r="X2">
            <v>0</v>
          </cell>
          <cell r="Y2">
            <v>0</v>
          </cell>
          <cell r="Z2" t="str">
            <v>Integrated</v>
          </cell>
          <cell r="AA2">
            <v>0</v>
          </cell>
        </row>
        <row r="3">
          <cell r="B3">
            <v>0</v>
          </cell>
          <cell r="D3" t="str">
            <v>Responding</v>
          </cell>
          <cell r="E3" t="str">
            <v>Male</v>
          </cell>
          <cell r="F3" t="str">
            <v>Female</v>
          </cell>
          <cell r="G3" t="str">
            <v>Total</v>
          </cell>
          <cell r="H3" t="str">
            <v>Male</v>
          </cell>
          <cell r="I3" t="str">
            <v>Female</v>
          </cell>
          <cell r="J3" t="str">
            <v>Total</v>
          </cell>
          <cell r="K3" t="str">
            <v>Male</v>
          </cell>
          <cell r="L3" t="str">
            <v>Female</v>
          </cell>
          <cell r="M3" t="str">
            <v>Total</v>
          </cell>
          <cell r="N3" t="str">
            <v>Male</v>
          </cell>
          <cell r="O3" t="str">
            <v>Female</v>
          </cell>
          <cell r="P3" t="str">
            <v>Total</v>
          </cell>
          <cell r="Q3" t="str">
            <v>Male</v>
          </cell>
          <cell r="R3" t="str">
            <v>Female</v>
          </cell>
          <cell r="S3" t="str">
            <v>Total</v>
          </cell>
          <cell r="T3" t="str">
            <v>Male</v>
          </cell>
          <cell r="U3" t="str">
            <v>Female</v>
          </cell>
          <cell r="V3" t="str">
            <v>Total</v>
          </cell>
          <cell r="W3" t="str">
            <v>Male</v>
          </cell>
          <cell r="X3" t="str">
            <v>Female</v>
          </cell>
          <cell r="Y3" t="str">
            <v>Total</v>
          </cell>
          <cell r="Z3" t="str">
            <v>Male</v>
          </cell>
          <cell r="AA3" t="str">
            <v>Female</v>
          </cell>
        </row>
        <row r="4">
          <cell r="B4">
            <v>2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J4">
            <v>10</v>
          </cell>
          <cell r="K4">
            <v>11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  <cell r="X4">
            <v>24</v>
          </cell>
          <cell r="Y4">
            <v>25</v>
          </cell>
          <cell r="Z4">
            <v>26</v>
          </cell>
          <cell r="AA4">
            <v>27</v>
          </cell>
        </row>
        <row r="5">
          <cell r="B5" t="str">
            <v>Andaman and Nicobar Islands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502</v>
          </cell>
          <cell r="L5">
            <v>686</v>
          </cell>
          <cell r="M5">
            <v>1188</v>
          </cell>
          <cell r="N5">
            <v>1464</v>
          </cell>
          <cell r="O5">
            <v>1302</v>
          </cell>
          <cell r="P5">
            <v>2766</v>
          </cell>
          <cell r="Q5">
            <v>58</v>
          </cell>
          <cell r="R5">
            <v>40</v>
          </cell>
          <cell r="S5">
            <v>98</v>
          </cell>
          <cell r="T5">
            <v>17</v>
          </cell>
          <cell r="U5">
            <v>31</v>
          </cell>
          <cell r="V5">
            <v>48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B6" t="str">
            <v>Andhra Pradesh</v>
          </cell>
          <cell r="D6">
            <v>39</v>
          </cell>
          <cell r="E6">
            <v>2875</v>
          </cell>
          <cell r="F6">
            <v>2265</v>
          </cell>
          <cell r="G6">
            <v>5140</v>
          </cell>
          <cell r="H6">
            <v>73</v>
          </cell>
          <cell r="I6">
            <v>68</v>
          </cell>
          <cell r="J6">
            <v>141</v>
          </cell>
          <cell r="K6">
            <v>38271</v>
          </cell>
          <cell r="L6">
            <v>37614</v>
          </cell>
          <cell r="M6">
            <v>75885</v>
          </cell>
          <cell r="N6">
            <v>179720</v>
          </cell>
          <cell r="O6">
            <v>132311</v>
          </cell>
          <cell r="P6">
            <v>312031</v>
          </cell>
          <cell r="Q6">
            <v>688</v>
          </cell>
          <cell r="R6">
            <v>476</v>
          </cell>
          <cell r="S6">
            <v>1164</v>
          </cell>
          <cell r="T6">
            <v>591</v>
          </cell>
          <cell r="U6">
            <v>718</v>
          </cell>
          <cell r="V6">
            <v>1309</v>
          </cell>
          <cell r="W6">
            <v>2943</v>
          </cell>
          <cell r="X6">
            <v>4981</v>
          </cell>
          <cell r="Y6">
            <v>7924</v>
          </cell>
          <cell r="Z6">
            <v>2922</v>
          </cell>
          <cell r="AA6">
            <v>2038</v>
          </cell>
        </row>
        <row r="7">
          <cell r="B7" t="str">
            <v>Arunachal Pradesh</v>
          </cell>
          <cell r="D7">
            <v>10</v>
          </cell>
          <cell r="E7">
            <v>593</v>
          </cell>
          <cell r="F7">
            <v>459</v>
          </cell>
          <cell r="G7">
            <v>1052</v>
          </cell>
          <cell r="H7">
            <v>77</v>
          </cell>
          <cell r="I7">
            <v>113</v>
          </cell>
          <cell r="J7">
            <v>190</v>
          </cell>
          <cell r="K7">
            <v>4898</v>
          </cell>
          <cell r="L7">
            <v>5740</v>
          </cell>
          <cell r="M7">
            <v>10638</v>
          </cell>
          <cell r="N7">
            <v>10261</v>
          </cell>
          <cell r="O7">
            <v>8582</v>
          </cell>
          <cell r="P7">
            <v>18843</v>
          </cell>
          <cell r="Q7">
            <v>127</v>
          </cell>
          <cell r="R7">
            <v>144</v>
          </cell>
          <cell r="S7">
            <v>271</v>
          </cell>
          <cell r="T7">
            <v>739</v>
          </cell>
          <cell r="U7">
            <v>505</v>
          </cell>
          <cell r="V7">
            <v>1244</v>
          </cell>
          <cell r="W7">
            <v>299</v>
          </cell>
          <cell r="X7">
            <v>119</v>
          </cell>
          <cell r="Y7">
            <v>418</v>
          </cell>
          <cell r="Z7">
            <v>899</v>
          </cell>
          <cell r="AA7">
            <v>539</v>
          </cell>
        </row>
        <row r="8">
          <cell r="B8" t="str">
            <v>Assam</v>
          </cell>
          <cell r="D8">
            <v>26</v>
          </cell>
          <cell r="E8">
            <v>2935</v>
          </cell>
          <cell r="F8">
            <v>2146</v>
          </cell>
          <cell r="G8">
            <v>5081</v>
          </cell>
          <cell r="H8">
            <v>243</v>
          </cell>
          <cell r="I8">
            <v>345</v>
          </cell>
          <cell r="J8">
            <v>588</v>
          </cell>
          <cell r="K8">
            <v>23406</v>
          </cell>
          <cell r="L8">
            <v>33948</v>
          </cell>
          <cell r="M8">
            <v>57354</v>
          </cell>
          <cell r="N8">
            <v>44712</v>
          </cell>
          <cell r="O8">
            <v>28131</v>
          </cell>
          <cell r="P8">
            <v>72843</v>
          </cell>
          <cell r="Q8">
            <v>1279</v>
          </cell>
          <cell r="R8">
            <v>1064</v>
          </cell>
          <cell r="S8">
            <v>2343</v>
          </cell>
          <cell r="T8">
            <v>586</v>
          </cell>
          <cell r="U8">
            <v>826</v>
          </cell>
          <cell r="V8">
            <v>1412</v>
          </cell>
          <cell r="W8">
            <v>27</v>
          </cell>
          <cell r="X8">
            <v>29</v>
          </cell>
          <cell r="Y8">
            <v>56</v>
          </cell>
          <cell r="Z8">
            <v>1220</v>
          </cell>
          <cell r="AA8">
            <v>1032</v>
          </cell>
        </row>
        <row r="9">
          <cell r="B9" t="str">
            <v>Bihar</v>
          </cell>
          <cell r="D9">
            <v>35</v>
          </cell>
          <cell r="E9">
            <v>1635</v>
          </cell>
          <cell r="F9">
            <v>997</v>
          </cell>
          <cell r="G9">
            <v>2632</v>
          </cell>
          <cell r="H9">
            <v>55</v>
          </cell>
          <cell r="I9">
            <v>15</v>
          </cell>
          <cell r="J9">
            <v>70</v>
          </cell>
          <cell r="K9">
            <v>39522</v>
          </cell>
          <cell r="L9">
            <v>38672</v>
          </cell>
          <cell r="M9">
            <v>78194</v>
          </cell>
          <cell r="N9">
            <v>81226</v>
          </cell>
          <cell r="O9">
            <v>47700</v>
          </cell>
          <cell r="P9">
            <v>128926</v>
          </cell>
          <cell r="Q9">
            <v>1171</v>
          </cell>
          <cell r="R9">
            <v>496</v>
          </cell>
          <cell r="S9">
            <v>1667</v>
          </cell>
          <cell r="T9">
            <v>1548</v>
          </cell>
          <cell r="U9">
            <v>863</v>
          </cell>
          <cell r="V9">
            <v>2411</v>
          </cell>
          <cell r="W9">
            <v>470</v>
          </cell>
          <cell r="X9">
            <v>131</v>
          </cell>
          <cell r="Y9">
            <v>601</v>
          </cell>
          <cell r="Z9">
            <v>1212</v>
          </cell>
          <cell r="AA9">
            <v>657</v>
          </cell>
        </row>
        <row r="10">
          <cell r="B10" t="str">
            <v>Chandigarh</v>
          </cell>
          <cell r="D10">
            <v>3</v>
          </cell>
          <cell r="E10">
            <v>404</v>
          </cell>
          <cell r="F10">
            <v>491</v>
          </cell>
          <cell r="G10">
            <v>895</v>
          </cell>
          <cell r="H10">
            <v>140</v>
          </cell>
          <cell r="I10">
            <v>48</v>
          </cell>
          <cell r="J10">
            <v>188</v>
          </cell>
          <cell r="K10">
            <v>7131</v>
          </cell>
          <cell r="L10">
            <v>9284</v>
          </cell>
          <cell r="M10">
            <v>16415</v>
          </cell>
          <cell r="N10">
            <v>19364</v>
          </cell>
          <cell r="O10">
            <v>9704</v>
          </cell>
          <cell r="P10">
            <v>29068</v>
          </cell>
          <cell r="Q10">
            <v>838</v>
          </cell>
          <cell r="R10">
            <v>708</v>
          </cell>
          <cell r="S10">
            <v>1546</v>
          </cell>
          <cell r="T10">
            <v>370</v>
          </cell>
          <cell r="U10">
            <v>807</v>
          </cell>
          <cell r="V10">
            <v>1177</v>
          </cell>
          <cell r="W10">
            <v>419</v>
          </cell>
          <cell r="X10">
            <v>281</v>
          </cell>
          <cell r="Y10">
            <v>700</v>
          </cell>
          <cell r="Z10">
            <v>1081</v>
          </cell>
          <cell r="AA10">
            <v>1164</v>
          </cell>
        </row>
        <row r="11">
          <cell r="B11" t="str">
            <v>Chhattisgarh</v>
          </cell>
          <cell r="D11">
            <v>28</v>
          </cell>
          <cell r="E11">
            <v>651</v>
          </cell>
          <cell r="F11">
            <v>516</v>
          </cell>
          <cell r="G11">
            <v>1167</v>
          </cell>
          <cell r="H11">
            <v>109</v>
          </cell>
          <cell r="I11">
            <v>89</v>
          </cell>
          <cell r="J11">
            <v>198</v>
          </cell>
          <cell r="K11">
            <v>12638</v>
          </cell>
          <cell r="L11">
            <v>10869</v>
          </cell>
          <cell r="M11">
            <v>23507</v>
          </cell>
          <cell r="N11">
            <v>32223</v>
          </cell>
          <cell r="O11">
            <v>18333</v>
          </cell>
          <cell r="P11">
            <v>50556</v>
          </cell>
          <cell r="Q11">
            <v>9979</v>
          </cell>
          <cell r="R11">
            <v>9741</v>
          </cell>
          <cell r="S11">
            <v>19720</v>
          </cell>
          <cell r="T11">
            <v>18948</v>
          </cell>
          <cell r="U11">
            <v>13141</v>
          </cell>
          <cell r="V11">
            <v>32089</v>
          </cell>
          <cell r="W11">
            <v>47</v>
          </cell>
          <cell r="X11">
            <v>47</v>
          </cell>
          <cell r="Y11">
            <v>94</v>
          </cell>
          <cell r="Z11">
            <v>1485</v>
          </cell>
          <cell r="AA11">
            <v>1246</v>
          </cell>
        </row>
        <row r="12">
          <cell r="B12" t="str">
            <v>Dadra and Nagar Haveli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56</v>
          </cell>
          <cell r="L12">
            <v>62</v>
          </cell>
          <cell r="M12">
            <v>118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Daman and Diu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Delhi</v>
          </cell>
          <cell r="D14">
            <v>27</v>
          </cell>
          <cell r="E14">
            <v>8749</v>
          </cell>
          <cell r="F14">
            <v>7384</v>
          </cell>
          <cell r="G14">
            <v>16133</v>
          </cell>
          <cell r="H14">
            <v>650</v>
          </cell>
          <cell r="I14">
            <v>672</v>
          </cell>
          <cell r="J14">
            <v>1322</v>
          </cell>
          <cell r="K14">
            <v>60600</v>
          </cell>
          <cell r="L14">
            <v>91738</v>
          </cell>
          <cell r="M14">
            <v>152338</v>
          </cell>
          <cell r="N14">
            <v>338247</v>
          </cell>
          <cell r="O14">
            <v>287634</v>
          </cell>
          <cell r="P14">
            <v>625881</v>
          </cell>
          <cell r="Q14">
            <v>3908</v>
          </cell>
          <cell r="R14">
            <v>2868</v>
          </cell>
          <cell r="S14">
            <v>6776</v>
          </cell>
          <cell r="T14">
            <v>4441</v>
          </cell>
          <cell r="U14">
            <v>3074</v>
          </cell>
          <cell r="V14">
            <v>7515</v>
          </cell>
          <cell r="W14">
            <v>1694</v>
          </cell>
          <cell r="X14">
            <v>755</v>
          </cell>
          <cell r="Y14">
            <v>2449</v>
          </cell>
          <cell r="Z14">
            <v>2560</v>
          </cell>
          <cell r="AA14">
            <v>1136</v>
          </cell>
        </row>
        <row r="15">
          <cell r="B15" t="str">
            <v>Goa</v>
          </cell>
          <cell r="D15">
            <v>3</v>
          </cell>
          <cell r="E15">
            <v>150</v>
          </cell>
          <cell r="F15">
            <v>129</v>
          </cell>
          <cell r="G15">
            <v>279</v>
          </cell>
          <cell r="H15">
            <v>0</v>
          </cell>
          <cell r="I15">
            <v>2</v>
          </cell>
          <cell r="J15">
            <v>2</v>
          </cell>
          <cell r="K15">
            <v>1379</v>
          </cell>
          <cell r="L15">
            <v>2229</v>
          </cell>
          <cell r="M15">
            <v>3608</v>
          </cell>
          <cell r="N15">
            <v>2626</v>
          </cell>
          <cell r="O15">
            <v>1184</v>
          </cell>
          <cell r="P15">
            <v>3810</v>
          </cell>
          <cell r="Q15">
            <v>67</v>
          </cell>
          <cell r="R15">
            <v>68</v>
          </cell>
          <cell r="S15">
            <v>135</v>
          </cell>
          <cell r="T15">
            <v>27</v>
          </cell>
          <cell r="U15">
            <v>58</v>
          </cell>
          <cell r="V15">
            <v>85</v>
          </cell>
          <cell r="W15">
            <v>5</v>
          </cell>
          <cell r="X15">
            <v>4</v>
          </cell>
          <cell r="Y15">
            <v>9</v>
          </cell>
          <cell r="Z15">
            <v>82</v>
          </cell>
          <cell r="AA15">
            <v>50</v>
          </cell>
        </row>
        <row r="16">
          <cell r="B16" t="str">
            <v>Gujarat</v>
          </cell>
          <cell r="D16">
            <v>76</v>
          </cell>
          <cell r="E16">
            <v>3981</v>
          </cell>
          <cell r="F16">
            <v>2825</v>
          </cell>
          <cell r="G16">
            <v>6806</v>
          </cell>
          <cell r="H16">
            <v>305</v>
          </cell>
          <cell r="I16">
            <v>377</v>
          </cell>
          <cell r="J16">
            <v>682</v>
          </cell>
          <cell r="K16">
            <v>30934</v>
          </cell>
          <cell r="L16">
            <v>35180</v>
          </cell>
          <cell r="M16">
            <v>66114</v>
          </cell>
          <cell r="N16">
            <v>131699</v>
          </cell>
          <cell r="O16">
            <v>81926</v>
          </cell>
          <cell r="P16">
            <v>213625</v>
          </cell>
          <cell r="Q16">
            <v>2054</v>
          </cell>
          <cell r="R16">
            <v>1826</v>
          </cell>
          <cell r="S16">
            <v>3880</v>
          </cell>
          <cell r="T16">
            <v>10208</v>
          </cell>
          <cell r="U16">
            <v>4722</v>
          </cell>
          <cell r="V16">
            <v>14930</v>
          </cell>
          <cell r="W16">
            <v>2192</v>
          </cell>
          <cell r="X16">
            <v>3099</v>
          </cell>
          <cell r="Y16">
            <v>5291</v>
          </cell>
          <cell r="Z16">
            <v>5757</v>
          </cell>
          <cell r="AA16">
            <v>5383</v>
          </cell>
        </row>
        <row r="17">
          <cell r="B17" t="str">
            <v>Haryana</v>
          </cell>
          <cell r="D17">
            <v>51</v>
          </cell>
          <cell r="E17">
            <v>1644</v>
          </cell>
          <cell r="F17">
            <v>2071</v>
          </cell>
          <cell r="G17">
            <v>3715</v>
          </cell>
          <cell r="H17">
            <v>80</v>
          </cell>
          <cell r="I17">
            <v>219</v>
          </cell>
          <cell r="J17">
            <v>299</v>
          </cell>
          <cell r="K17">
            <v>27496</v>
          </cell>
          <cell r="L17">
            <v>36084</v>
          </cell>
          <cell r="M17">
            <v>63580</v>
          </cell>
          <cell r="N17">
            <v>124584</v>
          </cell>
          <cell r="O17">
            <v>62065</v>
          </cell>
          <cell r="P17">
            <v>186649</v>
          </cell>
          <cell r="Q17">
            <v>1231</v>
          </cell>
          <cell r="R17">
            <v>826</v>
          </cell>
          <cell r="S17">
            <v>2057</v>
          </cell>
          <cell r="T17">
            <v>2707</v>
          </cell>
          <cell r="U17">
            <v>773</v>
          </cell>
          <cell r="V17">
            <v>3480</v>
          </cell>
          <cell r="W17">
            <v>250</v>
          </cell>
          <cell r="X17">
            <v>162</v>
          </cell>
          <cell r="Y17">
            <v>412</v>
          </cell>
          <cell r="Z17">
            <v>6071</v>
          </cell>
          <cell r="AA17">
            <v>5251</v>
          </cell>
        </row>
        <row r="18">
          <cell r="B18" t="str">
            <v>Himachal Pradesh</v>
          </cell>
          <cell r="D18">
            <v>27</v>
          </cell>
          <cell r="E18">
            <v>1022</v>
          </cell>
          <cell r="F18">
            <v>895</v>
          </cell>
          <cell r="G18">
            <v>1917</v>
          </cell>
          <cell r="H18">
            <v>118</v>
          </cell>
          <cell r="I18">
            <v>214</v>
          </cell>
          <cell r="J18">
            <v>332</v>
          </cell>
          <cell r="K18">
            <v>10083</v>
          </cell>
          <cell r="L18">
            <v>10115</v>
          </cell>
          <cell r="M18">
            <v>20198</v>
          </cell>
          <cell r="N18">
            <v>36070</v>
          </cell>
          <cell r="O18">
            <v>25018</v>
          </cell>
          <cell r="P18">
            <v>61088</v>
          </cell>
          <cell r="Q18">
            <v>870</v>
          </cell>
          <cell r="R18">
            <v>843</v>
          </cell>
          <cell r="S18">
            <v>1713</v>
          </cell>
          <cell r="T18">
            <v>1400</v>
          </cell>
          <cell r="U18">
            <v>1020</v>
          </cell>
          <cell r="V18">
            <v>2420</v>
          </cell>
          <cell r="W18">
            <v>96</v>
          </cell>
          <cell r="X18">
            <v>74</v>
          </cell>
          <cell r="Y18">
            <v>170</v>
          </cell>
          <cell r="Z18">
            <v>933</v>
          </cell>
          <cell r="AA18">
            <v>466</v>
          </cell>
        </row>
        <row r="19">
          <cell r="B19" t="str">
            <v>Jammu and Kashmir</v>
          </cell>
          <cell r="D19">
            <v>15</v>
          </cell>
          <cell r="E19">
            <v>2018</v>
          </cell>
          <cell r="F19">
            <v>1822</v>
          </cell>
          <cell r="G19">
            <v>3840</v>
          </cell>
          <cell r="H19">
            <v>94</v>
          </cell>
          <cell r="I19">
            <v>149</v>
          </cell>
          <cell r="J19">
            <v>243</v>
          </cell>
          <cell r="K19">
            <v>26558</v>
          </cell>
          <cell r="L19">
            <v>32631</v>
          </cell>
          <cell r="M19">
            <v>59189</v>
          </cell>
          <cell r="N19">
            <v>50747</v>
          </cell>
          <cell r="O19">
            <v>32963</v>
          </cell>
          <cell r="P19">
            <v>83710</v>
          </cell>
          <cell r="Q19">
            <v>758</v>
          </cell>
          <cell r="R19">
            <v>510</v>
          </cell>
          <cell r="S19">
            <v>1268</v>
          </cell>
          <cell r="T19">
            <v>313</v>
          </cell>
          <cell r="U19">
            <v>370</v>
          </cell>
          <cell r="V19">
            <v>683</v>
          </cell>
          <cell r="W19">
            <v>58</v>
          </cell>
          <cell r="X19">
            <v>16</v>
          </cell>
          <cell r="Y19">
            <v>74</v>
          </cell>
          <cell r="Z19">
            <v>1146</v>
          </cell>
          <cell r="AA19">
            <v>1629</v>
          </cell>
        </row>
        <row r="20">
          <cell r="B20" t="str">
            <v>Jharkhand</v>
          </cell>
          <cell r="D20">
            <v>31</v>
          </cell>
          <cell r="E20">
            <v>2438</v>
          </cell>
          <cell r="F20">
            <v>1005</v>
          </cell>
          <cell r="G20">
            <v>3443</v>
          </cell>
          <cell r="H20">
            <v>8</v>
          </cell>
          <cell r="I20">
            <v>20</v>
          </cell>
          <cell r="J20">
            <v>28</v>
          </cell>
          <cell r="K20">
            <v>29945</v>
          </cell>
          <cell r="L20">
            <v>39137</v>
          </cell>
          <cell r="M20">
            <v>69082</v>
          </cell>
          <cell r="N20">
            <v>55139</v>
          </cell>
          <cell r="O20">
            <v>32305</v>
          </cell>
          <cell r="P20">
            <v>87444</v>
          </cell>
          <cell r="Q20">
            <v>1933</v>
          </cell>
          <cell r="R20">
            <v>943</v>
          </cell>
          <cell r="S20">
            <v>2876</v>
          </cell>
          <cell r="T20">
            <v>4354</v>
          </cell>
          <cell r="U20">
            <v>2546</v>
          </cell>
          <cell r="V20">
            <v>6900</v>
          </cell>
          <cell r="W20">
            <v>112</v>
          </cell>
          <cell r="X20">
            <v>106</v>
          </cell>
          <cell r="Y20">
            <v>218</v>
          </cell>
          <cell r="Z20">
            <v>1725</v>
          </cell>
          <cell r="AA20">
            <v>965</v>
          </cell>
        </row>
        <row r="21">
          <cell r="B21" t="str">
            <v>Karnataka</v>
          </cell>
          <cell r="D21">
            <v>69</v>
          </cell>
          <cell r="E21">
            <v>7501</v>
          </cell>
          <cell r="F21">
            <v>5943</v>
          </cell>
          <cell r="G21">
            <v>13444</v>
          </cell>
          <cell r="H21">
            <v>160</v>
          </cell>
          <cell r="I21">
            <v>368</v>
          </cell>
          <cell r="J21">
            <v>528</v>
          </cell>
          <cell r="K21">
            <v>53858</v>
          </cell>
          <cell r="L21">
            <v>65454</v>
          </cell>
          <cell r="M21">
            <v>119312</v>
          </cell>
          <cell r="N21">
            <v>115522</v>
          </cell>
          <cell r="O21">
            <v>89581</v>
          </cell>
          <cell r="P21">
            <v>205103</v>
          </cell>
          <cell r="Q21">
            <v>3173</v>
          </cell>
          <cell r="R21">
            <v>2128</v>
          </cell>
          <cell r="S21">
            <v>5301</v>
          </cell>
          <cell r="T21">
            <v>1198</v>
          </cell>
          <cell r="U21">
            <v>1124</v>
          </cell>
          <cell r="V21">
            <v>2322</v>
          </cell>
          <cell r="W21">
            <v>404</v>
          </cell>
          <cell r="X21">
            <v>364</v>
          </cell>
          <cell r="Y21">
            <v>768</v>
          </cell>
          <cell r="Z21">
            <v>3029</v>
          </cell>
          <cell r="AA21">
            <v>2252</v>
          </cell>
        </row>
        <row r="22">
          <cell r="B22" t="str">
            <v>Kerala</v>
          </cell>
          <cell r="D22">
            <v>23</v>
          </cell>
          <cell r="E22">
            <v>1842</v>
          </cell>
          <cell r="F22">
            <v>2666</v>
          </cell>
          <cell r="G22">
            <v>4508</v>
          </cell>
          <cell r="H22">
            <v>171</v>
          </cell>
          <cell r="I22">
            <v>553</v>
          </cell>
          <cell r="J22">
            <v>724</v>
          </cell>
          <cell r="K22">
            <v>24415</v>
          </cell>
          <cell r="L22">
            <v>38598</v>
          </cell>
          <cell r="M22">
            <v>63013</v>
          </cell>
          <cell r="N22">
            <v>124010</v>
          </cell>
          <cell r="O22">
            <v>113314</v>
          </cell>
          <cell r="P22">
            <v>237324</v>
          </cell>
          <cell r="Q22">
            <v>932</v>
          </cell>
          <cell r="R22">
            <v>812</v>
          </cell>
          <cell r="S22">
            <v>1744</v>
          </cell>
          <cell r="T22">
            <v>327</v>
          </cell>
          <cell r="U22">
            <v>555</v>
          </cell>
          <cell r="V22">
            <v>882</v>
          </cell>
          <cell r="W22">
            <v>960</v>
          </cell>
          <cell r="X22">
            <v>1990</v>
          </cell>
          <cell r="Y22">
            <v>2950</v>
          </cell>
          <cell r="Z22">
            <v>876</v>
          </cell>
          <cell r="AA22">
            <v>814</v>
          </cell>
        </row>
        <row r="23">
          <cell r="B23" t="str">
            <v>Ladakh</v>
          </cell>
          <cell r="D23">
            <v>1</v>
          </cell>
          <cell r="E23">
            <v>6</v>
          </cell>
          <cell r="F23">
            <v>2</v>
          </cell>
          <cell r="G23">
            <v>8</v>
          </cell>
          <cell r="H23">
            <v>0</v>
          </cell>
          <cell r="I23">
            <v>0</v>
          </cell>
          <cell r="J23">
            <v>0</v>
          </cell>
          <cell r="K23">
            <v>26</v>
          </cell>
          <cell r="L23">
            <v>28</v>
          </cell>
          <cell r="M23">
            <v>54</v>
          </cell>
          <cell r="N23">
            <v>77</v>
          </cell>
          <cell r="O23">
            <v>69</v>
          </cell>
          <cell r="P23">
            <v>146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57</v>
          </cell>
          <cell r="AA23">
            <v>98</v>
          </cell>
        </row>
        <row r="24">
          <cell r="B24" t="str">
            <v>Lakshadweep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26</v>
          </cell>
          <cell r="M24">
            <v>26</v>
          </cell>
          <cell r="N24">
            <v>133</v>
          </cell>
          <cell r="O24">
            <v>401</v>
          </cell>
          <cell r="P24">
            <v>534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Madhya Pradesh</v>
          </cell>
          <cell r="D25">
            <v>59</v>
          </cell>
          <cell r="E25">
            <v>2460</v>
          </cell>
          <cell r="F25">
            <v>1704</v>
          </cell>
          <cell r="G25">
            <v>4164</v>
          </cell>
          <cell r="H25">
            <v>365</v>
          </cell>
          <cell r="I25">
            <v>338</v>
          </cell>
          <cell r="J25">
            <v>703</v>
          </cell>
          <cell r="K25">
            <v>38474</v>
          </cell>
          <cell r="L25">
            <v>39614</v>
          </cell>
          <cell r="M25">
            <v>78088</v>
          </cell>
          <cell r="N25">
            <v>218008</v>
          </cell>
          <cell r="O25">
            <v>127514</v>
          </cell>
          <cell r="P25">
            <v>345522</v>
          </cell>
          <cell r="Q25">
            <v>13626</v>
          </cell>
          <cell r="R25">
            <v>16235</v>
          </cell>
          <cell r="S25">
            <v>29861</v>
          </cell>
          <cell r="T25">
            <v>36444</v>
          </cell>
          <cell r="U25">
            <v>19504</v>
          </cell>
          <cell r="V25">
            <v>55948</v>
          </cell>
          <cell r="W25">
            <v>1617</v>
          </cell>
          <cell r="X25">
            <v>457</v>
          </cell>
          <cell r="Y25">
            <v>2074</v>
          </cell>
          <cell r="Z25">
            <v>5732</v>
          </cell>
          <cell r="AA25">
            <v>3757</v>
          </cell>
        </row>
        <row r="26">
          <cell r="B26" t="str">
            <v>Maharashtra</v>
          </cell>
          <cell r="D26">
            <v>65</v>
          </cell>
          <cell r="E26">
            <v>5009</v>
          </cell>
          <cell r="F26">
            <v>3314</v>
          </cell>
          <cell r="G26">
            <v>8323</v>
          </cell>
          <cell r="H26">
            <v>604</v>
          </cell>
          <cell r="I26">
            <v>543</v>
          </cell>
          <cell r="J26">
            <v>1147</v>
          </cell>
          <cell r="K26">
            <v>105831</v>
          </cell>
          <cell r="L26">
            <v>103838</v>
          </cell>
          <cell r="M26">
            <v>209669</v>
          </cell>
          <cell r="N26">
            <v>444375</v>
          </cell>
          <cell r="O26">
            <v>247422</v>
          </cell>
          <cell r="P26">
            <v>691797</v>
          </cell>
          <cell r="Q26">
            <v>5823</v>
          </cell>
          <cell r="R26">
            <v>4747</v>
          </cell>
          <cell r="S26">
            <v>10570</v>
          </cell>
          <cell r="T26">
            <v>19373</v>
          </cell>
          <cell r="U26">
            <v>11936</v>
          </cell>
          <cell r="V26">
            <v>31309</v>
          </cell>
          <cell r="W26">
            <v>5256</v>
          </cell>
          <cell r="X26">
            <v>3351</v>
          </cell>
          <cell r="Y26">
            <v>8607</v>
          </cell>
          <cell r="Z26">
            <v>3341</v>
          </cell>
          <cell r="AA26">
            <v>2271</v>
          </cell>
        </row>
        <row r="27">
          <cell r="B27" t="str">
            <v>Manipur</v>
          </cell>
          <cell r="D27">
            <v>7</v>
          </cell>
          <cell r="E27">
            <v>538</v>
          </cell>
          <cell r="F27">
            <v>505</v>
          </cell>
          <cell r="G27">
            <v>1043</v>
          </cell>
          <cell r="H27">
            <v>0</v>
          </cell>
          <cell r="I27">
            <v>0</v>
          </cell>
          <cell r="J27">
            <v>0</v>
          </cell>
          <cell r="K27">
            <v>3935</v>
          </cell>
          <cell r="L27">
            <v>3771</v>
          </cell>
          <cell r="M27">
            <v>7706</v>
          </cell>
          <cell r="N27">
            <v>3582</v>
          </cell>
          <cell r="O27">
            <v>2589</v>
          </cell>
          <cell r="P27">
            <v>6171</v>
          </cell>
          <cell r="Q27">
            <v>105</v>
          </cell>
          <cell r="R27">
            <v>39</v>
          </cell>
          <cell r="S27">
            <v>144</v>
          </cell>
          <cell r="T27">
            <v>78</v>
          </cell>
          <cell r="U27">
            <v>69</v>
          </cell>
          <cell r="V27">
            <v>147</v>
          </cell>
          <cell r="W27">
            <v>44</v>
          </cell>
          <cell r="X27">
            <v>17</v>
          </cell>
          <cell r="Y27">
            <v>61</v>
          </cell>
          <cell r="Z27">
            <v>0</v>
          </cell>
          <cell r="AA27">
            <v>0</v>
          </cell>
        </row>
        <row r="28">
          <cell r="B28" t="str">
            <v>Meghalaya</v>
          </cell>
          <cell r="D28">
            <v>9</v>
          </cell>
          <cell r="E28">
            <v>492</v>
          </cell>
          <cell r="F28">
            <v>378</v>
          </cell>
          <cell r="G28">
            <v>870</v>
          </cell>
          <cell r="H28">
            <v>10</v>
          </cell>
          <cell r="I28">
            <v>23</v>
          </cell>
          <cell r="J28">
            <v>33</v>
          </cell>
          <cell r="K28">
            <v>4028</v>
          </cell>
          <cell r="L28">
            <v>5887</v>
          </cell>
          <cell r="M28">
            <v>9915</v>
          </cell>
          <cell r="N28">
            <v>5143</v>
          </cell>
          <cell r="O28">
            <v>4432</v>
          </cell>
          <cell r="P28">
            <v>9575</v>
          </cell>
          <cell r="Q28">
            <v>106</v>
          </cell>
          <cell r="R28">
            <v>58</v>
          </cell>
          <cell r="S28">
            <v>164</v>
          </cell>
          <cell r="T28">
            <v>153</v>
          </cell>
          <cell r="U28">
            <v>177</v>
          </cell>
          <cell r="V28">
            <v>330</v>
          </cell>
          <cell r="W28">
            <v>48</v>
          </cell>
          <cell r="X28">
            <v>48</v>
          </cell>
          <cell r="Y28">
            <v>96</v>
          </cell>
          <cell r="Z28">
            <v>70</v>
          </cell>
          <cell r="AA28">
            <v>52</v>
          </cell>
        </row>
        <row r="29">
          <cell r="B29" t="str">
            <v>Mizoram</v>
          </cell>
          <cell r="D29">
            <v>3</v>
          </cell>
          <cell r="E29">
            <v>474</v>
          </cell>
          <cell r="F29">
            <v>379</v>
          </cell>
          <cell r="G29">
            <v>853</v>
          </cell>
          <cell r="H29">
            <v>74</v>
          </cell>
          <cell r="I29">
            <v>74</v>
          </cell>
          <cell r="J29">
            <v>148</v>
          </cell>
          <cell r="K29">
            <v>1842</v>
          </cell>
          <cell r="L29">
            <v>2146</v>
          </cell>
          <cell r="M29">
            <v>3988</v>
          </cell>
          <cell r="N29">
            <v>3489</v>
          </cell>
          <cell r="O29">
            <v>2734</v>
          </cell>
          <cell r="P29">
            <v>6223</v>
          </cell>
          <cell r="Q29">
            <v>90</v>
          </cell>
          <cell r="R29">
            <v>113</v>
          </cell>
          <cell r="S29">
            <v>203</v>
          </cell>
          <cell r="T29">
            <v>27</v>
          </cell>
          <cell r="U29">
            <v>72</v>
          </cell>
          <cell r="V29">
            <v>99</v>
          </cell>
          <cell r="W29">
            <v>0</v>
          </cell>
          <cell r="X29">
            <v>0</v>
          </cell>
          <cell r="Y29">
            <v>0</v>
          </cell>
          <cell r="Z29">
            <v>47</v>
          </cell>
          <cell r="AA29">
            <v>26</v>
          </cell>
        </row>
        <row r="30">
          <cell r="B30" t="str">
            <v>Nagaland</v>
          </cell>
          <cell r="D30">
            <v>5</v>
          </cell>
          <cell r="E30">
            <v>265</v>
          </cell>
          <cell r="F30">
            <v>306</v>
          </cell>
          <cell r="G30">
            <v>571</v>
          </cell>
          <cell r="H30">
            <v>10</v>
          </cell>
          <cell r="I30">
            <v>28</v>
          </cell>
          <cell r="J30">
            <v>38</v>
          </cell>
          <cell r="K30">
            <v>1792</v>
          </cell>
          <cell r="L30">
            <v>3096</v>
          </cell>
          <cell r="M30">
            <v>4888</v>
          </cell>
          <cell r="N30">
            <v>2064</v>
          </cell>
          <cell r="O30">
            <v>1587</v>
          </cell>
          <cell r="P30">
            <v>3651</v>
          </cell>
          <cell r="Q30">
            <v>46</v>
          </cell>
          <cell r="R30">
            <v>89</v>
          </cell>
          <cell r="S30">
            <v>135</v>
          </cell>
          <cell r="T30">
            <v>15</v>
          </cell>
          <cell r="U30">
            <v>64</v>
          </cell>
          <cell r="V30">
            <v>79</v>
          </cell>
          <cell r="W30">
            <v>5</v>
          </cell>
          <cell r="X30">
            <v>3</v>
          </cell>
          <cell r="Y30">
            <v>8</v>
          </cell>
          <cell r="Z30">
            <v>6</v>
          </cell>
          <cell r="AA30">
            <v>0</v>
          </cell>
        </row>
        <row r="31">
          <cell r="B31" t="str">
            <v>Odisha</v>
          </cell>
          <cell r="D31">
            <v>32</v>
          </cell>
          <cell r="E31">
            <v>1871</v>
          </cell>
          <cell r="F31">
            <v>1321</v>
          </cell>
          <cell r="G31">
            <v>3192</v>
          </cell>
          <cell r="H31">
            <v>356</v>
          </cell>
          <cell r="I31">
            <v>521</v>
          </cell>
          <cell r="J31">
            <v>877</v>
          </cell>
          <cell r="K31">
            <v>25224</v>
          </cell>
          <cell r="L31">
            <v>31077</v>
          </cell>
          <cell r="M31">
            <v>56301</v>
          </cell>
          <cell r="N31">
            <v>50915</v>
          </cell>
          <cell r="O31">
            <v>43480</v>
          </cell>
          <cell r="P31">
            <v>94395</v>
          </cell>
          <cell r="Q31">
            <v>1149</v>
          </cell>
          <cell r="R31">
            <v>517</v>
          </cell>
          <cell r="S31">
            <v>1666</v>
          </cell>
          <cell r="T31">
            <v>1593</v>
          </cell>
          <cell r="U31">
            <v>563</v>
          </cell>
          <cell r="V31">
            <v>2156</v>
          </cell>
          <cell r="W31">
            <v>93</v>
          </cell>
          <cell r="X31">
            <v>137</v>
          </cell>
          <cell r="Y31">
            <v>230</v>
          </cell>
          <cell r="Z31">
            <v>2303</v>
          </cell>
          <cell r="AA31">
            <v>2058</v>
          </cell>
        </row>
        <row r="32">
          <cell r="B32" t="str">
            <v>Puducherry</v>
          </cell>
          <cell r="D32">
            <v>4</v>
          </cell>
          <cell r="E32">
            <v>245</v>
          </cell>
          <cell r="F32">
            <v>145</v>
          </cell>
          <cell r="G32">
            <v>390</v>
          </cell>
          <cell r="H32">
            <v>14</v>
          </cell>
          <cell r="I32">
            <v>6</v>
          </cell>
          <cell r="J32">
            <v>20</v>
          </cell>
          <cell r="K32">
            <v>10276</v>
          </cell>
          <cell r="L32">
            <v>9211</v>
          </cell>
          <cell r="M32">
            <v>19487</v>
          </cell>
          <cell r="N32">
            <v>4243</v>
          </cell>
          <cell r="O32">
            <v>4829</v>
          </cell>
          <cell r="P32">
            <v>9072</v>
          </cell>
          <cell r="Q32">
            <v>49</v>
          </cell>
          <cell r="R32">
            <v>46</v>
          </cell>
          <cell r="S32">
            <v>95</v>
          </cell>
          <cell r="T32">
            <v>1</v>
          </cell>
          <cell r="U32">
            <v>14</v>
          </cell>
          <cell r="V32">
            <v>15</v>
          </cell>
          <cell r="W32">
            <v>0</v>
          </cell>
          <cell r="X32">
            <v>0</v>
          </cell>
          <cell r="Y32">
            <v>0</v>
          </cell>
          <cell r="Z32">
            <v>530</v>
          </cell>
          <cell r="AA32">
            <v>487</v>
          </cell>
        </row>
        <row r="33">
          <cell r="B33" t="str">
            <v>Punjab</v>
          </cell>
          <cell r="D33">
            <v>32</v>
          </cell>
          <cell r="E33">
            <v>4107</v>
          </cell>
          <cell r="F33">
            <v>4888</v>
          </cell>
          <cell r="G33">
            <v>8995</v>
          </cell>
          <cell r="H33">
            <v>303</v>
          </cell>
          <cell r="I33">
            <v>293</v>
          </cell>
          <cell r="J33">
            <v>596</v>
          </cell>
          <cell r="K33">
            <v>23410</v>
          </cell>
          <cell r="L33">
            <v>27671</v>
          </cell>
          <cell r="M33">
            <v>51081</v>
          </cell>
          <cell r="N33">
            <v>99715</v>
          </cell>
          <cell r="O33">
            <v>53465</v>
          </cell>
          <cell r="P33">
            <v>153180</v>
          </cell>
          <cell r="Q33">
            <v>952</v>
          </cell>
          <cell r="R33">
            <v>877</v>
          </cell>
          <cell r="S33">
            <v>1829</v>
          </cell>
          <cell r="T33">
            <v>7606</v>
          </cell>
          <cell r="U33">
            <v>12709</v>
          </cell>
          <cell r="V33">
            <v>20315</v>
          </cell>
          <cell r="W33">
            <v>282</v>
          </cell>
          <cell r="X33">
            <v>257</v>
          </cell>
          <cell r="Y33">
            <v>539</v>
          </cell>
          <cell r="Z33">
            <v>3615</v>
          </cell>
          <cell r="AA33">
            <v>3666</v>
          </cell>
        </row>
        <row r="34">
          <cell r="B34" t="str">
            <v>Rajasthan</v>
          </cell>
          <cell r="D34">
            <v>85</v>
          </cell>
          <cell r="E34">
            <v>4989</v>
          </cell>
          <cell r="F34">
            <v>5093</v>
          </cell>
          <cell r="G34">
            <v>10082</v>
          </cell>
          <cell r="H34">
            <v>261</v>
          </cell>
          <cell r="I34">
            <v>203</v>
          </cell>
          <cell r="J34">
            <v>464</v>
          </cell>
          <cell r="K34">
            <v>71936</v>
          </cell>
          <cell r="L34">
            <v>45325</v>
          </cell>
          <cell r="M34">
            <v>117261</v>
          </cell>
          <cell r="N34">
            <v>168208</v>
          </cell>
          <cell r="O34">
            <v>85050</v>
          </cell>
          <cell r="P34">
            <v>253258</v>
          </cell>
          <cell r="Q34">
            <v>3566</v>
          </cell>
          <cell r="R34">
            <v>1905</v>
          </cell>
          <cell r="S34">
            <v>5471</v>
          </cell>
          <cell r="T34">
            <v>19816</v>
          </cell>
          <cell r="U34">
            <v>7517</v>
          </cell>
          <cell r="V34">
            <v>27333</v>
          </cell>
          <cell r="W34">
            <v>2427</v>
          </cell>
          <cell r="X34">
            <v>1572</v>
          </cell>
          <cell r="Y34">
            <v>3999</v>
          </cell>
          <cell r="Z34">
            <v>10163</v>
          </cell>
          <cell r="AA34">
            <v>6100</v>
          </cell>
        </row>
        <row r="35">
          <cell r="B35" t="str">
            <v>Sikkim</v>
          </cell>
          <cell r="D35">
            <v>7</v>
          </cell>
          <cell r="E35">
            <v>212</v>
          </cell>
          <cell r="F35">
            <v>191</v>
          </cell>
          <cell r="G35">
            <v>403</v>
          </cell>
          <cell r="H35">
            <v>43</v>
          </cell>
          <cell r="I35">
            <v>44</v>
          </cell>
          <cell r="J35">
            <v>87</v>
          </cell>
          <cell r="K35">
            <v>17312</v>
          </cell>
          <cell r="L35">
            <v>10545</v>
          </cell>
          <cell r="M35">
            <v>27857</v>
          </cell>
          <cell r="N35">
            <v>9249</v>
          </cell>
          <cell r="O35">
            <v>6183</v>
          </cell>
          <cell r="P35">
            <v>15432</v>
          </cell>
          <cell r="Q35">
            <v>23</v>
          </cell>
          <cell r="R35">
            <v>18</v>
          </cell>
          <cell r="S35">
            <v>41</v>
          </cell>
          <cell r="T35">
            <v>134</v>
          </cell>
          <cell r="U35">
            <v>459</v>
          </cell>
          <cell r="V35">
            <v>593</v>
          </cell>
          <cell r="W35">
            <v>0</v>
          </cell>
          <cell r="X35">
            <v>0</v>
          </cell>
          <cell r="Y35">
            <v>0</v>
          </cell>
          <cell r="Z35">
            <v>21</v>
          </cell>
          <cell r="AA35">
            <v>33</v>
          </cell>
        </row>
        <row r="36">
          <cell r="B36" t="str">
            <v>Tamil Nadu</v>
          </cell>
          <cell r="D36">
            <v>59</v>
          </cell>
          <cell r="E36">
            <v>12930</v>
          </cell>
          <cell r="F36">
            <v>10571</v>
          </cell>
          <cell r="G36">
            <v>23501</v>
          </cell>
          <cell r="H36">
            <v>675</v>
          </cell>
          <cell r="I36">
            <v>2713</v>
          </cell>
          <cell r="J36">
            <v>3388</v>
          </cell>
          <cell r="K36">
            <v>113084</v>
          </cell>
          <cell r="L36">
            <v>150077</v>
          </cell>
          <cell r="M36">
            <v>263161</v>
          </cell>
          <cell r="N36">
            <v>346695</v>
          </cell>
          <cell r="O36">
            <v>230905</v>
          </cell>
          <cell r="P36">
            <v>577600</v>
          </cell>
          <cell r="Q36">
            <v>7923</v>
          </cell>
          <cell r="R36">
            <v>5349</v>
          </cell>
          <cell r="S36">
            <v>13272</v>
          </cell>
          <cell r="T36">
            <v>7126</v>
          </cell>
          <cell r="U36">
            <v>9201</v>
          </cell>
          <cell r="V36">
            <v>16327</v>
          </cell>
          <cell r="W36">
            <v>6819</v>
          </cell>
          <cell r="X36">
            <v>6083</v>
          </cell>
          <cell r="Y36">
            <v>12902</v>
          </cell>
          <cell r="Z36">
            <v>8882</v>
          </cell>
          <cell r="AA36">
            <v>7457</v>
          </cell>
        </row>
        <row r="37">
          <cell r="B37" t="str">
            <v>Telangana</v>
          </cell>
          <cell r="D37">
            <v>24</v>
          </cell>
          <cell r="E37">
            <v>3488</v>
          </cell>
          <cell r="F37">
            <v>1962</v>
          </cell>
          <cell r="G37">
            <v>5450</v>
          </cell>
          <cell r="H37">
            <v>193</v>
          </cell>
          <cell r="I37">
            <v>130</v>
          </cell>
          <cell r="J37">
            <v>323</v>
          </cell>
          <cell r="K37">
            <v>28792</v>
          </cell>
          <cell r="L37">
            <v>31202</v>
          </cell>
          <cell r="M37">
            <v>59994</v>
          </cell>
          <cell r="N37">
            <v>23113</v>
          </cell>
          <cell r="O37">
            <v>17955</v>
          </cell>
          <cell r="P37">
            <v>41068</v>
          </cell>
          <cell r="Q37">
            <v>1816</v>
          </cell>
          <cell r="R37">
            <v>1149</v>
          </cell>
          <cell r="S37">
            <v>2965</v>
          </cell>
          <cell r="T37">
            <v>1699</v>
          </cell>
          <cell r="U37">
            <v>648</v>
          </cell>
          <cell r="V37">
            <v>2347</v>
          </cell>
          <cell r="W37">
            <v>771</v>
          </cell>
          <cell r="X37">
            <v>465</v>
          </cell>
          <cell r="Y37">
            <v>1236</v>
          </cell>
          <cell r="Z37">
            <v>2249</v>
          </cell>
          <cell r="AA37">
            <v>1535</v>
          </cell>
        </row>
        <row r="38">
          <cell r="B38" t="str">
            <v>Tripura</v>
          </cell>
          <cell r="D38">
            <v>4</v>
          </cell>
          <cell r="E38">
            <v>381</v>
          </cell>
          <cell r="F38">
            <v>223</v>
          </cell>
          <cell r="G38">
            <v>604</v>
          </cell>
          <cell r="H38">
            <v>0</v>
          </cell>
          <cell r="I38">
            <v>0</v>
          </cell>
          <cell r="J38">
            <v>0</v>
          </cell>
          <cell r="K38">
            <v>5812</v>
          </cell>
          <cell r="L38">
            <v>5716</v>
          </cell>
          <cell r="M38">
            <v>11528</v>
          </cell>
          <cell r="N38">
            <v>6887</v>
          </cell>
          <cell r="O38">
            <v>2735</v>
          </cell>
          <cell r="P38">
            <v>9622</v>
          </cell>
          <cell r="Q38">
            <v>67</v>
          </cell>
          <cell r="R38">
            <v>64</v>
          </cell>
          <cell r="S38">
            <v>131</v>
          </cell>
          <cell r="T38">
            <v>18</v>
          </cell>
          <cell r="U38">
            <v>17</v>
          </cell>
          <cell r="V38">
            <v>35</v>
          </cell>
          <cell r="W38">
            <v>0</v>
          </cell>
          <cell r="X38">
            <v>0</v>
          </cell>
          <cell r="Y38">
            <v>0</v>
          </cell>
          <cell r="Z38">
            <v>396</v>
          </cell>
          <cell r="AA38">
            <v>242</v>
          </cell>
        </row>
        <row r="39">
          <cell r="B39" t="str">
            <v>Uttar Pradesh</v>
          </cell>
          <cell r="D39">
            <v>77</v>
          </cell>
          <cell r="E39">
            <v>12829</v>
          </cell>
          <cell r="F39">
            <v>9383</v>
          </cell>
          <cell r="G39">
            <v>22212</v>
          </cell>
          <cell r="H39">
            <v>187</v>
          </cell>
          <cell r="I39">
            <v>303</v>
          </cell>
          <cell r="J39">
            <v>490</v>
          </cell>
          <cell r="K39">
            <v>70214</v>
          </cell>
          <cell r="L39">
            <v>58064</v>
          </cell>
          <cell r="M39">
            <v>128278</v>
          </cell>
          <cell r="N39">
            <v>224551</v>
          </cell>
          <cell r="O39">
            <v>117701</v>
          </cell>
          <cell r="P39">
            <v>342252</v>
          </cell>
          <cell r="Q39">
            <v>8379</v>
          </cell>
          <cell r="R39">
            <v>7089</v>
          </cell>
          <cell r="S39">
            <v>15468</v>
          </cell>
          <cell r="T39">
            <v>24836</v>
          </cell>
          <cell r="U39">
            <v>7712</v>
          </cell>
          <cell r="V39">
            <v>32548</v>
          </cell>
          <cell r="W39">
            <v>2455</v>
          </cell>
          <cell r="X39">
            <v>1972</v>
          </cell>
          <cell r="Y39">
            <v>4427</v>
          </cell>
          <cell r="Z39">
            <v>10696</v>
          </cell>
          <cell r="AA39">
            <v>6952</v>
          </cell>
        </row>
        <row r="40">
          <cell r="B40" t="str">
            <v>Uttarakhand</v>
          </cell>
          <cell r="D40">
            <v>36</v>
          </cell>
          <cell r="E40">
            <v>3006</v>
          </cell>
          <cell r="F40">
            <v>1497</v>
          </cell>
          <cell r="G40">
            <v>4503</v>
          </cell>
          <cell r="H40">
            <v>21</v>
          </cell>
          <cell r="I40">
            <v>13</v>
          </cell>
          <cell r="J40">
            <v>34</v>
          </cell>
          <cell r="K40">
            <v>21898</v>
          </cell>
          <cell r="L40">
            <v>25754</v>
          </cell>
          <cell r="M40">
            <v>47652</v>
          </cell>
          <cell r="N40">
            <v>85651</v>
          </cell>
          <cell r="O40">
            <v>66951</v>
          </cell>
          <cell r="P40">
            <v>152602</v>
          </cell>
          <cell r="Q40">
            <v>636</v>
          </cell>
          <cell r="R40">
            <v>374</v>
          </cell>
          <cell r="S40">
            <v>1010</v>
          </cell>
          <cell r="T40">
            <v>2959</v>
          </cell>
          <cell r="U40">
            <v>994</v>
          </cell>
          <cell r="V40">
            <v>3953</v>
          </cell>
          <cell r="W40">
            <v>61</v>
          </cell>
          <cell r="X40">
            <v>31</v>
          </cell>
          <cell r="Y40">
            <v>92</v>
          </cell>
          <cell r="Z40">
            <v>2809</v>
          </cell>
          <cell r="AA40">
            <v>2000</v>
          </cell>
        </row>
        <row r="41">
          <cell r="B41" t="str">
            <v>West Bengal</v>
          </cell>
          <cell r="D41">
            <v>47</v>
          </cell>
          <cell r="E41">
            <v>7919</v>
          </cell>
          <cell r="F41">
            <v>4741</v>
          </cell>
          <cell r="G41">
            <v>12660</v>
          </cell>
          <cell r="H41">
            <v>1062</v>
          </cell>
          <cell r="I41">
            <v>929</v>
          </cell>
          <cell r="J41">
            <v>1991</v>
          </cell>
          <cell r="K41">
            <v>47888</v>
          </cell>
          <cell r="L41">
            <v>71996</v>
          </cell>
          <cell r="M41">
            <v>119884</v>
          </cell>
          <cell r="N41">
            <v>116827</v>
          </cell>
          <cell r="O41">
            <v>73752</v>
          </cell>
          <cell r="P41">
            <v>190579</v>
          </cell>
          <cell r="Q41">
            <v>1210</v>
          </cell>
          <cell r="R41">
            <v>891</v>
          </cell>
          <cell r="S41">
            <v>2101</v>
          </cell>
          <cell r="T41">
            <v>2341</v>
          </cell>
          <cell r="U41">
            <v>1376</v>
          </cell>
          <cell r="V41">
            <v>3717</v>
          </cell>
          <cell r="W41">
            <v>2944</v>
          </cell>
          <cell r="X41">
            <v>1500</v>
          </cell>
          <cell r="Y41">
            <v>4444</v>
          </cell>
          <cell r="Z41">
            <v>5807</v>
          </cell>
          <cell r="AA41">
            <v>1951</v>
          </cell>
        </row>
        <row r="42">
          <cell r="B42">
            <v>0</v>
          </cell>
          <cell r="D42">
            <v>1019</v>
          </cell>
          <cell r="E42">
            <v>99659</v>
          </cell>
          <cell r="F42">
            <v>78217</v>
          </cell>
          <cell r="G42">
            <v>177876</v>
          </cell>
          <cell r="H42">
            <v>6461</v>
          </cell>
          <cell r="I42">
            <v>9413</v>
          </cell>
          <cell r="J42">
            <v>15874</v>
          </cell>
          <cell r="K42">
            <v>983466</v>
          </cell>
          <cell r="L42">
            <v>1113085</v>
          </cell>
          <cell r="M42">
            <v>2096551</v>
          </cell>
          <cell r="N42">
            <v>3160539</v>
          </cell>
          <cell r="O42">
            <v>2061807</v>
          </cell>
          <cell r="P42">
            <v>5222346</v>
          </cell>
          <cell r="Q42">
            <v>74632</v>
          </cell>
          <cell r="R42">
            <v>63053</v>
          </cell>
          <cell r="S42">
            <v>137685</v>
          </cell>
          <cell r="T42">
            <v>171993</v>
          </cell>
          <cell r="U42">
            <v>104165</v>
          </cell>
          <cell r="V42">
            <v>276158</v>
          </cell>
          <cell r="W42">
            <v>32798</v>
          </cell>
          <cell r="X42">
            <v>28051</v>
          </cell>
          <cell r="Y42">
            <v>60849</v>
          </cell>
          <cell r="Z42">
            <v>87722</v>
          </cell>
          <cell r="AA42">
            <v>63307</v>
          </cell>
        </row>
        <row r="43">
          <cell r="N43" t="str">
            <v>Note - Constituent Colleges of State/Central University not included.</v>
          </cell>
          <cell r="W43" t="str">
            <v>Note - Constituent Colleges of State/Central University not included.</v>
          </cell>
        </row>
        <row r="44">
          <cell r="E44">
            <v>44</v>
          </cell>
          <cell r="F44">
            <v>57</v>
          </cell>
          <cell r="G44">
            <v>101</v>
          </cell>
          <cell r="H44">
            <v>33</v>
          </cell>
          <cell r="I44">
            <v>36</v>
          </cell>
          <cell r="J44">
            <v>69</v>
          </cell>
          <cell r="K44">
            <v>504711</v>
          </cell>
          <cell r="L44">
            <v>616735</v>
          </cell>
          <cell r="M44">
            <v>1121446</v>
          </cell>
          <cell r="N44">
            <v>1745438</v>
          </cell>
          <cell r="O44">
            <v>1172409</v>
          </cell>
          <cell r="P44">
            <v>2917847</v>
          </cell>
          <cell r="Q44">
            <v>50863</v>
          </cell>
          <cell r="R44">
            <v>38103</v>
          </cell>
          <cell r="S44">
            <v>88966</v>
          </cell>
          <cell r="T44">
            <v>58916</v>
          </cell>
          <cell r="U44">
            <v>61144</v>
          </cell>
          <cell r="V44">
            <v>120060</v>
          </cell>
          <cell r="W44">
            <v>18795</v>
          </cell>
          <cell r="X44">
            <v>15951</v>
          </cell>
          <cell r="Y44">
            <v>34746</v>
          </cell>
          <cell r="Z44">
            <v>774</v>
          </cell>
          <cell r="AA44">
            <v>2913</v>
          </cell>
        </row>
        <row r="45">
          <cell r="E45" t="str">
            <v>Level</v>
          </cell>
          <cell r="F45" t="str">
            <v>Male</v>
          </cell>
          <cell r="G45" t="str">
            <v>Female</v>
          </cell>
          <cell r="H45" t="str">
            <v>Enrolment</v>
          </cell>
          <cell r="J45" t="str">
            <v>Duniv</v>
          </cell>
        </row>
        <row r="46">
          <cell r="E46" t="str">
            <v>Ph.D.</v>
          </cell>
          <cell r="F46">
            <v>99659</v>
          </cell>
          <cell r="G46">
            <v>78217</v>
          </cell>
          <cell r="H46">
            <v>177876</v>
          </cell>
          <cell r="I46">
            <v>0</v>
          </cell>
          <cell r="J46">
            <v>177876</v>
          </cell>
        </row>
        <row r="47">
          <cell r="E47" t="str">
            <v>M.Phil.</v>
          </cell>
          <cell r="F47">
            <v>6461</v>
          </cell>
          <cell r="G47">
            <v>9413</v>
          </cell>
          <cell r="H47">
            <v>15874</v>
          </cell>
          <cell r="I47">
            <v>0</v>
          </cell>
          <cell r="J47">
            <v>15874</v>
          </cell>
        </row>
        <row r="48">
          <cell r="E48" t="str">
            <v>Post Graduate</v>
          </cell>
          <cell r="F48">
            <v>983466</v>
          </cell>
          <cell r="G48">
            <v>1113085</v>
          </cell>
          <cell r="H48">
            <v>2096551</v>
          </cell>
          <cell r="I48">
            <v>1177430</v>
          </cell>
          <cell r="J48">
            <v>919121</v>
          </cell>
        </row>
        <row r="49">
          <cell r="E49" t="str">
            <v>Under Graduate</v>
          </cell>
          <cell r="F49">
            <v>3160539</v>
          </cell>
          <cell r="G49">
            <v>2061807</v>
          </cell>
          <cell r="H49">
            <v>5222346</v>
          </cell>
          <cell r="I49">
            <v>2553590</v>
          </cell>
          <cell r="J49">
            <v>2668756</v>
          </cell>
        </row>
        <row r="50">
          <cell r="E50" t="str">
            <v>PG Diploma</v>
          </cell>
          <cell r="F50">
            <v>74632</v>
          </cell>
          <cell r="G50">
            <v>63053</v>
          </cell>
          <cell r="H50">
            <v>137685</v>
          </cell>
          <cell r="I50">
            <v>89943</v>
          </cell>
          <cell r="J50">
            <v>47742</v>
          </cell>
        </row>
        <row r="51">
          <cell r="E51" t="str">
            <v>Diploma</v>
          </cell>
          <cell r="F51">
            <v>171993</v>
          </cell>
          <cell r="G51">
            <v>104165</v>
          </cell>
          <cell r="H51">
            <v>276158</v>
          </cell>
          <cell r="I51">
            <v>99199</v>
          </cell>
          <cell r="J51">
            <v>176959</v>
          </cell>
        </row>
        <row r="52">
          <cell r="E52" t="str">
            <v>Certificate</v>
          </cell>
          <cell r="F52">
            <v>32798</v>
          </cell>
          <cell r="G52">
            <v>28051</v>
          </cell>
          <cell r="H52">
            <v>60849</v>
          </cell>
          <cell r="I52">
            <v>52607</v>
          </cell>
          <cell r="J52">
            <v>8242</v>
          </cell>
        </row>
        <row r="53">
          <cell r="E53" t="str">
            <v>Integrated</v>
          </cell>
          <cell r="F53">
            <v>87722</v>
          </cell>
          <cell r="G53">
            <v>63307</v>
          </cell>
          <cell r="H53">
            <v>151029</v>
          </cell>
          <cell r="I53">
            <v>0</v>
          </cell>
          <cell r="J53">
            <v>151029</v>
          </cell>
        </row>
        <row r="54">
          <cell r="E54" t="str">
            <v>All</v>
          </cell>
          <cell r="F54">
            <v>4617270</v>
          </cell>
          <cell r="G54">
            <v>3521098</v>
          </cell>
          <cell r="H54">
            <v>8138368</v>
          </cell>
          <cell r="I54">
            <v>3973020</v>
          </cell>
          <cell r="J54">
            <v>4165348</v>
          </cell>
        </row>
      </sheetData>
      <sheetData sheetId="11">
        <row r="1">
          <cell r="B1" t="str">
            <v>Table 8.</v>
          </cell>
          <cell r="W1" t="str">
            <v>Number of Colleges and Enrolment in responding Colleges at various levels</v>
          </cell>
        </row>
        <row r="2">
          <cell r="B2" t="str">
            <v>State/UTs</v>
          </cell>
          <cell r="D2">
            <v>0</v>
          </cell>
          <cell r="E2" t="str">
            <v>Ph.D.</v>
          </cell>
          <cell r="F2">
            <v>0</v>
          </cell>
          <cell r="G2">
            <v>0</v>
          </cell>
          <cell r="H2" t="str">
            <v>M.Phil.</v>
          </cell>
          <cell r="I2">
            <v>0</v>
          </cell>
          <cell r="P2">
            <v>0</v>
          </cell>
          <cell r="Q2" t="str">
            <v>PG Diploma</v>
          </cell>
          <cell r="R2">
            <v>0</v>
          </cell>
          <cell r="S2">
            <v>0</v>
          </cell>
          <cell r="T2" t="str">
            <v>Diploma</v>
          </cell>
          <cell r="U2">
            <v>0</v>
          </cell>
          <cell r="V2">
            <v>0</v>
          </cell>
          <cell r="W2" t="str">
            <v>Certificate</v>
          </cell>
          <cell r="X2">
            <v>0</v>
          </cell>
          <cell r="Y2">
            <v>0</v>
          </cell>
          <cell r="Z2" t="str">
            <v>Integrated</v>
          </cell>
          <cell r="AA2">
            <v>0</v>
          </cell>
        </row>
        <row r="3">
          <cell r="B3">
            <v>0</v>
          </cell>
          <cell r="D3" t="str">
            <v>Response</v>
          </cell>
          <cell r="E3" t="str">
            <v>Male</v>
          </cell>
          <cell r="F3" t="str">
            <v>Female</v>
          </cell>
          <cell r="G3" t="str">
            <v>Total</v>
          </cell>
          <cell r="H3" t="str">
            <v>Male</v>
          </cell>
          <cell r="I3" t="str">
            <v>Female</v>
          </cell>
          <cell r="P3" t="str">
            <v>Total</v>
          </cell>
          <cell r="Q3" t="str">
            <v>Male</v>
          </cell>
          <cell r="R3" t="str">
            <v>Female</v>
          </cell>
          <cell r="S3" t="str">
            <v>Total</v>
          </cell>
          <cell r="T3" t="str">
            <v>Male</v>
          </cell>
          <cell r="U3" t="str">
            <v>Female</v>
          </cell>
          <cell r="V3" t="str">
            <v>Total</v>
          </cell>
          <cell r="W3" t="str">
            <v>Male</v>
          </cell>
          <cell r="X3" t="str">
            <v>Female</v>
          </cell>
          <cell r="Y3" t="str">
            <v>Total</v>
          </cell>
          <cell r="Z3" t="str">
            <v>Male</v>
          </cell>
          <cell r="AA3" t="str">
            <v>Female</v>
          </cell>
        </row>
        <row r="4">
          <cell r="B4">
            <v>2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  <cell r="X4">
            <v>24</v>
          </cell>
          <cell r="Y4">
            <v>25</v>
          </cell>
          <cell r="Z4">
            <v>26</v>
          </cell>
          <cell r="AA4">
            <v>27</v>
          </cell>
        </row>
        <row r="5">
          <cell r="B5" t="str">
            <v>Andaman and Nicobar Islands</v>
          </cell>
          <cell r="D5">
            <v>8</v>
          </cell>
          <cell r="E5">
            <v>5</v>
          </cell>
          <cell r="F5">
            <v>9</v>
          </cell>
          <cell r="G5">
            <v>14</v>
          </cell>
          <cell r="H5">
            <v>0</v>
          </cell>
          <cell r="I5">
            <v>0</v>
          </cell>
          <cell r="P5">
            <v>4690</v>
          </cell>
          <cell r="Q5">
            <v>0</v>
          </cell>
          <cell r="R5">
            <v>0</v>
          </cell>
          <cell r="S5">
            <v>0</v>
          </cell>
          <cell r="T5">
            <v>273</v>
          </cell>
          <cell r="U5">
            <v>128</v>
          </cell>
          <cell r="V5">
            <v>401</v>
          </cell>
          <cell r="W5">
            <v>46</v>
          </cell>
          <cell r="X5">
            <v>36</v>
          </cell>
          <cell r="Y5">
            <v>82</v>
          </cell>
          <cell r="Z5">
            <v>145</v>
          </cell>
          <cell r="AA5">
            <v>224</v>
          </cell>
        </row>
        <row r="6">
          <cell r="B6" t="str">
            <v>Andhra Pradesh</v>
          </cell>
          <cell r="D6">
            <v>2501</v>
          </cell>
          <cell r="E6">
            <v>962</v>
          </cell>
          <cell r="F6">
            <v>614</v>
          </cell>
          <cell r="G6">
            <v>1576</v>
          </cell>
          <cell r="H6">
            <v>102</v>
          </cell>
          <cell r="I6">
            <v>34</v>
          </cell>
          <cell r="P6">
            <v>1179687</v>
          </cell>
          <cell r="Q6">
            <v>266</v>
          </cell>
          <cell r="R6">
            <v>211</v>
          </cell>
          <cell r="S6">
            <v>477</v>
          </cell>
          <cell r="T6">
            <v>25687</v>
          </cell>
          <cell r="U6">
            <v>6912</v>
          </cell>
          <cell r="V6">
            <v>32599</v>
          </cell>
          <cell r="W6">
            <v>978</v>
          </cell>
          <cell r="X6">
            <v>1697</v>
          </cell>
          <cell r="Y6">
            <v>2675</v>
          </cell>
          <cell r="Z6">
            <v>5728</v>
          </cell>
          <cell r="AA6">
            <v>2324</v>
          </cell>
        </row>
        <row r="7">
          <cell r="B7" t="str">
            <v>Arunachal Pradesh</v>
          </cell>
          <cell r="D7">
            <v>38</v>
          </cell>
          <cell r="E7">
            <v>4</v>
          </cell>
          <cell r="F7">
            <v>10</v>
          </cell>
          <cell r="G7">
            <v>14</v>
          </cell>
          <cell r="H7">
            <v>0</v>
          </cell>
          <cell r="I7">
            <v>0</v>
          </cell>
          <cell r="P7">
            <v>20592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116</v>
          </cell>
          <cell r="AA7">
            <v>89</v>
          </cell>
        </row>
        <row r="8">
          <cell r="B8" t="str">
            <v>Assam</v>
          </cell>
          <cell r="D8">
            <v>533</v>
          </cell>
          <cell r="E8">
            <v>129</v>
          </cell>
          <cell r="F8">
            <v>87</v>
          </cell>
          <cell r="G8">
            <v>216</v>
          </cell>
          <cell r="H8">
            <v>2</v>
          </cell>
          <cell r="I8">
            <v>26</v>
          </cell>
          <cell r="P8">
            <v>448254</v>
          </cell>
          <cell r="Q8">
            <v>254</v>
          </cell>
          <cell r="R8">
            <v>352</v>
          </cell>
          <cell r="S8">
            <v>606</v>
          </cell>
          <cell r="T8">
            <v>996</v>
          </cell>
          <cell r="U8">
            <v>922</v>
          </cell>
          <cell r="V8">
            <v>1918</v>
          </cell>
          <cell r="W8">
            <v>708</v>
          </cell>
          <cell r="X8">
            <v>1038</v>
          </cell>
          <cell r="Y8">
            <v>1746</v>
          </cell>
          <cell r="Z8">
            <v>1226</v>
          </cell>
          <cell r="AA8">
            <v>1215</v>
          </cell>
        </row>
        <row r="9">
          <cell r="B9" t="str">
            <v>Bihar</v>
          </cell>
          <cell r="D9">
            <v>863</v>
          </cell>
          <cell r="E9">
            <v>29</v>
          </cell>
          <cell r="F9">
            <v>37</v>
          </cell>
          <cell r="G9">
            <v>66</v>
          </cell>
          <cell r="H9">
            <v>0</v>
          </cell>
          <cell r="I9">
            <v>0</v>
          </cell>
          <cell r="P9">
            <v>1402105</v>
          </cell>
          <cell r="Q9">
            <v>201</v>
          </cell>
          <cell r="R9">
            <v>110</v>
          </cell>
          <cell r="S9">
            <v>311</v>
          </cell>
          <cell r="T9">
            <v>8717</v>
          </cell>
          <cell r="U9">
            <v>8960</v>
          </cell>
          <cell r="V9">
            <v>17677</v>
          </cell>
          <cell r="W9">
            <v>3392</v>
          </cell>
          <cell r="X9">
            <v>2220</v>
          </cell>
          <cell r="Y9">
            <v>5612</v>
          </cell>
          <cell r="Z9">
            <v>1046</v>
          </cell>
          <cell r="AA9">
            <v>369</v>
          </cell>
        </row>
        <row r="10">
          <cell r="B10" t="str">
            <v>Chandigarh</v>
          </cell>
          <cell r="D10">
            <v>25</v>
          </cell>
          <cell r="E10">
            <v>5</v>
          </cell>
          <cell r="F10">
            <v>59</v>
          </cell>
          <cell r="G10">
            <v>64</v>
          </cell>
          <cell r="H10">
            <v>0</v>
          </cell>
          <cell r="I10">
            <v>0</v>
          </cell>
          <cell r="P10">
            <v>43496</v>
          </cell>
          <cell r="Q10">
            <v>227</v>
          </cell>
          <cell r="R10">
            <v>407</v>
          </cell>
          <cell r="S10">
            <v>634</v>
          </cell>
          <cell r="T10">
            <v>85</v>
          </cell>
          <cell r="U10">
            <v>94</v>
          </cell>
          <cell r="V10">
            <v>179</v>
          </cell>
          <cell r="W10">
            <v>0</v>
          </cell>
          <cell r="X10">
            <v>0</v>
          </cell>
          <cell r="Y10">
            <v>0</v>
          </cell>
          <cell r="Z10">
            <v>58</v>
          </cell>
          <cell r="AA10">
            <v>126</v>
          </cell>
        </row>
        <row r="11">
          <cell r="B11" t="str">
            <v>Chhattisgarh</v>
          </cell>
          <cell r="D11">
            <v>807</v>
          </cell>
          <cell r="E11">
            <v>173</v>
          </cell>
          <cell r="F11">
            <v>175</v>
          </cell>
          <cell r="G11">
            <v>348</v>
          </cell>
          <cell r="H11">
            <v>0</v>
          </cell>
          <cell r="I11">
            <v>0</v>
          </cell>
          <cell r="P11">
            <v>364566</v>
          </cell>
          <cell r="Q11">
            <v>3844</v>
          </cell>
          <cell r="R11">
            <v>4548</v>
          </cell>
          <cell r="S11">
            <v>8392</v>
          </cell>
          <cell r="T11">
            <v>17200</v>
          </cell>
          <cell r="U11">
            <v>10611</v>
          </cell>
          <cell r="V11">
            <v>27811</v>
          </cell>
          <cell r="W11">
            <v>158</v>
          </cell>
          <cell r="X11">
            <v>240</v>
          </cell>
          <cell r="Y11">
            <v>398</v>
          </cell>
          <cell r="Z11">
            <v>397</v>
          </cell>
          <cell r="AA11">
            <v>602</v>
          </cell>
        </row>
        <row r="12">
          <cell r="B12" t="str">
            <v>Dadra and Nagar Haveli</v>
          </cell>
          <cell r="D12">
            <v>8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P12">
            <v>5069</v>
          </cell>
          <cell r="Q12">
            <v>0</v>
          </cell>
          <cell r="R12">
            <v>0</v>
          </cell>
          <cell r="S12">
            <v>0</v>
          </cell>
          <cell r="T12">
            <v>596</v>
          </cell>
          <cell r="U12">
            <v>135</v>
          </cell>
          <cell r="V12">
            <v>731</v>
          </cell>
          <cell r="W12">
            <v>0</v>
          </cell>
          <cell r="X12">
            <v>0</v>
          </cell>
          <cell r="Y12">
            <v>0</v>
          </cell>
          <cell r="Z12">
            <v>11</v>
          </cell>
          <cell r="AA12">
            <v>26</v>
          </cell>
        </row>
        <row r="13">
          <cell r="B13" t="str">
            <v>Daman and Diu</v>
          </cell>
          <cell r="D13">
            <v>10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P13">
            <v>2345</v>
          </cell>
          <cell r="Q13">
            <v>0</v>
          </cell>
          <cell r="R13">
            <v>0</v>
          </cell>
          <cell r="S13">
            <v>0</v>
          </cell>
          <cell r="T13">
            <v>1089</v>
          </cell>
          <cell r="U13">
            <v>246</v>
          </cell>
          <cell r="V13">
            <v>1335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Delhi</v>
          </cell>
          <cell r="D14">
            <v>174</v>
          </cell>
          <cell r="E14">
            <v>60</v>
          </cell>
          <cell r="F14">
            <v>73</v>
          </cell>
          <cell r="G14">
            <v>133</v>
          </cell>
          <cell r="H14">
            <v>0</v>
          </cell>
          <cell r="I14">
            <v>0</v>
          </cell>
          <cell r="P14">
            <v>259536</v>
          </cell>
          <cell r="Q14">
            <v>777</v>
          </cell>
          <cell r="R14">
            <v>807</v>
          </cell>
          <cell r="S14">
            <v>1584</v>
          </cell>
          <cell r="T14">
            <v>1477</v>
          </cell>
          <cell r="U14">
            <v>3276</v>
          </cell>
          <cell r="V14">
            <v>4753</v>
          </cell>
          <cell r="W14">
            <v>405</v>
          </cell>
          <cell r="X14">
            <v>660</v>
          </cell>
          <cell r="Y14">
            <v>1065</v>
          </cell>
          <cell r="Z14">
            <v>439</v>
          </cell>
          <cell r="AA14">
            <v>361</v>
          </cell>
        </row>
        <row r="15">
          <cell r="B15" t="str">
            <v>Goa</v>
          </cell>
          <cell r="D15">
            <v>58</v>
          </cell>
          <cell r="E15">
            <v>67</v>
          </cell>
          <cell r="F15">
            <v>87</v>
          </cell>
          <cell r="G15">
            <v>154</v>
          </cell>
          <cell r="H15">
            <v>1</v>
          </cell>
          <cell r="I15">
            <v>2</v>
          </cell>
          <cell r="P15">
            <v>35488</v>
          </cell>
          <cell r="Q15">
            <v>38</v>
          </cell>
          <cell r="R15">
            <v>39</v>
          </cell>
          <cell r="S15">
            <v>77</v>
          </cell>
          <cell r="T15">
            <v>93</v>
          </cell>
          <cell r="U15">
            <v>217</v>
          </cell>
          <cell r="V15">
            <v>310</v>
          </cell>
          <cell r="W15">
            <v>15</v>
          </cell>
          <cell r="X15">
            <v>0</v>
          </cell>
          <cell r="Y15">
            <v>15</v>
          </cell>
          <cell r="Z15">
            <v>114</v>
          </cell>
          <cell r="AA15">
            <v>478</v>
          </cell>
        </row>
        <row r="16">
          <cell r="B16" t="str">
            <v>Gujarat</v>
          </cell>
          <cell r="D16">
            <v>2258</v>
          </cell>
          <cell r="E16">
            <v>365</v>
          </cell>
          <cell r="F16">
            <v>191</v>
          </cell>
          <cell r="G16">
            <v>556</v>
          </cell>
          <cell r="H16">
            <v>163</v>
          </cell>
          <cell r="I16">
            <v>92</v>
          </cell>
          <cell r="P16">
            <v>992098</v>
          </cell>
          <cell r="Q16">
            <v>771</v>
          </cell>
          <cell r="R16">
            <v>1028</v>
          </cell>
          <cell r="S16">
            <v>1799</v>
          </cell>
          <cell r="T16">
            <v>77058</v>
          </cell>
          <cell r="U16">
            <v>23804</v>
          </cell>
          <cell r="V16">
            <v>100862</v>
          </cell>
          <cell r="W16">
            <v>2405</v>
          </cell>
          <cell r="X16">
            <v>2007</v>
          </cell>
          <cell r="Y16">
            <v>4412</v>
          </cell>
          <cell r="Z16">
            <v>1878</v>
          </cell>
          <cell r="AA16">
            <v>1497</v>
          </cell>
        </row>
        <row r="17">
          <cell r="B17" t="str">
            <v>Haryana</v>
          </cell>
          <cell r="D17">
            <v>1034</v>
          </cell>
          <cell r="E17">
            <v>165</v>
          </cell>
          <cell r="F17">
            <v>283</v>
          </cell>
          <cell r="G17">
            <v>448</v>
          </cell>
          <cell r="H17">
            <v>0</v>
          </cell>
          <cell r="I17">
            <v>11</v>
          </cell>
          <cell r="P17">
            <v>533200</v>
          </cell>
          <cell r="Q17">
            <v>399</v>
          </cell>
          <cell r="R17">
            <v>721</v>
          </cell>
          <cell r="S17">
            <v>1120</v>
          </cell>
          <cell r="T17">
            <v>9993</v>
          </cell>
          <cell r="U17">
            <v>10386</v>
          </cell>
          <cell r="V17">
            <v>20379</v>
          </cell>
          <cell r="W17">
            <v>1100</v>
          </cell>
          <cell r="X17">
            <v>1602</v>
          </cell>
          <cell r="Y17">
            <v>2702</v>
          </cell>
          <cell r="Z17">
            <v>3232</v>
          </cell>
          <cell r="AA17">
            <v>1931</v>
          </cell>
        </row>
        <row r="18">
          <cell r="B18" t="str">
            <v>Himachal Pradesh</v>
          </cell>
          <cell r="D18">
            <v>344</v>
          </cell>
          <cell r="E18">
            <v>5</v>
          </cell>
          <cell r="F18">
            <v>2</v>
          </cell>
          <cell r="G18">
            <v>7</v>
          </cell>
          <cell r="H18">
            <v>0</v>
          </cell>
          <cell r="I18">
            <v>0</v>
          </cell>
          <cell r="P18">
            <v>174040</v>
          </cell>
          <cell r="Q18">
            <v>179</v>
          </cell>
          <cell r="R18">
            <v>397</v>
          </cell>
          <cell r="S18">
            <v>576</v>
          </cell>
          <cell r="T18">
            <v>687</v>
          </cell>
          <cell r="U18">
            <v>2112</v>
          </cell>
          <cell r="V18">
            <v>2799</v>
          </cell>
          <cell r="W18">
            <v>18</v>
          </cell>
          <cell r="X18">
            <v>51</v>
          </cell>
          <cell r="Y18">
            <v>69</v>
          </cell>
          <cell r="Z18">
            <v>57</v>
          </cell>
          <cell r="AA18">
            <v>57</v>
          </cell>
        </row>
        <row r="19">
          <cell r="B19" t="str">
            <v>Jammu and Kashmir</v>
          </cell>
          <cell r="D19">
            <v>313</v>
          </cell>
          <cell r="E19">
            <v>62</v>
          </cell>
          <cell r="F19">
            <v>87</v>
          </cell>
          <cell r="G19">
            <v>149</v>
          </cell>
          <cell r="H19">
            <v>0</v>
          </cell>
          <cell r="I19">
            <v>7</v>
          </cell>
          <cell r="P19">
            <v>216865</v>
          </cell>
          <cell r="Q19">
            <v>170</v>
          </cell>
          <cell r="R19">
            <v>98</v>
          </cell>
          <cell r="S19">
            <v>268</v>
          </cell>
          <cell r="T19">
            <v>232</v>
          </cell>
          <cell r="U19">
            <v>251</v>
          </cell>
          <cell r="V19">
            <v>483</v>
          </cell>
          <cell r="W19">
            <v>0</v>
          </cell>
          <cell r="X19">
            <v>0</v>
          </cell>
          <cell r="Y19">
            <v>0</v>
          </cell>
          <cell r="Z19">
            <v>1700</v>
          </cell>
          <cell r="AA19">
            <v>1911</v>
          </cell>
        </row>
        <row r="20">
          <cell r="B20" t="str">
            <v>Jharkhand</v>
          </cell>
          <cell r="D20">
            <v>317</v>
          </cell>
          <cell r="E20">
            <v>13</v>
          </cell>
          <cell r="F20">
            <v>8</v>
          </cell>
          <cell r="G20">
            <v>21</v>
          </cell>
          <cell r="H20">
            <v>25</v>
          </cell>
          <cell r="I20">
            <v>54</v>
          </cell>
          <cell r="P20">
            <v>571543</v>
          </cell>
          <cell r="Q20">
            <v>57</v>
          </cell>
          <cell r="R20">
            <v>63</v>
          </cell>
          <cell r="S20">
            <v>120</v>
          </cell>
          <cell r="T20">
            <v>2095</v>
          </cell>
          <cell r="U20">
            <v>2159</v>
          </cell>
          <cell r="V20">
            <v>4254</v>
          </cell>
          <cell r="W20">
            <v>369</v>
          </cell>
          <cell r="X20">
            <v>802</v>
          </cell>
          <cell r="Y20">
            <v>1171</v>
          </cell>
          <cell r="Z20">
            <v>370</v>
          </cell>
          <cell r="AA20">
            <v>257</v>
          </cell>
        </row>
        <row r="21">
          <cell r="B21" t="str">
            <v>Karnataka</v>
          </cell>
          <cell r="D21">
            <v>3971</v>
          </cell>
          <cell r="E21">
            <v>912</v>
          </cell>
          <cell r="F21">
            <v>620</v>
          </cell>
          <cell r="G21">
            <v>1532</v>
          </cell>
          <cell r="H21">
            <v>0</v>
          </cell>
          <cell r="I21">
            <v>0</v>
          </cell>
          <cell r="P21">
            <v>1506961</v>
          </cell>
          <cell r="Q21">
            <v>711</v>
          </cell>
          <cell r="R21">
            <v>1042</v>
          </cell>
          <cell r="S21">
            <v>1753</v>
          </cell>
          <cell r="T21">
            <v>5126</v>
          </cell>
          <cell r="U21">
            <v>5607</v>
          </cell>
          <cell r="V21">
            <v>10733</v>
          </cell>
          <cell r="W21">
            <v>676</v>
          </cell>
          <cell r="X21">
            <v>908</v>
          </cell>
          <cell r="Y21">
            <v>1584</v>
          </cell>
          <cell r="Z21">
            <v>3353</v>
          </cell>
          <cell r="AA21">
            <v>2822</v>
          </cell>
        </row>
        <row r="22">
          <cell r="B22" t="str">
            <v>Kerala</v>
          </cell>
          <cell r="D22">
            <v>1313</v>
          </cell>
          <cell r="E22">
            <v>975</v>
          </cell>
          <cell r="F22">
            <v>2021</v>
          </cell>
          <cell r="G22">
            <v>2996</v>
          </cell>
          <cell r="H22">
            <v>26</v>
          </cell>
          <cell r="I22">
            <v>123</v>
          </cell>
          <cell r="P22">
            <v>665021</v>
          </cell>
          <cell r="Q22">
            <v>94</v>
          </cell>
          <cell r="R22">
            <v>251</v>
          </cell>
          <cell r="S22">
            <v>345</v>
          </cell>
          <cell r="T22">
            <v>1855</v>
          </cell>
          <cell r="U22">
            <v>1913</v>
          </cell>
          <cell r="V22">
            <v>3768</v>
          </cell>
          <cell r="W22">
            <v>216</v>
          </cell>
          <cell r="X22">
            <v>885</v>
          </cell>
          <cell r="Y22">
            <v>1101</v>
          </cell>
          <cell r="Z22">
            <v>2825</v>
          </cell>
          <cell r="AA22">
            <v>3280</v>
          </cell>
        </row>
        <row r="23">
          <cell r="B23" t="str">
            <v>Ladakh</v>
          </cell>
          <cell r="D23">
            <v>5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P23">
            <v>2398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Lakshadweep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Madhya Pradesh</v>
          </cell>
          <cell r="D25">
            <v>1946</v>
          </cell>
          <cell r="E25">
            <v>543</v>
          </cell>
          <cell r="F25">
            <v>734</v>
          </cell>
          <cell r="G25">
            <v>1277</v>
          </cell>
          <cell r="H25">
            <v>60</v>
          </cell>
          <cell r="I25">
            <v>107</v>
          </cell>
          <cell r="P25">
            <v>1252518</v>
          </cell>
          <cell r="Q25">
            <v>3194</v>
          </cell>
          <cell r="R25">
            <v>3079</v>
          </cell>
          <cell r="S25">
            <v>6273</v>
          </cell>
          <cell r="T25">
            <v>26494</v>
          </cell>
          <cell r="U25">
            <v>12606</v>
          </cell>
          <cell r="V25">
            <v>39100</v>
          </cell>
          <cell r="W25">
            <v>249</v>
          </cell>
          <cell r="X25">
            <v>358</v>
          </cell>
          <cell r="Y25">
            <v>607</v>
          </cell>
          <cell r="Z25">
            <v>4759</v>
          </cell>
          <cell r="AA25">
            <v>4558</v>
          </cell>
        </row>
        <row r="26">
          <cell r="B26" t="str">
            <v>Maharashtra</v>
          </cell>
          <cell r="D26">
            <v>4494</v>
          </cell>
          <cell r="E26">
            <v>2102</v>
          </cell>
          <cell r="F26">
            <v>1534</v>
          </cell>
          <cell r="G26">
            <v>3636</v>
          </cell>
          <cell r="H26">
            <v>156</v>
          </cell>
          <cell r="I26">
            <v>173</v>
          </cell>
          <cell r="P26">
            <v>2695941</v>
          </cell>
          <cell r="Q26">
            <v>2572</v>
          </cell>
          <cell r="R26">
            <v>2580</v>
          </cell>
          <cell r="S26">
            <v>5152</v>
          </cell>
          <cell r="T26">
            <v>12617</v>
          </cell>
          <cell r="U26">
            <v>9511</v>
          </cell>
          <cell r="V26">
            <v>22128</v>
          </cell>
          <cell r="W26">
            <v>3660</v>
          </cell>
          <cell r="X26">
            <v>3780</v>
          </cell>
          <cell r="Y26">
            <v>7440</v>
          </cell>
          <cell r="Z26">
            <v>4744</v>
          </cell>
          <cell r="AA26">
            <v>5566</v>
          </cell>
        </row>
        <row r="27">
          <cell r="B27" t="str">
            <v>Manipur</v>
          </cell>
          <cell r="D27">
            <v>101</v>
          </cell>
          <cell r="E27">
            <v>0</v>
          </cell>
          <cell r="F27">
            <v>2</v>
          </cell>
          <cell r="G27">
            <v>2</v>
          </cell>
          <cell r="H27">
            <v>2</v>
          </cell>
          <cell r="I27">
            <v>10</v>
          </cell>
          <cell r="P27">
            <v>103089</v>
          </cell>
          <cell r="Q27">
            <v>38</v>
          </cell>
          <cell r="R27">
            <v>28</v>
          </cell>
          <cell r="S27">
            <v>66</v>
          </cell>
          <cell r="T27">
            <v>701</v>
          </cell>
          <cell r="U27">
            <v>708</v>
          </cell>
          <cell r="V27">
            <v>1409</v>
          </cell>
          <cell r="W27">
            <v>0</v>
          </cell>
          <cell r="X27">
            <v>50</v>
          </cell>
          <cell r="Y27">
            <v>50</v>
          </cell>
          <cell r="Z27">
            <v>0</v>
          </cell>
          <cell r="AA27">
            <v>0</v>
          </cell>
        </row>
        <row r="28">
          <cell r="B28" t="str">
            <v>Meghalaya</v>
          </cell>
          <cell r="D28">
            <v>57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P28">
            <v>62617</v>
          </cell>
          <cell r="Q28">
            <v>8</v>
          </cell>
          <cell r="R28">
            <v>12</v>
          </cell>
          <cell r="S28">
            <v>20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Mizoram</v>
          </cell>
          <cell r="D29">
            <v>35</v>
          </cell>
          <cell r="E29">
            <v>5</v>
          </cell>
          <cell r="F29">
            <v>9</v>
          </cell>
          <cell r="G29">
            <v>14</v>
          </cell>
          <cell r="H29">
            <v>1</v>
          </cell>
          <cell r="I29">
            <v>3</v>
          </cell>
          <cell r="P29">
            <v>18840</v>
          </cell>
          <cell r="Q29">
            <v>0</v>
          </cell>
          <cell r="R29">
            <v>0</v>
          </cell>
          <cell r="S29">
            <v>0</v>
          </cell>
          <cell r="T29">
            <v>79</v>
          </cell>
          <cell r="U29">
            <v>10</v>
          </cell>
          <cell r="V29">
            <v>89</v>
          </cell>
          <cell r="W29">
            <v>288</v>
          </cell>
          <cell r="X29">
            <v>112</v>
          </cell>
          <cell r="Y29">
            <v>400</v>
          </cell>
          <cell r="Z29">
            <v>0</v>
          </cell>
          <cell r="AA29">
            <v>0</v>
          </cell>
        </row>
        <row r="30">
          <cell r="B30" t="str">
            <v>Nagaland</v>
          </cell>
          <cell r="D30">
            <v>66</v>
          </cell>
          <cell r="E30">
            <v>5</v>
          </cell>
          <cell r="F30">
            <v>1</v>
          </cell>
          <cell r="G30">
            <v>6</v>
          </cell>
          <cell r="H30">
            <v>0</v>
          </cell>
          <cell r="I30">
            <v>0</v>
          </cell>
          <cell r="P30">
            <v>32583</v>
          </cell>
          <cell r="Q30">
            <v>0</v>
          </cell>
          <cell r="R30">
            <v>0</v>
          </cell>
          <cell r="S30">
            <v>0</v>
          </cell>
          <cell r="T30">
            <v>60</v>
          </cell>
          <cell r="U30">
            <v>107</v>
          </cell>
          <cell r="V30">
            <v>167</v>
          </cell>
          <cell r="W30">
            <v>12</v>
          </cell>
          <cell r="X30">
            <v>18</v>
          </cell>
          <cell r="Y30">
            <v>30</v>
          </cell>
          <cell r="Z30">
            <v>0</v>
          </cell>
          <cell r="AA30">
            <v>0</v>
          </cell>
        </row>
        <row r="31">
          <cell r="B31" t="str">
            <v>Odisha</v>
          </cell>
          <cell r="D31">
            <v>1077</v>
          </cell>
          <cell r="E31">
            <v>51</v>
          </cell>
          <cell r="F31">
            <v>98</v>
          </cell>
          <cell r="G31">
            <v>149</v>
          </cell>
          <cell r="H31">
            <v>63</v>
          </cell>
          <cell r="I31">
            <v>63</v>
          </cell>
          <cell r="P31">
            <v>650680</v>
          </cell>
          <cell r="Q31">
            <v>149</v>
          </cell>
          <cell r="R31">
            <v>225</v>
          </cell>
          <cell r="S31">
            <v>374</v>
          </cell>
          <cell r="T31">
            <v>7032</v>
          </cell>
          <cell r="U31">
            <v>1944</v>
          </cell>
          <cell r="V31">
            <v>8976</v>
          </cell>
          <cell r="W31">
            <v>1061</v>
          </cell>
          <cell r="X31">
            <v>1622</v>
          </cell>
          <cell r="Y31">
            <v>2683</v>
          </cell>
          <cell r="Z31">
            <v>2149</v>
          </cell>
          <cell r="AA31">
            <v>2400</v>
          </cell>
        </row>
        <row r="32">
          <cell r="B32" t="str">
            <v>Puducherry</v>
          </cell>
          <cell r="D32">
            <v>69</v>
          </cell>
          <cell r="E32">
            <v>46</v>
          </cell>
          <cell r="F32">
            <v>72</v>
          </cell>
          <cell r="G32">
            <v>118</v>
          </cell>
          <cell r="H32">
            <v>7</v>
          </cell>
          <cell r="I32">
            <v>40</v>
          </cell>
          <cell r="P32">
            <v>41959</v>
          </cell>
          <cell r="Q32">
            <v>3</v>
          </cell>
          <cell r="R32">
            <v>8</v>
          </cell>
          <cell r="S32">
            <v>11</v>
          </cell>
          <cell r="T32">
            <v>65</v>
          </cell>
          <cell r="U32">
            <v>91</v>
          </cell>
          <cell r="V32">
            <v>156</v>
          </cell>
          <cell r="W32">
            <v>0</v>
          </cell>
          <cell r="X32">
            <v>0</v>
          </cell>
          <cell r="Y32">
            <v>0</v>
          </cell>
          <cell r="Z32">
            <v>2</v>
          </cell>
          <cell r="AA32">
            <v>5</v>
          </cell>
        </row>
        <row r="33">
          <cell r="B33" t="str">
            <v>Punjab</v>
          </cell>
          <cell r="D33">
            <v>1006</v>
          </cell>
          <cell r="E33">
            <v>4</v>
          </cell>
          <cell r="F33">
            <v>0</v>
          </cell>
          <cell r="G33">
            <v>4</v>
          </cell>
          <cell r="H33">
            <v>4</v>
          </cell>
          <cell r="I33">
            <v>22</v>
          </cell>
          <cell r="P33">
            <v>437080</v>
          </cell>
          <cell r="Q33">
            <v>1758</v>
          </cell>
          <cell r="R33">
            <v>2810</v>
          </cell>
          <cell r="S33">
            <v>4568</v>
          </cell>
          <cell r="T33">
            <v>8527</v>
          </cell>
          <cell r="U33">
            <v>13600</v>
          </cell>
          <cell r="V33">
            <v>22127</v>
          </cell>
          <cell r="W33">
            <v>289</v>
          </cell>
          <cell r="X33">
            <v>596</v>
          </cell>
          <cell r="Y33">
            <v>885</v>
          </cell>
          <cell r="Z33">
            <v>2844</v>
          </cell>
          <cell r="AA33">
            <v>3359</v>
          </cell>
        </row>
        <row r="34">
          <cell r="B34" t="str">
            <v>Rajasthan</v>
          </cell>
          <cell r="D34">
            <v>3101</v>
          </cell>
          <cell r="E34">
            <v>489</v>
          </cell>
          <cell r="F34">
            <v>279</v>
          </cell>
          <cell r="G34">
            <v>768</v>
          </cell>
          <cell r="H34">
            <v>0</v>
          </cell>
          <cell r="I34">
            <v>0</v>
          </cell>
          <cell r="P34">
            <v>1412169</v>
          </cell>
          <cell r="Q34">
            <v>1307</v>
          </cell>
          <cell r="R34">
            <v>1563</v>
          </cell>
          <cell r="S34">
            <v>2870</v>
          </cell>
          <cell r="T34">
            <v>15483</v>
          </cell>
          <cell r="U34">
            <v>7601</v>
          </cell>
          <cell r="V34">
            <v>23084</v>
          </cell>
          <cell r="W34">
            <v>2860</v>
          </cell>
          <cell r="X34">
            <v>3398</v>
          </cell>
          <cell r="Y34">
            <v>6258</v>
          </cell>
          <cell r="Z34">
            <v>19755</v>
          </cell>
          <cell r="AA34">
            <v>18463</v>
          </cell>
        </row>
        <row r="35">
          <cell r="B35" t="str">
            <v>Sikkim</v>
          </cell>
          <cell r="D35">
            <v>19</v>
          </cell>
          <cell r="E35">
            <v>3</v>
          </cell>
          <cell r="F35">
            <v>4</v>
          </cell>
          <cell r="G35">
            <v>7</v>
          </cell>
          <cell r="H35">
            <v>0</v>
          </cell>
          <cell r="I35">
            <v>0</v>
          </cell>
          <cell r="P35">
            <v>11354</v>
          </cell>
          <cell r="Q35">
            <v>0</v>
          </cell>
          <cell r="R35">
            <v>0</v>
          </cell>
          <cell r="S35">
            <v>0</v>
          </cell>
          <cell r="T35">
            <v>92</v>
          </cell>
          <cell r="U35">
            <v>32</v>
          </cell>
          <cell r="V35">
            <v>124</v>
          </cell>
          <cell r="W35">
            <v>34</v>
          </cell>
          <cell r="X35">
            <v>6</v>
          </cell>
          <cell r="Y35">
            <v>40</v>
          </cell>
          <cell r="Z35">
            <v>99</v>
          </cell>
          <cell r="AA35">
            <v>165</v>
          </cell>
        </row>
        <row r="36">
          <cell r="B36" t="str">
            <v>Tamil Nadu</v>
          </cell>
          <cell r="D36">
            <v>2608</v>
          </cell>
          <cell r="E36">
            <v>2898</v>
          </cell>
          <cell r="F36">
            <v>4261</v>
          </cell>
          <cell r="G36">
            <v>7159</v>
          </cell>
          <cell r="H36">
            <v>1795</v>
          </cell>
          <cell r="I36">
            <v>4596</v>
          </cell>
          <cell r="P36">
            <v>2012327</v>
          </cell>
          <cell r="Q36">
            <v>687</v>
          </cell>
          <cell r="R36">
            <v>1223</v>
          </cell>
          <cell r="S36">
            <v>1910</v>
          </cell>
          <cell r="T36">
            <v>3454</v>
          </cell>
          <cell r="U36">
            <v>12395</v>
          </cell>
          <cell r="V36">
            <v>15849</v>
          </cell>
          <cell r="W36">
            <v>3085</v>
          </cell>
          <cell r="X36">
            <v>6303</v>
          </cell>
          <cell r="Y36">
            <v>9388</v>
          </cell>
          <cell r="Z36">
            <v>2612</v>
          </cell>
          <cell r="AA36">
            <v>3033</v>
          </cell>
        </row>
        <row r="37">
          <cell r="B37" t="str">
            <v>Telangana</v>
          </cell>
          <cell r="D37">
            <v>2042</v>
          </cell>
          <cell r="E37">
            <v>19</v>
          </cell>
          <cell r="F37">
            <v>39</v>
          </cell>
          <cell r="G37">
            <v>58</v>
          </cell>
          <cell r="H37">
            <v>10</v>
          </cell>
          <cell r="I37">
            <v>40</v>
          </cell>
          <cell r="P37">
            <v>983434</v>
          </cell>
          <cell r="Q37">
            <v>250</v>
          </cell>
          <cell r="R37">
            <v>213</v>
          </cell>
          <cell r="S37">
            <v>463</v>
          </cell>
          <cell r="T37">
            <v>9267</v>
          </cell>
          <cell r="U37">
            <v>3102</v>
          </cell>
          <cell r="V37">
            <v>12369</v>
          </cell>
          <cell r="W37">
            <v>32</v>
          </cell>
          <cell r="X37">
            <v>802</v>
          </cell>
          <cell r="Y37">
            <v>834</v>
          </cell>
          <cell r="Z37">
            <v>1380</v>
          </cell>
          <cell r="AA37">
            <v>1066</v>
          </cell>
        </row>
        <row r="38">
          <cell r="B38" t="str">
            <v>Tripura</v>
          </cell>
          <cell r="D38">
            <v>53</v>
          </cell>
          <cell r="E38">
            <v>7</v>
          </cell>
          <cell r="F38">
            <v>4</v>
          </cell>
          <cell r="G38">
            <v>11</v>
          </cell>
          <cell r="H38">
            <v>0</v>
          </cell>
          <cell r="I38">
            <v>0</v>
          </cell>
          <cell r="P38">
            <v>58653</v>
          </cell>
          <cell r="Q38">
            <v>0</v>
          </cell>
          <cell r="R38">
            <v>0</v>
          </cell>
          <cell r="S38">
            <v>0</v>
          </cell>
          <cell r="T38">
            <v>1891</v>
          </cell>
          <cell r="U38">
            <v>1412</v>
          </cell>
          <cell r="V38">
            <v>3303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Uttar Pradesh</v>
          </cell>
          <cell r="D39">
            <v>6888</v>
          </cell>
          <cell r="E39">
            <v>859</v>
          </cell>
          <cell r="F39">
            <v>687</v>
          </cell>
          <cell r="G39">
            <v>1546</v>
          </cell>
          <cell r="H39">
            <v>30</v>
          </cell>
          <cell r="I39">
            <v>17</v>
          </cell>
          <cell r="P39">
            <v>4259112</v>
          </cell>
          <cell r="Q39">
            <v>1863</v>
          </cell>
          <cell r="R39">
            <v>1928</v>
          </cell>
          <cell r="S39">
            <v>3791</v>
          </cell>
          <cell r="T39">
            <v>36160</v>
          </cell>
          <cell r="U39">
            <v>23819</v>
          </cell>
          <cell r="V39">
            <v>59979</v>
          </cell>
          <cell r="W39">
            <v>4435</v>
          </cell>
          <cell r="X39">
            <v>6891</v>
          </cell>
          <cell r="Y39">
            <v>11326</v>
          </cell>
          <cell r="Z39">
            <v>15808</v>
          </cell>
          <cell r="AA39">
            <v>8181</v>
          </cell>
        </row>
        <row r="40">
          <cell r="B40" t="str">
            <v>Uttarakhand</v>
          </cell>
          <cell r="D40">
            <v>404</v>
          </cell>
          <cell r="E40">
            <v>443</v>
          </cell>
          <cell r="F40">
            <v>522</v>
          </cell>
          <cell r="G40">
            <v>965</v>
          </cell>
          <cell r="H40">
            <v>0</v>
          </cell>
          <cell r="I40">
            <v>0</v>
          </cell>
          <cell r="P40">
            <v>215903</v>
          </cell>
          <cell r="Q40">
            <v>338</v>
          </cell>
          <cell r="R40">
            <v>275</v>
          </cell>
          <cell r="S40">
            <v>613</v>
          </cell>
          <cell r="T40">
            <v>3977</v>
          </cell>
          <cell r="U40">
            <v>1668</v>
          </cell>
          <cell r="V40">
            <v>5645</v>
          </cell>
          <cell r="W40">
            <v>10</v>
          </cell>
          <cell r="X40">
            <v>14</v>
          </cell>
          <cell r="Y40">
            <v>24</v>
          </cell>
          <cell r="Z40">
            <v>557</v>
          </cell>
          <cell r="AA40">
            <v>286</v>
          </cell>
        </row>
        <row r="41">
          <cell r="B41" t="str">
            <v>West Bengal</v>
          </cell>
          <cell r="D41">
            <v>1409</v>
          </cell>
          <cell r="E41">
            <v>141</v>
          </cell>
          <cell r="F41">
            <v>30</v>
          </cell>
          <cell r="G41">
            <v>171</v>
          </cell>
          <cell r="H41">
            <v>121</v>
          </cell>
          <cell r="I41">
            <v>40</v>
          </cell>
          <cell r="P41">
            <v>1577093</v>
          </cell>
          <cell r="Q41">
            <v>1091</v>
          </cell>
          <cell r="R41">
            <v>745</v>
          </cell>
          <cell r="S41">
            <v>1836</v>
          </cell>
          <cell r="T41">
            <v>20903</v>
          </cell>
          <cell r="U41">
            <v>19553</v>
          </cell>
          <cell r="V41">
            <v>40456</v>
          </cell>
          <cell r="W41">
            <v>1360</v>
          </cell>
          <cell r="X41">
            <v>1760</v>
          </cell>
          <cell r="Y41">
            <v>3120</v>
          </cell>
          <cell r="Z41">
            <v>3529</v>
          </cell>
          <cell r="AA41">
            <v>3644</v>
          </cell>
        </row>
        <row r="42">
          <cell r="B42">
            <v>0</v>
          </cell>
          <cell r="D42">
            <v>39955</v>
          </cell>
          <cell r="E42">
            <v>11546</v>
          </cell>
          <cell r="F42">
            <v>12639</v>
          </cell>
          <cell r="G42">
            <v>24185</v>
          </cell>
          <cell r="H42">
            <v>2568</v>
          </cell>
          <cell r="I42">
            <v>5460</v>
          </cell>
          <cell r="P42">
            <v>24253306</v>
          </cell>
          <cell r="Q42">
            <v>21246</v>
          </cell>
          <cell r="R42">
            <v>24763</v>
          </cell>
          <cell r="S42">
            <v>46009</v>
          </cell>
          <cell r="T42">
            <v>300061</v>
          </cell>
          <cell r="U42">
            <v>185892</v>
          </cell>
          <cell r="V42">
            <v>485953</v>
          </cell>
          <cell r="W42">
            <v>27861</v>
          </cell>
          <cell r="X42">
            <v>37856</v>
          </cell>
          <cell r="Y42">
            <v>65717</v>
          </cell>
          <cell r="Z42">
            <v>80933</v>
          </cell>
          <cell r="AA42">
            <v>68295</v>
          </cell>
        </row>
        <row r="45">
          <cell r="B45" t="str">
            <v>Ph.D.</v>
          </cell>
        </row>
        <row r="46">
          <cell r="B46" t="str">
            <v>M.Phil.</v>
          </cell>
        </row>
        <row r="47">
          <cell r="B47" t="str">
            <v>Post Graduate</v>
          </cell>
        </row>
        <row r="48">
          <cell r="B48" t="str">
            <v>Under Graduate</v>
          </cell>
        </row>
        <row r="49">
          <cell r="B49" t="str">
            <v>Post Graduate Diploma</v>
          </cell>
        </row>
        <row r="50">
          <cell r="B50" t="str">
            <v>Diploma</v>
          </cell>
        </row>
        <row r="51">
          <cell r="B51" t="str">
            <v>Certificate</v>
          </cell>
        </row>
        <row r="52">
          <cell r="B52" t="str">
            <v xml:space="preserve">Integrate </v>
          </cell>
        </row>
        <row r="53">
          <cell r="B53" t="str">
            <v xml:space="preserve">Total </v>
          </cell>
        </row>
      </sheetData>
      <sheetData sheetId="12"/>
      <sheetData sheetId="13">
        <row r="1">
          <cell r="B1" t="str">
            <v>Table 9a.</v>
          </cell>
        </row>
      </sheetData>
      <sheetData sheetId="14">
        <row r="1">
          <cell r="C1">
            <v>0</v>
          </cell>
          <cell r="F1">
            <v>0</v>
          </cell>
        </row>
        <row r="2">
          <cell r="B2" t="str">
            <v>State/UTs</v>
          </cell>
          <cell r="C2" t="str">
            <v>Post Graduate</v>
          </cell>
          <cell r="D2">
            <v>0</v>
          </cell>
          <cell r="E2">
            <v>0</v>
          </cell>
          <cell r="F2" t="str">
            <v>Under Graduate</v>
          </cell>
          <cell r="G2">
            <v>0</v>
          </cell>
        </row>
        <row r="3">
          <cell r="B3">
            <v>0</v>
          </cell>
          <cell r="C3" t="str">
            <v>Male</v>
          </cell>
          <cell r="D3" t="str">
            <v>Female</v>
          </cell>
          <cell r="E3" t="str">
            <v>Total</v>
          </cell>
          <cell r="F3" t="str">
            <v>Male</v>
          </cell>
          <cell r="G3" t="str">
            <v>Female</v>
          </cell>
        </row>
        <row r="4"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</row>
        <row r="5">
          <cell r="B5" t="str">
            <v>Andaman and Nicobar Islands</v>
          </cell>
          <cell r="C5">
            <v>69</v>
          </cell>
          <cell r="D5">
            <v>283</v>
          </cell>
          <cell r="E5">
            <v>352</v>
          </cell>
          <cell r="F5">
            <v>1933</v>
          </cell>
          <cell r="G5">
            <v>2757</v>
          </cell>
        </row>
        <row r="6">
          <cell r="B6" t="str">
            <v>Andhra Pradesh</v>
          </cell>
          <cell r="C6">
            <v>73624</v>
          </cell>
          <cell r="D6">
            <v>68039</v>
          </cell>
          <cell r="E6">
            <v>141663</v>
          </cell>
          <cell r="F6">
            <v>617882</v>
          </cell>
          <cell r="G6">
            <v>561805</v>
          </cell>
        </row>
        <row r="7">
          <cell r="B7" t="str">
            <v>Arunachal Pradesh</v>
          </cell>
          <cell r="C7">
            <v>62</v>
          </cell>
          <cell r="D7">
            <v>140</v>
          </cell>
          <cell r="E7">
            <v>202</v>
          </cell>
          <cell r="F7">
            <v>10157</v>
          </cell>
          <cell r="G7">
            <v>10435</v>
          </cell>
        </row>
        <row r="8">
          <cell r="B8" t="str">
            <v>Assam</v>
          </cell>
          <cell r="C8">
            <v>3582</v>
          </cell>
          <cell r="D8">
            <v>5592</v>
          </cell>
          <cell r="E8">
            <v>9174</v>
          </cell>
          <cell r="F8">
            <v>224775</v>
          </cell>
          <cell r="G8">
            <v>249458</v>
          </cell>
        </row>
        <row r="9">
          <cell r="B9" t="str">
            <v>Bihar</v>
          </cell>
          <cell r="C9">
            <v>21709</v>
          </cell>
          <cell r="D9">
            <v>20838</v>
          </cell>
          <cell r="E9">
            <v>42547</v>
          </cell>
          <cell r="F9">
            <v>773344</v>
          </cell>
          <cell r="G9">
            <v>628761</v>
          </cell>
        </row>
        <row r="10">
          <cell r="B10" t="str">
            <v>Chandigarh</v>
          </cell>
          <cell r="C10">
            <v>1429</v>
          </cell>
          <cell r="D10">
            <v>4570</v>
          </cell>
          <cell r="E10">
            <v>5999</v>
          </cell>
          <cell r="F10">
            <v>18984</v>
          </cell>
          <cell r="G10">
            <v>24512</v>
          </cell>
        </row>
        <row r="11">
          <cell r="B11" t="str">
            <v>Chhattisgarh</v>
          </cell>
          <cell r="C11">
            <v>17475</v>
          </cell>
          <cell r="D11">
            <v>29527</v>
          </cell>
          <cell r="E11">
            <v>47002</v>
          </cell>
          <cell r="F11">
            <v>155048</v>
          </cell>
          <cell r="G11">
            <v>209518</v>
          </cell>
        </row>
        <row r="12">
          <cell r="B12" t="str">
            <v>Dadra and Nagar Haveli</v>
          </cell>
          <cell r="C12">
            <v>66</v>
          </cell>
          <cell r="D12">
            <v>185</v>
          </cell>
          <cell r="E12">
            <v>251</v>
          </cell>
          <cell r="F12">
            <v>2247</v>
          </cell>
          <cell r="G12">
            <v>2822</v>
          </cell>
        </row>
        <row r="13">
          <cell r="B13" t="str">
            <v>Daman and Diu</v>
          </cell>
          <cell r="C13">
            <v>66</v>
          </cell>
          <cell r="D13">
            <v>186</v>
          </cell>
          <cell r="E13">
            <v>252</v>
          </cell>
          <cell r="F13">
            <v>1035</v>
          </cell>
          <cell r="G13">
            <v>1310</v>
          </cell>
        </row>
        <row r="14">
          <cell r="B14" t="str">
            <v>Delhi</v>
          </cell>
          <cell r="C14">
            <v>5865</v>
          </cell>
          <cell r="D14">
            <v>8161</v>
          </cell>
          <cell r="E14">
            <v>14026</v>
          </cell>
          <cell r="F14">
            <v>128305</v>
          </cell>
          <cell r="G14">
            <v>131231</v>
          </cell>
        </row>
        <row r="15">
          <cell r="B15" t="str">
            <v>Goa</v>
          </cell>
          <cell r="C15">
            <v>639</v>
          </cell>
          <cell r="D15">
            <v>1601</v>
          </cell>
          <cell r="E15">
            <v>2240</v>
          </cell>
          <cell r="F15">
            <v>14917</v>
          </cell>
          <cell r="G15">
            <v>20571</v>
          </cell>
        </row>
        <row r="16">
          <cell r="B16" t="str">
            <v>Gujarat</v>
          </cell>
          <cell r="C16">
            <v>36247</v>
          </cell>
          <cell r="D16">
            <v>51915</v>
          </cell>
          <cell r="E16">
            <v>88162</v>
          </cell>
          <cell r="F16">
            <v>548523</v>
          </cell>
          <cell r="G16">
            <v>443575</v>
          </cell>
        </row>
        <row r="17">
          <cell r="B17" t="str">
            <v>Haryana</v>
          </cell>
          <cell r="C17">
            <v>13731</v>
          </cell>
          <cell r="D17">
            <v>33619</v>
          </cell>
          <cell r="E17">
            <v>47350</v>
          </cell>
          <cell r="F17">
            <v>228093</v>
          </cell>
          <cell r="G17">
            <v>305107</v>
          </cell>
        </row>
        <row r="18">
          <cell r="B18" t="str">
            <v>Himachal Pradesh</v>
          </cell>
          <cell r="C18">
            <v>2405</v>
          </cell>
          <cell r="D18">
            <v>5950</v>
          </cell>
          <cell r="E18">
            <v>8355</v>
          </cell>
          <cell r="F18">
            <v>70514</v>
          </cell>
          <cell r="G18">
            <v>103526</v>
          </cell>
        </row>
        <row r="19">
          <cell r="B19" t="str">
            <v>Jammu and Kashmir</v>
          </cell>
          <cell r="C19">
            <v>2089</v>
          </cell>
          <cell r="D19">
            <v>2299</v>
          </cell>
          <cell r="E19">
            <v>4388</v>
          </cell>
          <cell r="F19">
            <v>103100</v>
          </cell>
          <cell r="G19">
            <v>113765</v>
          </cell>
        </row>
        <row r="20">
          <cell r="B20" t="str">
            <v>Jharkhand</v>
          </cell>
          <cell r="C20">
            <v>12746</v>
          </cell>
          <cell r="D20">
            <v>23820</v>
          </cell>
          <cell r="E20">
            <v>36566</v>
          </cell>
          <cell r="F20">
            <v>275455</v>
          </cell>
          <cell r="G20">
            <v>296088</v>
          </cell>
        </row>
        <row r="21">
          <cell r="B21" t="str">
            <v>Karnataka</v>
          </cell>
          <cell r="C21">
            <v>49567</v>
          </cell>
          <cell r="D21">
            <v>67984</v>
          </cell>
          <cell r="E21">
            <v>117551</v>
          </cell>
          <cell r="F21">
            <v>732827</v>
          </cell>
          <cell r="G21">
            <v>774134</v>
          </cell>
        </row>
        <row r="22">
          <cell r="B22" t="str">
            <v>Kerala</v>
          </cell>
          <cell r="C22">
            <v>16291</v>
          </cell>
          <cell r="D22">
            <v>58848</v>
          </cell>
          <cell r="E22">
            <v>75139</v>
          </cell>
          <cell r="F22">
            <v>269037</v>
          </cell>
          <cell r="G22">
            <v>395984</v>
          </cell>
        </row>
        <row r="23">
          <cell r="B23" t="str">
            <v>Ladakh</v>
          </cell>
          <cell r="C23">
            <v>0</v>
          </cell>
          <cell r="D23">
            <v>0</v>
          </cell>
          <cell r="E23">
            <v>0</v>
          </cell>
          <cell r="F23">
            <v>721</v>
          </cell>
          <cell r="G23">
            <v>1677</v>
          </cell>
        </row>
        <row r="24">
          <cell r="B24" t="str">
            <v>Lakshadweep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Madhya Pradesh</v>
          </cell>
          <cell r="C25">
            <v>86655</v>
          </cell>
          <cell r="D25">
            <v>119478</v>
          </cell>
          <cell r="E25">
            <v>206133</v>
          </cell>
          <cell r="F25">
            <v>689439</v>
          </cell>
          <cell r="G25">
            <v>672246</v>
          </cell>
        </row>
        <row r="26">
          <cell r="B26" t="str">
            <v>Maharashtra</v>
          </cell>
          <cell r="C26">
            <v>116886</v>
          </cell>
          <cell r="D26">
            <v>147597</v>
          </cell>
          <cell r="E26">
            <v>264483</v>
          </cell>
          <cell r="F26">
            <v>1418866</v>
          </cell>
          <cell r="G26">
            <v>1277075</v>
          </cell>
        </row>
        <row r="27">
          <cell r="B27" t="str">
            <v>Manipur</v>
          </cell>
          <cell r="C27">
            <v>754</v>
          </cell>
          <cell r="D27">
            <v>1316</v>
          </cell>
          <cell r="E27">
            <v>2070</v>
          </cell>
          <cell r="F27">
            <v>50455</v>
          </cell>
          <cell r="G27">
            <v>52634</v>
          </cell>
        </row>
        <row r="28">
          <cell r="B28" t="str">
            <v>Meghalaya</v>
          </cell>
          <cell r="C28">
            <v>118</v>
          </cell>
          <cell r="D28">
            <v>252</v>
          </cell>
          <cell r="E28">
            <v>370</v>
          </cell>
          <cell r="F28">
            <v>28316</v>
          </cell>
          <cell r="G28">
            <v>34301</v>
          </cell>
        </row>
        <row r="29">
          <cell r="B29" t="str">
            <v>Mizoram</v>
          </cell>
          <cell r="C29">
            <v>140</v>
          </cell>
          <cell r="D29">
            <v>93</v>
          </cell>
          <cell r="E29">
            <v>233</v>
          </cell>
          <cell r="F29">
            <v>9913</v>
          </cell>
          <cell r="G29">
            <v>8927</v>
          </cell>
        </row>
        <row r="30">
          <cell r="B30" t="str">
            <v>Nagaland</v>
          </cell>
          <cell r="C30">
            <v>271</v>
          </cell>
          <cell r="D30">
            <v>407</v>
          </cell>
          <cell r="E30">
            <v>678</v>
          </cell>
          <cell r="F30">
            <v>14918</v>
          </cell>
          <cell r="G30">
            <v>17665</v>
          </cell>
        </row>
        <row r="31">
          <cell r="B31" t="str">
            <v>Odisha</v>
          </cell>
          <cell r="C31">
            <v>22393</v>
          </cell>
          <cell r="D31">
            <v>19433</v>
          </cell>
          <cell r="E31">
            <v>41826</v>
          </cell>
          <cell r="F31">
            <v>328227</v>
          </cell>
          <cell r="G31">
            <v>322453</v>
          </cell>
        </row>
        <row r="32">
          <cell r="B32" t="str">
            <v>Puducherry</v>
          </cell>
          <cell r="C32">
            <v>1255</v>
          </cell>
          <cell r="D32">
            <v>2517</v>
          </cell>
          <cell r="E32">
            <v>3772</v>
          </cell>
          <cell r="F32">
            <v>18500</v>
          </cell>
          <cell r="G32">
            <v>23459</v>
          </cell>
        </row>
        <row r="33">
          <cell r="B33" t="str">
            <v>Punjab</v>
          </cell>
          <cell r="C33">
            <v>16531</v>
          </cell>
          <cell r="D33">
            <v>40400</v>
          </cell>
          <cell r="E33">
            <v>56931</v>
          </cell>
          <cell r="F33">
            <v>208365</v>
          </cell>
          <cell r="G33">
            <v>257685</v>
          </cell>
        </row>
        <row r="34">
          <cell r="B34" t="str">
            <v>Rajasthan</v>
          </cell>
          <cell r="C34">
            <v>43901</v>
          </cell>
          <cell r="D34">
            <v>84897</v>
          </cell>
          <cell r="E34">
            <v>128798</v>
          </cell>
          <cell r="F34">
            <v>738803</v>
          </cell>
          <cell r="G34">
            <v>768007</v>
          </cell>
        </row>
        <row r="35">
          <cell r="B35" t="str">
            <v>Sikkim</v>
          </cell>
          <cell r="C35">
            <v>133</v>
          </cell>
          <cell r="D35">
            <v>122</v>
          </cell>
          <cell r="E35">
            <v>255</v>
          </cell>
          <cell r="F35">
            <v>4829</v>
          </cell>
          <cell r="G35">
            <v>6525</v>
          </cell>
        </row>
        <row r="36">
          <cell r="B36" t="str">
            <v>Tamil Nadu</v>
          </cell>
          <cell r="C36">
            <v>71082</v>
          </cell>
          <cell r="D36">
            <v>145539</v>
          </cell>
          <cell r="E36">
            <v>216621</v>
          </cell>
          <cell r="F36">
            <v>912430</v>
          </cell>
          <cell r="G36">
            <v>1099897</v>
          </cell>
        </row>
        <row r="37">
          <cell r="B37" t="str">
            <v>Telangana</v>
          </cell>
          <cell r="C37">
            <v>51887</v>
          </cell>
          <cell r="D37">
            <v>71935</v>
          </cell>
          <cell r="E37">
            <v>123822</v>
          </cell>
          <cell r="F37">
            <v>495795</v>
          </cell>
          <cell r="G37">
            <v>540726</v>
          </cell>
        </row>
        <row r="38">
          <cell r="B38" t="str">
            <v>Tripura</v>
          </cell>
          <cell r="C38">
            <v>129</v>
          </cell>
          <cell r="D38">
            <v>161</v>
          </cell>
          <cell r="E38">
            <v>290</v>
          </cell>
          <cell r="F38">
            <v>30929</v>
          </cell>
          <cell r="G38">
            <v>27724</v>
          </cell>
        </row>
        <row r="39">
          <cell r="B39" t="str">
            <v>Uttar Pradesh</v>
          </cell>
          <cell r="C39">
            <v>165281</v>
          </cell>
          <cell r="D39">
            <v>272886</v>
          </cell>
          <cell r="E39">
            <v>438167</v>
          </cell>
          <cell r="F39">
            <v>2407756</v>
          </cell>
          <cell r="G39">
            <v>2641746</v>
          </cell>
        </row>
        <row r="40">
          <cell r="B40" t="str">
            <v>Uttarakhand</v>
          </cell>
          <cell r="C40">
            <v>12112</v>
          </cell>
          <cell r="D40">
            <v>19993</v>
          </cell>
          <cell r="E40">
            <v>32105</v>
          </cell>
          <cell r="F40">
            <v>98269</v>
          </cell>
          <cell r="G40">
            <v>117634</v>
          </cell>
        </row>
        <row r="41">
          <cell r="B41" t="str">
            <v>West Bengal</v>
          </cell>
          <cell r="C41">
            <v>13971</v>
          </cell>
          <cell r="D41">
            <v>17747</v>
          </cell>
          <cell r="E41">
            <v>31718</v>
          </cell>
          <cell r="F41">
            <v>735726</v>
          </cell>
          <cell r="G41">
            <v>841367</v>
          </cell>
        </row>
        <row r="42">
          <cell r="B42">
            <v>0</v>
          </cell>
          <cell r="C42">
            <v>861161</v>
          </cell>
          <cell r="D42">
            <v>1328330</v>
          </cell>
          <cell r="E42">
            <v>2189491</v>
          </cell>
          <cell r="F42">
            <v>12368433</v>
          </cell>
          <cell r="G42">
            <v>12987107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9716A9-F850-4EFF-9ECE-0BD194AB4090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ntk_Nq0EphB0zZjWcaD5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O38"/>
  <sheetViews>
    <sheetView showZeros="0" tabSelected="1" view="pageBreakPreview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12" sqref="Q12"/>
    </sheetView>
  </sheetViews>
  <sheetFormatPr defaultColWidth="9.140625" defaultRowHeight="14.25"/>
  <cols>
    <col min="1" max="1" width="4.85546875" style="103" customWidth="1"/>
    <col min="2" max="2" width="21.42578125" style="103" customWidth="1"/>
    <col min="3" max="3" width="6" style="103" customWidth="1"/>
    <col min="4" max="7" width="5.85546875" style="103" customWidth="1"/>
    <col min="8" max="10" width="6.140625" style="103" customWidth="1"/>
    <col min="11" max="12" width="5.85546875" style="103" customWidth="1"/>
    <col min="13" max="13" width="5.5703125" style="103" customWidth="1"/>
    <col min="14" max="14" width="7.5703125" style="103" customWidth="1"/>
    <col min="15" max="15" width="10.5703125" style="103" bestFit="1" customWidth="1"/>
    <col min="16" max="16384" width="9.140625" style="103"/>
  </cols>
  <sheetData>
    <row r="1" spans="1:15" s="97" customFormat="1" ht="23.25" customHeight="1">
      <c r="B1" s="95" t="s">
        <v>53</v>
      </c>
      <c r="C1" s="96" t="s">
        <v>873</v>
      </c>
      <c r="D1" s="94"/>
      <c r="E1" s="94"/>
      <c r="F1" s="94"/>
      <c r="G1" s="94"/>
      <c r="H1" s="94"/>
      <c r="I1" s="94"/>
      <c r="J1" s="94"/>
    </row>
    <row r="2" spans="1:15" s="102" customFormat="1" ht="116.25" customHeight="1">
      <c r="A2" s="313" t="s">
        <v>165</v>
      </c>
      <c r="B2" s="313" t="s">
        <v>713</v>
      </c>
      <c r="C2" s="456" t="s">
        <v>123</v>
      </c>
      <c r="D2" s="456" t="s">
        <v>124</v>
      </c>
      <c r="E2" s="457" t="s">
        <v>125</v>
      </c>
      <c r="F2" s="456" t="s">
        <v>126</v>
      </c>
      <c r="G2" s="456" t="s">
        <v>129</v>
      </c>
      <c r="H2" s="456" t="s">
        <v>127</v>
      </c>
      <c r="I2" s="456" t="s">
        <v>128</v>
      </c>
      <c r="J2" s="456" t="s">
        <v>136</v>
      </c>
      <c r="K2" s="456" t="s">
        <v>130</v>
      </c>
      <c r="L2" s="456" t="s">
        <v>131</v>
      </c>
      <c r="M2" s="456" t="s">
        <v>132</v>
      </c>
      <c r="N2" s="458" t="s">
        <v>60</v>
      </c>
      <c r="O2" s="101"/>
    </row>
    <row r="3" spans="1:15" s="102" customFormat="1" ht="15" customHeight="1">
      <c r="A3" s="98">
        <v>1</v>
      </c>
      <c r="B3" s="99">
        <v>2</v>
      </c>
      <c r="C3" s="98">
        <v>3</v>
      </c>
      <c r="D3" s="99">
        <v>4</v>
      </c>
      <c r="E3" s="98">
        <v>5</v>
      </c>
      <c r="F3" s="99">
        <v>6</v>
      </c>
      <c r="G3" s="98">
        <v>7</v>
      </c>
      <c r="H3" s="99">
        <v>8</v>
      </c>
      <c r="I3" s="98">
        <v>9</v>
      </c>
      <c r="J3" s="99">
        <v>10</v>
      </c>
      <c r="K3" s="98">
        <v>11</v>
      </c>
      <c r="L3" s="99">
        <v>12</v>
      </c>
      <c r="M3" s="98">
        <v>13</v>
      </c>
      <c r="N3" s="99">
        <v>14</v>
      </c>
      <c r="O3" s="101"/>
    </row>
    <row r="4" spans="1:15" ht="18.75" customHeight="1">
      <c r="A4" s="84">
        <v>1</v>
      </c>
      <c r="B4" s="86" t="s">
        <v>15</v>
      </c>
      <c r="C4" s="92">
        <v>1</v>
      </c>
      <c r="D4" s="92"/>
      <c r="E4" s="92">
        <v>9</v>
      </c>
      <c r="F4" s="92">
        <v>22</v>
      </c>
      <c r="G4" s="92">
        <v>1</v>
      </c>
      <c r="H4" s="92"/>
      <c r="I4" s="92">
        <v>3</v>
      </c>
      <c r="J4" s="92"/>
      <c r="K4" s="92">
        <v>1</v>
      </c>
      <c r="L4" s="92"/>
      <c r="M4" s="92">
        <v>4</v>
      </c>
      <c r="N4" s="93">
        <f t="shared" ref="N4:N36" si="0">SUM(C4:M4)</f>
        <v>41</v>
      </c>
      <c r="O4" s="101"/>
    </row>
    <row r="5" spans="1:15" ht="18.75" customHeight="1">
      <c r="A5" s="84">
        <v>2</v>
      </c>
      <c r="B5" s="86" t="s">
        <v>16</v>
      </c>
      <c r="C5" s="92">
        <v>1</v>
      </c>
      <c r="D5" s="92"/>
      <c r="E5" s="92">
        <v>1</v>
      </c>
      <c r="F5" s="92"/>
      <c r="G5" s="92"/>
      <c r="H5" s="92"/>
      <c r="I5" s="92">
        <v>6</v>
      </c>
      <c r="J5" s="92">
        <v>1</v>
      </c>
      <c r="K5" s="92">
        <v>1</v>
      </c>
      <c r="L5" s="92"/>
      <c r="M5" s="92"/>
      <c r="N5" s="93">
        <f t="shared" si="0"/>
        <v>10</v>
      </c>
      <c r="O5" s="101"/>
    </row>
    <row r="6" spans="1:15" ht="18.75" customHeight="1">
      <c r="A6" s="84">
        <v>3</v>
      </c>
      <c r="B6" s="86" t="s">
        <v>17</v>
      </c>
      <c r="C6" s="92">
        <v>2</v>
      </c>
      <c r="D6" s="92"/>
      <c r="E6" s="92">
        <v>4</v>
      </c>
      <c r="F6" s="92">
        <v>12</v>
      </c>
      <c r="G6" s="92"/>
      <c r="H6" s="92">
        <v>1</v>
      </c>
      <c r="I6" s="92">
        <v>6</v>
      </c>
      <c r="J6" s="92"/>
      <c r="K6" s="92">
        <v>1</v>
      </c>
      <c r="L6" s="92"/>
      <c r="M6" s="92"/>
      <c r="N6" s="93">
        <f t="shared" si="0"/>
        <v>26</v>
      </c>
      <c r="O6" s="101"/>
    </row>
    <row r="7" spans="1:15" ht="18.75" customHeight="1">
      <c r="A7" s="84">
        <v>4</v>
      </c>
      <c r="B7" s="86" t="s">
        <v>18</v>
      </c>
      <c r="C7" s="92">
        <v>4</v>
      </c>
      <c r="D7" s="92"/>
      <c r="E7" s="92">
        <v>5</v>
      </c>
      <c r="F7" s="92">
        <v>17</v>
      </c>
      <c r="G7" s="92">
        <v>1</v>
      </c>
      <c r="H7" s="92">
        <v>1</v>
      </c>
      <c r="I7" s="92">
        <v>6</v>
      </c>
      <c r="J7" s="92"/>
      <c r="K7" s="92">
        <v>1</v>
      </c>
      <c r="L7" s="92"/>
      <c r="M7" s="92"/>
      <c r="N7" s="93">
        <f t="shared" si="0"/>
        <v>35</v>
      </c>
      <c r="O7" s="101"/>
    </row>
    <row r="8" spans="1:15" ht="18.75" customHeight="1">
      <c r="A8" s="84">
        <v>5</v>
      </c>
      <c r="B8" s="86" t="s">
        <v>19</v>
      </c>
      <c r="C8" s="92"/>
      <c r="D8" s="92"/>
      <c r="E8" s="92">
        <v>1</v>
      </c>
      <c r="F8" s="92">
        <v>1</v>
      </c>
      <c r="G8" s="92"/>
      <c r="H8" s="92"/>
      <c r="I8" s="92"/>
      <c r="J8" s="92"/>
      <c r="K8" s="92">
        <v>1</v>
      </c>
      <c r="L8" s="92"/>
      <c r="M8" s="92"/>
      <c r="N8" s="93">
        <f t="shared" si="0"/>
        <v>3</v>
      </c>
      <c r="O8" s="101"/>
    </row>
    <row r="9" spans="1:15" ht="18.75" customHeight="1">
      <c r="A9" s="84">
        <v>6</v>
      </c>
      <c r="B9" s="85" t="s">
        <v>20</v>
      </c>
      <c r="C9" s="92">
        <v>1</v>
      </c>
      <c r="D9" s="92"/>
      <c r="E9" s="92">
        <v>4</v>
      </c>
      <c r="F9" s="92">
        <v>13</v>
      </c>
      <c r="G9" s="92"/>
      <c r="H9" s="92">
        <v>1</v>
      </c>
      <c r="I9" s="92">
        <v>9</v>
      </c>
      <c r="J9" s="92"/>
      <c r="K9" s="92"/>
      <c r="L9" s="92"/>
      <c r="M9" s="92"/>
      <c r="N9" s="93">
        <f t="shared" si="0"/>
        <v>28</v>
      </c>
      <c r="O9" s="101"/>
    </row>
    <row r="10" spans="1:15" ht="18.75" customHeight="1">
      <c r="A10" s="84">
        <v>7</v>
      </c>
      <c r="B10" s="86" t="s">
        <v>23</v>
      </c>
      <c r="C10" s="92">
        <v>5</v>
      </c>
      <c r="D10" s="92">
        <v>1</v>
      </c>
      <c r="E10" s="92">
        <v>5</v>
      </c>
      <c r="F10" s="92">
        <v>8</v>
      </c>
      <c r="G10" s="92"/>
      <c r="H10" s="92"/>
      <c r="I10" s="92"/>
      <c r="J10" s="92"/>
      <c r="K10" s="92">
        <v>7</v>
      </c>
      <c r="L10" s="92">
        <v>1</v>
      </c>
      <c r="M10" s="92">
        <v>1</v>
      </c>
      <c r="N10" s="93">
        <f t="shared" si="0"/>
        <v>28</v>
      </c>
      <c r="O10" s="101"/>
    </row>
    <row r="11" spans="1:15" ht="18.75" customHeight="1">
      <c r="A11" s="84">
        <v>8</v>
      </c>
      <c r="B11" s="86" t="s">
        <v>24</v>
      </c>
      <c r="C11" s="92"/>
      <c r="D11" s="92"/>
      <c r="E11" s="92">
        <v>2</v>
      </c>
      <c r="F11" s="92">
        <v>1</v>
      </c>
      <c r="G11" s="92"/>
      <c r="H11" s="92"/>
      <c r="I11" s="92"/>
      <c r="J11" s="92"/>
      <c r="K11" s="92"/>
      <c r="L11" s="92"/>
      <c r="M11" s="92"/>
      <c r="N11" s="93">
        <f t="shared" si="0"/>
        <v>3</v>
      </c>
      <c r="O11" s="101"/>
    </row>
    <row r="12" spans="1:15" ht="18.75" customHeight="1">
      <c r="A12" s="84">
        <v>9</v>
      </c>
      <c r="B12" s="86" t="s">
        <v>25</v>
      </c>
      <c r="C12" s="92">
        <v>1</v>
      </c>
      <c r="D12" s="92"/>
      <c r="E12" s="92">
        <v>6</v>
      </c>
      <c r="F12" s="92">
        <v>28</v>
      </c>
      <c r="G12" s="92"/>
      <c r="H12" s="92">
        <v>1</v>
      </c>
      <c r="I12" s="92">
        <v>37</v>
      </c>
      <c r="J12" s="92"/>
      <c r="K12" s="92">
        <v>1</v>
      </c>
      <c r="L12" s="92">
        <v>1</v>
      </c>
      <c r="M12" s="92">
        <v>1</v>
      </c>
      <c r="N12" s="93">
        <f t="shared" si="0"/>
        <v>76</v>
      </c>
      <c r="O12" s="101"/>
    </row>
    <row r="13" spans="1:15" ht="18.75" customHeight="1">
      <c r="A13" s="84">
        <v>10</v>
      </c>
      <c r="B13" s="86" t="s">
        <v>26</v>
      </c>
      <c r="C13" s="92">
        <v>1</v>
      </c>
      <c r="D13" s="92"/>
      <c r="E13" s="92">
        <v>5</v>
      </c>
      <c r="F13" s="92">
        <v>18</v>
      </c>
      <c r="G13" s="92"/>
      <c r="H13" s="92"/>
      <c r="I13" s="92">
        <v>23</v>
      </c>
      <c r="J13" s="92"/>
      <c r="K13" s="92">
        <v>3</v>
      </c>
      <c r="L13" s="92"/>
      <c r="M13" s="92">
        <v>3</v>
      </c>
      <c r="N13" s="93">
        <f t="shared" si="0"/>
        <v>53</v>
      </c>
      <c r="O13" s="101"/>
    </row>
    <row r="14" spans="1:15" ht="18.75" customHeight="1">
      <c r="A14" s="84">
        <v>11</v>
      </c>
      <c r="B14" s="86" t="s">
        <v>27</v>
      </c>
      <c r="C14" s="92">
        <v>1</v>
      </c>
      <c r="D14" s="92"/>
      <c r="E14" s="92">
        <v>4</v>
      </c>
      <c r="F14" s="92">
        <v>5</v>
      </c>
      <c r="G14" s="92"/>
      <c r="H14" s="92"/>
      <c r="I14" s="92">
        <v>17</v>
      </c>
      <c r="J14" s="92"/>
      <c r="K14" s="92"/>
      <c r="L14" s="92"/>
      <c r="M14" s="92"/>
      <c r="N14" s="93">
        <f t="shared" si="0"/>
        <v>27</v>
      </c>
      <c r="O14" s="101"/>
    </row>
    <row r="15" spans="1:15" ht="31.5">
      <c r="A15" s="84">
        <v>12</v>
      </c>
      <c r="B15" s="85" t="s">
        <v>57</v>
      </c>
      <c r="C15" s="92">
        <v>2</v>
      </c>
      <c r="D15" s="92"/>
      <c r="E15" s="92">
        <v>3</v>
      </c>
      <c r="F15" s="92">
        <v>9</v>
      </c>
      <c r="G15" s="92">
        <v>1</v>
      </c>
      <c r="H15" s="92"/>
      <c r="I15" s="92"/>
      <c r="J15" s="92"/>
      <c r="K15" s="92"/>
      <c r="L15" s="92"/>
      <c r="M15" s="92"/>
      <c r="N15" s="93">
        <f t="shared" si="0"/>
        <v>15</v>
      </c>
      <c r="O15" s="101"/>
    </row>
    <row r="16" spans="1:15" ht="18.75" customHeight="1">
      <c r="A16" s="84">
        <v>13</v>
      </c>
      <c r="B16" s="86" t="s">
        <v>29</v>
      </c>
      <c r="C16" s="92">
        <v>1</v>
      </c>
      <c r="D16" s="92"/>
      <c r="E16" s="92">
        <v>5</v>
      </c>
      <c r="F16" s="92">
        <v>11</v>
      </c>
      <c r="G16" s="92"/>
      <c r="H16" s="92"/>
      <c r="I16" s="92">
        <v>14</v>
      </c>
      <c r="J16" s="92"/>
      <c r="K16" s="92"/>
      <c r="L16" s="92"/>
      <c r="M16" s="92">
        <v>1</v>
      </c>
      <c r="N16" s="93">
        <f t="shared" si="0"/>
        <v>32</v>
      </c>
      <c r="O16" s="101"/>
    </row>
    <row r="17" spans="1:15" ht="18.75" customHeight="1">
      <c r="A17" s="84">
        <v>14</v>
      </c>
      <c r="B17" s="86" t="s">
        <v>30</v>
      </c>
      <c r="C17" s="92">
        <v>1</v>
      </c>
      <c r="D17" s="92"/>
      <c r="E17" s="92">
        <v>4</v>
      </c>
      <c r="F17" s="92">
        <v>30</v>
      </c>
      <c r="G17" s="92"/>
      <c r="H17" s="92">
        <v>1</v>
      </c>
      <c r="I17" s="92">
        <v>18</v>
      </c>
      <c r="J17" s="92"/>
      <c r="K17" s="92">
        <v>4</v>
      </c>
      <c r="L17" s="92"/>
      <c r="M17" s="92">
        <v>11</v>
      </c>
      <c r="N17" s="93">
        <f t="shared" si="0"/>
        <v>69</v>
      </c>
      <c r="O17" s="101"/>
    </row>
    <row r="18" spans="1:15" ht="18.75" customHeight="1">
      <c r="A18" s="84">
        <v>15</v>
      </c>
      <c r="B18" s="86" t="s">
        <v>31</v>
      </c>
      <c r="C18" s="92">
        <v>1</v>
      </c>
      <c r="D18" s="92"/>
      <c r="E18" s="92">
        <v>6</v>
      </c>
      <c r="F18" s="92">
        <v>13</v>
      </c>
      <c r="G18" s="92"/>
      <c r="H18" s="92"/>
      <c r="I18" s="92"/>
      <c r="J18" s="92"/>
      <c r="K18" s="92">
        <v>2</v>
      </c>
      <c r="L18" s="92"/>
      <c r="M18" s="92">
        <v>1</v>
      </c>
      <c r="N18" s="93">
        <f t="shared" si="0"/>
        <v>23</v>
      </c>
      <c r="O18" s="101"/>
    </row>
    <row r="19" spans="1:15" ht="18.75" customHeight="1">
      <c r="A19" s="84">
        <v>16</v>
      </c>
      <c r="B19" s="86" t="s">
        <v>761</v>
      </c>
      <c r="C19" s="92"/>
      <c r="D19" s="92"/>
      <c r="E19" s="92"/>
      <c r="F19" s="92"/>
      <c r="G19" s="92"/>
      <c r="H19" s="92"/>
      <c r="I19" s="92"/>
      <c r="J19" s="92"/>
      <c r="K19" s="92">
        <v>1</v>
      </c>
      <c r="L19" s="92"/>
      <c r="M19" s="92"/>
      <c r="N19" s="93">
        <f t="shared" si="0"/>
        <v>1</v>
      </c>
      <c r="O19" s="101"/>
    </row>
    <row r="20" spans="1:15" ht="18.75" customHeight="1">
      <c r="A20" s="84">
        <v>17</v>
      </c>
      <c r="B20" s="86" t="s">
        <v>33</v>
      </c>
      <c r="C20" s="92">
        <v>2</v>
      </c>
      <c r="D20" s="92"/>
      <c r="E20" s="92">
        <v>8</v>
      </c>
      <c r="F20" s="92">
        <v>21</v>
      </c>
      <c r="G20" s="92"/>
      <c r="H20" s="92">
        <v>1</v>
      </c>
      <c r="I20" s="92">
        <v>33</v>
      </c>
      <c r="J20" s="92"/>
      <c r="K20" s="92">
        <v>1</v>
      </c>
      <c r="L20" s="92"/>
      <c r="M20" s="92"/>
      <c r="N20" s="93">
        <f t="shared" si="0"/>
        <v>66</v>
      </c>
      <c r="O20" s="101"/>
    </row>
    <row r="21" spans="1:15" ht="18.75" customHeight="1">
      <c r="A21" s="84">
        <v>18</v>
      </c>
      <c r="B21" s="86" t="s">
        <v>34</v>
      </c>
      <c r="C21" s="92">
        <v>1</v>
      </c>
      <c r="D21" s="92"/>
      <c r="E21" s="92">
        <v>8</v>
      </c>
      <c r="F21" s="92">
        <v>23</v>
      </c>
      <c r="G21" s="92"/>
      <c r="H21" s="92">
        <v>1</v>
      </c>
      <c r="I21" s="92">
        <v>11</v>
      </c>
      <c r="J21" s="92"/>
      <c r="K21" s="92">
        <v>7</v>
      </c>
      <c r="L21" s="92">
        <v>2</v>
      </c>
      <c r="M21" s="92">
        <v>12</v>
      </c>
      <c r="N21" s="93">
        <f t="shared" si="0"/>
        <v>65</v>
      </c>
      <c r="O21" s="101"/>
    </row>
    <row r="22" spans="1:15" ht="18.75" customHeight="1">
      <c r="A22" s="84">
        <v>19</v>
      </c>
      <c r="B22" s="86" t="s">
        <v>35</v>
      </c>
      <c r="C22" s="92">
        <v>3</v>
      </c>
      <c r="D22" s="92"/>
      <c r="E22" s="92">
        <v>2</v>
      </c>
      <c r="F22" s="92">
        <v>3</v>
      </c>
      <c r="G22" s="92"/>
      <c r="H22" s="92"/>
      <c r="I22" s="92"/>
      <c r="J22" s="92"/>
      <c r="K22" s="92"/>
      <c r="L22" s="92"/>
      <c r="M22" s="92"/>
      <c r="N22" s="93">
        <f t="shared" si="0"/>
        <v>8</v>
      </c>
      <c r="O22" s="101"/>
    </row>
    <row r="23" spans="1:15" ht="18.75" customHeight="1">
      <c r="A23" s="84">
        <v>20</v>
      </c>
      <c r="B23" s="86" t="s">
        <v>36</v>
      </c>
      <c r="C23" s="92">
        <v>1</v>
      </c>
      <c r="D23" s="92"/>
      <c r="E23" s="92">
        <v>2</v>
      </c>
      <c r="F23" s="92"/>
      <c r="G23" s="92"/>
      <c r="H23" s="92"/>
      <c r="I23" s="92">
        <v>7</v>
      </c>
      <c r="J23" s="92"/>
      <c r="K23" s="92"/>
      <c r="L23" s="92"/>
      <c r="M23" s="92"/>
      <c r="N23" s="93">
        <f t="shared" si="0"/>
        <v>10</v>
      </c>
      <c r="O23" s="101"/>
    </row>
    <row r="24" spans="1:15" ht="18.75" customHeight="1">
      <c r="A24" s="84">
        <v>21</v>
      </c>
      <c r="B24" s="86" t="s">
        <v>37</v>
      </c>
      <c r="C24" s="92">
        <v>1</v>
      </c>
      <c r="D24" s="92"/>
      <c r="E24" s="92">
        <v>1</v>
      </c>
      <c r="F24" s="92"/>
      <c r="G24" s="92"/>
      <c r="H24" s="92"/>
      <c r="I24" s="92">
        <v>1</v>
      </c>
      <c r="J24" s="92"/>
      <c r="K24" s="92"/>
      <c r="L24" s="92"/>
      <c r="M24" s="92"/>
      <c r="N24" s="93">
        <f t="shared" si="0"/>
        <v>3</v>
      </c>
      <c r="O24" s="101"/>
    </row>
    <row r="25" spans="1:15" ht="18.75" customHeight="1">
      <c r="A25" s="84">
        <v>22</v>
      </c>
      <c r="B25" s="86" t="s">
        <v>38</v>
      </c>
      <c r="C25" s="92">
        <v>1</v>
      </c>
      <c r="D25" s="92"/>
      <c r="E25" s="92">
        <v>1</v>
      </c>
      <c r="F25" s="92"/>
      <c r="G25" s="92"/>
      <c r="H25" s="92"/>
      <c r="I25" s="92">
        <v>3</v>
      </c>
      <c r="J25" s="92"/>
      <c r="K25" s="92"/>
      <c r="L25" s="92"/>
      <c r="M25" s="92"/>
      <c r="N25" s="93">
        <f t="shared" si="0"/>
        <v>5</v>
      </c>
      <c r="O25" s="101"/>
    </row>
    <row r="26" spans="1:15" ht="18.75" customHeight="1">
      <c r="A26" s="84">
        <v>23</v>
      </c>
      <c r="B26" s="86" t="s">
        <v>39</v>
      </c>
      <c r="C26" s="92">
        <v>1</v>
      </c>
      <c r="D26" s="92"/>
      <c r="E26" s="92">
        <v>5</v>
      </c>
      <c r="F26" s="92">
        <v>16</v>
      </c>
      <c r="G26" s="92"/>
      <c r="H26" s="92">
        <v>1</v>
      </c>
      <c r="I26" s="92">
        <v>6</v>
      </c>
      <c r="J26" s="92"/>
      <c r="K26" s="92"/>
      <c r="L26" s="92"/>
      <c r="M26" s="92">
        <v>3</v>
      </c>
      <c r="N26" s="93">
        <f t="shared" si="0"/>
        <v>32</v>
      </c>
      <c r="O26" s="101"/>
    </row>
    <row r="27" spans="1:15" ht="18.75" customHeight="1">
      <c r="A27" s="84">
        <v>24</v>
      </c>
      <c r="B27" s="86" t="s">
        <v>40</v>
      </c>
      <c r="C27" s="92">
        <v>1</v>
      </c>
      <c r="D27" s="92"/>
      <c r="E27" s="92">
        <v>2</v>
      </c>
      <c r="F27" s="92"/>
      <c r="G27" s="92"/>
      <c r="H27" s="92"/>
      <c r="I27" s="92"/>
      <c r="J27" s="92"/>
      <c r="K27" s="92"/>
      <c r="L27" s="92"/>
      <c r="M27" s="92">
        <v>1</v>
      </c>
      <c r="N27" s="93">
        <f t="shared" si="0"/>
        <v>4</v>
      </c>
      <c r="O27" s="101"/>
    </row>
    <row r="28" spans="1:15" ht="18.75" customHeight="1">
      <c r="A28" s="84">
        <v>25</v>
      </c>
      <c r="B28" s="86" t="s">
        <v>41</v>
      </c>
      <c r="C28" s="92">
        <v>1</v>
      </c>
      <c r="D28" s="92"/>
      <c r="E28" s="92">
        <v>5</v>
      </c>
      <c r="F28" s="92">
        <v>9</v>
      </c>
      <c r="G28" s="92"/>
      <c r="H28" s="92"/>
      <c r="I28" s="92">
        <v>15</v>
      </c>
      <c r="J28" s="92"/>
      <c r="K28" s="92">
        <v>1</v>
      </c>
      <c r="L28" s="92"/>
      <c r="M28" s="92">
        <v>1</v>
      </c>
      <c r="N28" s="93">
        <f t="shared" si="0"/>
        <v>32</v>
      </c>
      <c r="O28" s="101"/>
    </row>
    <row r="29" spans="1:15" ht="18.75" customHeight="1">
      <c r="A29" s="84">
        <v>26</v>
      </c>
      <c r="B29" s="86" t="s">
        <v>42</v>
      </c>
      <c r="C29" s="92">
        <v>1</v>
      </c>
      <c r="D29" s="92"/>
      <c r="E29" s="92">
        <v>5</v>
      </c>
      <c r="F29" s="92">
        <v>25</v>
      </c>
      <c r="G29" s="92"/>
      <c r="H29" s="92">
        <v>1</v>
      </c>
      <c r="I29" s="92">
        <v>50</v>
      </c>
      <c r="J29" s="92"/>
      <c r="K29" s="92"/>
      <c r="L29" s="92"/>
      <c r="M29" s="92">
        <v>7</v>
      </c>
      <c r="N29" s="93">
        <f t="shared" si="0"/>
        <v>89</v>
      </c>
      <c r="O29" s="101"/>
    </row>
    <row r="30" spans="1:15" ht="18.75" customHeight="1">
      <c r="A30" s="84">
        <v>27</v>
      </c>
      <c r="B30" s="86" t="s">
        <v>43</v>
      </c>
      <c r="C30" s="92">
        <v>1</v>
      </c>
      <c r="D30" s="92"/>
      <c r="E30" s="92">
        <v>1</v>
      </c>
      <c r="F30" s="92">
        <v>1</v>
      </c>
      <c r="G30" s="92"/>
      <c r="H30" s="92"/>
      <c r="I30" s="92">
        <v>5</v>
      </c>
      <c r="J30" s="92"/>
      <c r="K30" s="92"/>
      <c r="L30" s="92"/>
      <c r="M30" s="92"/>
      <c r="N30" s="93">
        <f t="shared" si="0"/>
        <v>8</v>
      </c>
      <c r="O30" s="101"/>
    </row>
    <row r="31" spans="1:15" ht="18.75" customHeight="1">
      <c r="A31" s="84">
        <v>28</v>
      </c>
      <c r="B31" s="86" t="s">
        <v>44</v>
      </c>
      <c r="C31" s="92">
        <v>2</v>
      </c>
      <c r="D31" s="92"/>
      <c r="E31" s="92">
        <v>7</v>
      </c>
      <c r="F31" s="92">
        <v>21</v>
      </c>
      <c r="G31" s="92"/>
      <c r="H31" s="92">
        <v>1</v>
      </c>
      <c r="I31" s="92"/>
      <c r="J31" s="92"/>
      <c r="K31" s="92"/>
      <c r="L31" s="92">
        <v>2</v>
      </c>
      <c r="M31" s="92">
        <v>26</v>
      </c>
      <c r="N31" s="93">
        <f t="shared" si="0"/>
        <v>59</v>
      </c>
      <c r="O31" s="101"/>
    </row>
    <row r="32" spans="1:15" ht="18.75" customHeight="1">
      <c r="A32" s="84">
        <v>29</v>
      </c>
      <c r="B32" s="86" t="s">
        <v>134</v>
      </c>
      <c r="C32" s="92">
        <v>3</v>
      </c>
      <c r="D32" s="92"/>
      <c r="E32" s="92">
        <v>2</v>
      </c>
      <c r="F32" s="92">
        <v>15</v>
      </c>
      <c r="G32" s="92">
        <v>1</v>
      </c>
      <c r="H32" s="92">
        <v>1</v>
      </c>
      <c r="I32" s="92"/>
      <c r="J32" s="92"/>
      <c r="K32" s="92"/>
      <c r="L32" s="92"/>
      <c r="M32" s="92">
        <v>2</v>
      </c>
      <c r="N32" s="93">
        <f t="shared" si="0"/>
        <v>24</v>
      </c>
      <c r="O32" s="101"/>
    </row>
    <row r="33" spans="1:15" ht="18.75" customHeight="1">
      <c r="A33" s="84">
        <v>30</v>
      </c>
      <c r="B33" s="86" t="s">
        <v>45</v>
      </c>
      <c r="C33" s="92">
        <v>1</v>
      </c>
      <c r="D33" s="92"/>
      <c r="E33" s="92">
        <v>1</v>
      </c>
      <c r="F33" s="92">
        <v>1</v>
      </c>
      <c r="G33" s="92"/>
      <c r="H33" s="92"/>
      <c r="I33" s="92">
        <v>1</v>
      </c>
      <c r="J33" s="92"/>
      <c r="K33" s="92"/>
      <c r="L33" s="92"/>
      <c r="M33" s="92"/>
      <c r="N33" s="93">
        <f t="shared" si="0"/>
        <v>4</v>
      </c>
      <c r="O33" s="101"/>
    </row>
    <row r="34" spans="1:15" ht="18.75" customHeight="1">
      <c r="A34" s="84">
        <v>31</v>
      </c>
      <c r="B34" s="86" t="s">
        <v>47</v>
      </c>
      <c r="C34" s="92">
        <v>4</v>
      </c>
      <c r="D34" s="92"/>
      <c r="E34" s="92">
        <v>9</v>
      </c>
      <c r="F34" s="92">
        <v>28</v>
      </c>
      <c r="G34" s="92">
        <v>1</v>
      </c>
      <c r="H34" s="92">
        <v>1</v>
      </c>
      <c r="I34" s="92">
        <v>29</v>
      </c>
      <c r="J34" s="92"/>
      <c r="K34" s="92">
        <v>2</v>
      </c>
      <c r="L34" s="92">
        <v>3</v>
      </c>
      <c r="M34" s="92">
        <v>4</v>
      </c>
      <c r="N34" s="93">
        <f t="shared" si="0"/>
        <v>81</v>
      </c>
      <c r="O34" s="101"/>
    </row>
    <row r="35" spans="1:15" ht="18.75" customHeight="1">
      <c r="A35" s="84">
        <v>32</v>
      </c>
      <c r="B35" s="85" t="s">
        <v>46</v>
      </c>
      <c r="C35" s="92">
        <v>1</v>
      </c>
      <c r="D35" s="92"/>
      <c r="E35" s="92">
        <v>4</v>
      </c>
      <c r="F35" s="92">
        <v>10</v>
      </c>
      <c r="G35" s="92"/>
      <c r="H35" s="92">
        <v>1</v>
      </c>
      <c r="I35" s="92">
        <v>17</v>
      </c>
      <c r="J35" s="92"/>
      <c r="K35" s="92">
        <v>1</v>
      </c>
      <c r="L35" s="92">
        <v>1</v>
      </c>
      <c r="M35" s="92">
        <v>1</v>
      </c>
      <c r="N35" s="93">
        <f t="shared" si="0"/>
        <v>36</v>
      </c>
      <c r="O35" s="101"/>
    </row>
    <row r="36" spans="1:15" ht="18.75" customHeight="1">
      <c r="A36" s="84">
        <v>33</v>
      </c>
      <c r="B36" s="86" t="s">
        <v>48</v>
      </c>
      <c r="C36" s="92">
        <v>1</v>
      </c>
      <c r="D36" s="92"/>
      <c r="E36" s="92">
        <v>8</v>
      </c>
      <c r="F36" s="92">
        <v>25</v>
      </c>
      <c r="G36" s="92"/>
      <c r="H36" s="92">
        <v>1</v>
      </c>
      <c r="I36" s="92">
        <v>10</v>
      </c>
      <c r="J36" s="92"/>
      <c r="K36" s="92">
        <v>1</v>
      </c>
      <c r="L36" s="92"/>
      <c r="M36" s="92">
        <v>1</v>
      </c>
      <c r="N36" s="93">
        <f t="shared" si="0"/>
        <v>47</v>
      </c>
      <c r="O36" s="101"/>
    </row>
    <row r="37" spans="1:15" ht="18.75" customHeight="1">
      <c r="A37" s="746" t="s">
        <v>49</v>
      </c>
      <c r="B37" s="746"/>
      <c r="C37" s="121">
        <f>SUM(C4:C36)</f>
        <v>48</v>
      </c>
      <c r="D37" s="121">
        <f t="shared" ref="D37:N37" si="1">SUM(D4:D36)</f>
        <v>1</v>
      </c>
      <c r="E37" s="121">
        <f t="shared" si="1"/>
        <v>135</v>
      </c>
      <c r="F37" s="121">
        <f t="shared" si="1"/>
        <v>386</v>
      </c>
      <c r="G37" s="121">
        <f t="shared" si="1"/>
        <v>5</v>
      </c>
      <c r="H37" s="121">
        <f t="shared" si="1"/>
        <v>14</v>
      </c>
      <c r="I37" s="121">
        <f t="shared" si="1"/>
        <v>327</v>
      </c>
      <c r="J37" s="121">
        <f t="shared" si="1"/>
        <v>1</v>
      </c>
      <c r="K37" s="121">
        <f t="shared" si="1"/>
        <v>36</v>
      </c>
      <c r="L37" s="121">
        <f t="shared" si="1"/>
        <v>10</v>
      </c>
      <c r="M37" s="121">
        <f t="shared" si="1"/>
        <v>80</v>
      </c>
      <c r="N37" s="121">
        <f t="shared" si="1"/>
        <v>1043</v>
      </c>
      <c r="O37" s="101"/>
    </row>
    <row r="38" spans="1:15">
      <c r="A38" s="747" t="s">
        <v>807</v>
      </c>
      <c r="B38" s="747"/>
      <c r="C38" s="747"/>
      <c r="D38" s="747"/>
      <c r="E38" s="747"/>
      <c r="F38" s="747"/>
      <c r="G38" s="747"/>
      <c r="H38" s="747"/>
      <c r="I38" s="747"/>
      <c r="J38" s="747"/>
      <c r="K38" s="747"/>
      <c r="L38" s="747"/>
      <c r="M38" s="747"/>
      <c r="N38" s="747"/>
      <c r="O38" s="101"/>
    </row>
  </sheetData>
  <mergeCells count="2">
    <mergeCell ref="A37:B37"/>
    <mergeCell ref="A38:N38"/>
  </mergeCells>
  <pageMargins left="0.70866141732283505" right="0.35433070866141703" top="0.39370078740157499" bottom="0.39370078740157499" header="0.31496062992126" footer="0.196850393700787"/>
  <pageSetup paperSize="9" scale="94" orientation="portrait" r:id="rId1"/>
  <headerFooter>
    <oddFooter>&amp;LAISHE 2019-20&amp;CT-1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N43"/>
  <sheetViews>
    <sheetView view="pageBreakPreview" zoomScale="85" zoomScaleSheetLayoutView="85" workbookViewId="0">
      <selection activeCell="E16" sqref="E16:E17"/>
    </sheetView>
  </sheetViews>
  <sheetFormatPr defaultColWidth="8.85546875" defaultRowHeight="12.75"/>
  <cols>
    <col min="1" max="1" width="4.42578125" style="104" customWidth="1"/>
    <col min="2" max="2" width="21.28515625" style="104" customWidth="1"/>
    <col min="3" max="4" width="11" style="104" customWidth="1"/>
    <col min="5" max="5" width="10.28515625" style="104" customWidth="1"/>
    <col min="6" max="7" width="11" style="104" customWidth="1"/>
    <col min="8" max="8" width="10.28515625" style="104" customWidth="1"/>
    <col min="9" max="10" width="11" style="104" customWidth="1"/>
    <col min="11" max="11" width="10.28515625" style="104" customWidth="1"/>
    <col min="12" max="13" width="11" style="104" customWidth="1"/>
    <col min="14" max="14" width="10.28515625" style="104" customWidth="1"/>
    <col min="15" max="16384" width="8.85546875" style="104"/>
  </cols>
  <sheetData>
    <row r="1" spans="1:14" ht="22.9" customHeight="1">
      <c r="B1" s="725" t="s">
        <v>896</v>
      </c>
      <c r="C1" s="724" t="s">
        <v>897</v>
      </c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</row>
    <row r="2" spans="1:14" ht="23.25" customHeight="1">
      <c r="A2" s="750" t="s">
        <v>165</v>
      </c>
      <c r="B2" s="750" t="s">
        <v>713</v>
      </c>
      <c r="C2" s="749" t="s">
        <v>889</v>
      </c>
      <c r="D2" s="749"/>
      <c r="E2" s="749"/>
      <c r="F2" s="749" t="s">
        <v>890</v>
      </c>
      <c r="G2" s="749"/>
      <c r="H2" s="749"/>
      <c r="I2" s="749" t="s">
        <v>755</v>
      </c>
      <c r="J2" s="749"/>
      <c r="K2" s="749"/>
      <c r="L2" s="749" t="s">
        <v>12</v>
      </c>
      <c r="M2" s="749"/>
      <c r="N2" s="749"/>
    </row>
    <row r="3" spans="1:14" ht="31.5" customHeight="1">
      <c r="A3" s="750"/>
      <c r="B3" s="750"/>
      <c r="C3" s="459" t="s">
        <v>756</v>
      </c>
      <c r="D3" s="459" t="s">
        <v>757</v>
      </c>
      <c r="E3" s="459" t="s">
        <v>758</v>
      </c>
      <c r="F3" s="459" t="s">
        <v>756</v>
      </c>
      <c r="G3" s="459" t="s">
        <v>757</v>
      </c>
      <c r="H3" s="459" t="s">
        <v>758</v>
      </c>
      <c r="I3" s="459" t="s">
        <v>756</v>
      </c>
      <c r="J3" s="459" t="s">
        <v>757</v>
      </c>
      <c r="K3" s="459" t="s">
        <v>758</v>
      </c>
      <c r="L3" s="459" t="s">
        <v>756</v>
      </c>
      <c r="M3" s="459" t="s">
        <v>757</v>
      </c>
      <c r="N3" s="459" t="s">
        <v>758</v>
      </c>
    </row>
    <row r="4" spans="1:14" ht="15" customHeight="1">
      <c r="A4" s="105">
        <v>1</v>
      </c>
      <c r="B4" s="105">
        <v>2</v>
      </c>
      <c r="C4" s="105">
        <v>3</v>
      </c>
      <c r="D4" s="105">
        <v>4</v>
      </c>
      <c r="E4" s="105">
        <v>5</v>
      </c>
      <c r="F4" s="105">
        <v>6</v>
      </c>
      <c r="G4" s="105">
        <v>7</v>
      </c>
      <c r="H4" s="105">
        <v>8</v>
      </c>
      <c r="I4" s="105">
        <v>9</v>
      </c>
      <c r="J4" s="105">
        <v>10</v>
      </c>
      <c r="K4" s="105">
        <v>11</v>
      </c>
      <c r="L4" s="105">
        <v>12</v>
      </c>
      <c r="M4" s="105">
        <v>13</v>
      </c>
      <c r="N4" s="105">
        <v>14</v>
      </c>
    </row>
    <row r="5" spans="1:14" ht="31.5" customHeight="1">
      <c r="A5" s="84">
        <v>1</v>
      </c>
      <c r="B5" s="90" t="s">
        <v>154</v>
      </c>
      <c r="C5" s="109">
        <f>SUMIF('1UniNo'!B:B,B5,'1UniNo'!N:N)</f>
        <v>0</v>
      </c>
      <c r="D5" s="109">
        <f>SUMIF('2University-Specialisation'!B:B,B5,'2University-Specialisation'!W:W)</f>
        <v>0</v>
      </c>
      <c r="E5" s="109">
        <v>0</v>
      </c>
      <c r="F5" s="109">
        <f>SUMIF('8CollegeAct'!B:B,B5,'8CollegeAct'!C:C)</f>
        <v>8</v>
      </c>
      <c r="G5" s="109">
        <f>SUMIF('5ManagementCollegeNo'!B:B,B5,'5ManagementCollegeNo'!G:G)</f>
        <v>8</v>
      </c>
      <c r="H5" s="109">
        <f t="shared" ref="H5:H22" si="0">G5/F5%</f>
        <v>100</v>
      </c>
      <c r="I5" s="109">
        <f>SUMIF('9AllSAAct'!$B:$B,$B5,'9AllSAAct'!AS:AS)</f>
        <v>1</v>
      </c>
      <c r="J5" s="109">
        <f>SUMIF('9AllSAAct'!$B:$B,$B5,'9AllSAAct'!AT:AT)</f>
        <v>1</v>
      </c>
      <c r="K5" s="109">
        <f t="shared" ref="K5:K41" si="1">J5/I5%</f>
        <v>100</v>
      </c>
      <c r="L5" s="109">
        <f t="shared" ref="L5:L41" si="2">C5+F5+I5</f>
        <v>9</v>
      </c>
      <c r="M5" s="109">
        <f t="shared" ref="M5:M41" si="3">D5+G5+J5</f>
        <v>9</v>
      </c>
      <c r="N5" s="109">
        <f t="shared" ref="N5:N22" si="4">M5/L5%</f>
        <v>100</v>
      </c>
    </row>
    <row r="6" spans="1:14" ht="30.75" customHeight="1">
      <c r="A6" s="84">
        <v>2</v>
      </c>
      <c r="B6" s="90" t="s">
        <v>15</v>
      </c>
      <c r="C6" s="109">
        <f>SUMIF('1UniNo'!B:B,B6,'1UniNo'!N:N)</f>
        <v>41</v>
      </c>
      <c r="D6" s="109">
        <f>SUMIF('2University-Specialisation'!B:B,B6,'2University-Specialisation'!W:W)</f>
        <v>39</v>
      </c>
      <c r="E6" s="109">
        <f t="shared" ref="E6:E34" si="5">D6/C6%</f>
        <v>95.121951219512198</v>
      </c>
      <c r="F6" s="109">
        <f>SUMIF('8CollegeAct'!B:B,B6,'8CollegeAct'!C:C)</f>
        <v>2750</v>
      </c>
      <c r="G6" s="109">
        <f>SUMIF('5ManagementCollegeNo'!B:B,B6,'5ManagementCollegeNo'!G:G)</f>
        <v>2501</v>
      </c>
      <c r="H6" s="109">
        <f t="shared" si="0"/>
        <v>90.945454545454552</v>
      </c>
      <c r="I6" s="109">
        <f>SUMIF('9AllSAAct'!$B:$B,$B6,'9AllSAAct'!AS:AS)</f>
        <v>843</v>
      </c>
      <c r="J6" s="109">
        <f>SUMIF('9AllSAAct'!$B:$B,$B6,'9AllSAAct'!AT:AT)</f>
        <v>646</v>
      </c>
      <c r="K6" s="109">
        <f t="shared" si="1"/>
        <v>76.631079478054573</v>
      </c>
      <c r="L6" s="109">
        <f t="shared" si="2"/>
        <v>3634</v>
      </c>
      <c r="M6" s="109">
        <f t="shared" si="3"/>
        <v>3186</v>
      </c>
      <c r="N6" s="109">
        <f t="shared" si="4"/>
        <v>87.671986791414412</v>
      </c>
    </row>
    <row r="7" spans="1:14" ht="30.75" customHeight="1">
      <c r="A7" s="84">
        <v>3</v>
      </c>
      <c r="B7" s="90" t="s">
        <v>16</v>
      </c>
      <c r="C7" s="109">
        <f>SUMIF('1UniNo'!B:B,B7,'1UniNo'!N:N)</f>
        <v>10</v>
      </c>
      <c r="D7" s="109">
        <f>SUMIF('2University-Specialisation'!B:B,B7,'2University-Specialisation'!W:W)</f>
        <v>10</v>
      </c>
      <c r="E7" s="109">
        <f t="shared" si="5"/>
        <v>100</v>
      </c>
      <c r="F7" s="109">
        <f>SUMIF('8CollegeAct'!B:B,B7,'8CollegeAct'!C:C)</f>
        <v>39</v>
      </c>
      <c r="G7" s="109">
        <f>SUMIF('5ManagementCollegeNo'!B:B,B7,'5ManagementCollegeNo'!G:G)</f>
        <v>38</v>
      </c>
      <c r="H7" s="109">
        <f t="shared" si="0"/>
        <v>97.435897435897431</v>
      </c>
      <c r="I7" s="109">
        <f>SUMIF('9AllSAAct'!$B:$B,$B7,'9AllSAAct'!AS:AS)</f>
        <v>13</v>
      </c>
      <c r="J7" s="109">
        <f>SUMIF('9AllSAAct'!$B:$B,$B7,'9AllSAAct'!AT:AT)</f>
        <v>6</v>
      </c>
      <c r="K7" s="109">
        <f t="shared" si="1"/>
        <v>46.153846153846153</v>
      </c>
      <c r="L7" s="109">
        <f t="shared" si="2"/>
        <v>62</v>
      </c>
      <c r="M7" s="109">
        <f t="shared" si="3"/>
        <v>54</v>
      </c>
      <c r="N7" s="109">
        <f t="shared" si="4"/>
        <v>87.096774193548384</v>
      </c>
    </row>
    <row r="8" spans="1:14" ht="30.75" customHeight="1">
      <c r="A8" s="84">
        <v>4</v>
      </c>
      <c r="B8" s="90" t="s">
        <v>17</v>
      </c>
      <c r="C8" s="109">
        <f>SUMIF('1UniNo'!B:B,B8,'1UniNo'!N:N)</f>
        <v>26</v>
      </c>
      <c r="D8" s="109">
        <f>SUMIF('2University-Specialisation'!B:B,B8,'2University-Specialisation'!W:W)</f>
        <v>26</v>
      </c>
      <c r="E8" s="109">
        <f t="shared" si="5"/>
        <v>100</v>
      </c>
      <c r="F8" s="109">
        <f>SUMIF('8CollegeAct'!B:B,B8,'8CollegeAct'!C:C)</f>
        <v>558</v>
      </c>
      <c r="G8" s="109">
        <f>SUMIF('5ManagementCollegeNo'!B:B,B8,'5ManagementCollegeNo'!G:G)</f>
        <v>533</v>
      </c>
      <c r="H8" s="109">
        <f t="shared" si="0"/>
        <v>95.519713261648747</v>
      </c>
      <c r="I8" s="109">
        <f>SUMIF('9AllSAAct'!$B:$B,$B8,'9AllSAAct'!AS:AS)</f>
        <v>92</v>
      </c>
      <c r="J8" s="109">
        <f>SUMIF('9AllSAAct'!$B:$B,$B8,'9AllSAAct'!AT:AT)</f>
        <v>74</v>
      </c>
      <c r="K8" s="109">
        <f t="shared" si="1"/>
        <v>80.434782608695642</v>
      </c>
      <c r="L8" s="109">
        <f t="shared" si="2"/>
        <v>676</v>
      </c>
      <c r="M8" s="109">
        <f t="shared" si="3"/>
        <v>633</v>
      </c>
      <c r="N8" s="109">
        <f t="shared" si="4"/>
        <v>93.639053254437869</v>
      </c>
    </row>
    <row r="9" spans="1:14" ht="30.75" customHeight="1">
      <c r="A9" s="84">
        <v>5</v>
      </c>
      <c r="B9" s="90" t="s">
        <v>18</v>
      </c>
      <c r="C9" s="109">
        <f>SUMIF('1UniNo'!B:B,B9,'1UniNo'!N:N)</f>
        <v>35</v>
      </c>
      <c r="D9" s="109">
        <f>SUMIF('2University-Specialisation'!B:B,B9,'2University-Specialisation'!W:W)</f>
        <v>35</v>
      </c>
      <c r="E9" s="109">
        <f t="shared" si="5"/>
        <v>100</v>
      </c>
      <c r="F9" s="109">
        <f>SUMIF('8CollegeAct'!B:B,B9,'8CollegeAct'!C:C)</f>
        <v>874</v>
      </c>
      <c r="G9" s="109">
        <f>SUMIF('5ManagementCollegeNo'!B:B,B9,'5ManagementCollegeNo'!G:G)</f>
        <v>863</v>
      </c>
      <c r="H9" s="109">
        <f t="shared" si="0"/>
        <v>98.741418764302054</v>
      </c>
      <c r="I9" s="109">
        <f>SUMIF('9AllSAAct'!$B:$B,$B9,'9AllSAAct'!AS:AS)</f>
        <v>166</v>
      </c>
      <c r="J9" s="109">
        <f>SUMIF('9AllSAAct'!$B:$B,$B9,'9AllSAAct'!AT:AT)</f>
        <v>158</v>
      </c>
      <c r="K9" s="109">
        <f t="shared" si="1"/>
        <v>95.180722891566276</v>
      </c>
      <c r="L9" s="109">
        <f t="shared" si="2"/>
        <v>1075</v>
      </c>
      <c r="M9" s="109">
        <f t="shared" si="3"/>
        <v>1056</v>
      </c>
      <c r="N9" s="109">
        <f t="shared" si="4"/>
        <v>98.232558139534888</v>
      </c>
    </row>
    <row r="10" spans="1:14" ht="30.75" customHeight="1">
      <c r="A10" s="84">
        <v>6</v>
      </c>
      <c r="B10" s="90" t="s">
        <v>19</v>
      </c>
      <c r="C10" s="109">
        <f>SUMIF('1UniNo'!B:B,B10,'1UniNo'!N:N)</f>
        <v>3</v>
      </c>
      <c r="D10" s="109">
        <f>SUMIF('2University-Specialisation'!B:B,B10,'2University-Specialisation'!W:W)</f>
        <v>3</v>
      </c>
      <c r="E10" s="109">
        <f t="shared" si="5"/>
        <v>100</v>
      </c>
      <c r="F10" s="109">
        <f>SUMIF('8CollegeAct'!B:B,B10,'8CollegeAct'!C:C)</f>
        <v>25</v>
      </c>
      <c r="G10" s="109">
        <f>SUMIF('5ManagementCollegeNo'!B:B,B10,'5ManagementCollegeNo'!G:G)</f>
        <v>25</v>
      </c>
      <c r="H10" s="109">
        <f t="shared" si="0"/>
        <v>100</v>
      </c>
      <c r="I10" s="109">
        <f>SUMIF('9AllSAAct'!$B:$B,$B10,'9AllSAAct'!AS:AS)</f>
        <v>10</v>
      </c>
      <c r="J10" s="109">
        <f>SUMIF('9AllSAAct'!$B:$B,$B10,'9AllSAAct'!AT:AT)</f>
        <v>9</v>
      </c>
      <c r="K10" s="109">
        <f t="shared" si="1"/>
        <v>90</v>
      </c>
      <c r="L10" s="109">
        <f t="shared" si="2"/>
        <v>38</v>
      </c>
      <c r="M10" s="109">
        <f t="shared" si="3"/>
        <v>37</v>
      </c>
      <c r="N10" s="109">
        <f t="shared" si="4"/>
        <v>97.368421052631575</v>
      </c>
    </row>
    <row r="11" spans="1:14" ht="30.75" customHeight="1">
      <c r="A11" s="84">
        <v>7</v>
      </c>
      <c r="B11" s="90" t="s">
        <v>20</v>
      </c>
      <c r="C11" s="109">
        <f>SUMIF('1UniNo'!B:B,B11,'1UniNo'!N:N)</f>
        <v>28</v>
      </c>
      <c r="D11" s="109">
        <f>SUMIF('2University-Specialisation'!B:B,B11,'2University-Specialisation'!W:W)</f>
        <v>28</v>
      </c>
      <c r="E11" s="109">
        <f t="shared" si="5"/>
        <v>99.999999999999986</v>
      </c>
      <c r="F11" s="109">
        <f>SUMIF('8CollegeAct'!B:B,B11,'8CollegeAct'!C:C)</f>
        <v>810</v>
      </c>
      <c r="G11" s="109">
        <f>SUMIF('5ManagementCollegeNo'!B:B,B11,'5ManagementCollegeNo'!G:G)</f>
        <v>807</v>
      </c>
      <c r="H11" s="109">
        <f t="shared" si="0"/>
        <v>99.629629629629633</v>
      </c>
      <c r="I11" s="109">
        <f>SUMIF('9AllSAAct'!$B:$B,$B11,'9AllSAAct'!AS:AS)</f>
        <v>75</v>
      </c>
      <c r="J11" s="109">
        <f>SUMIF('9AllSAAct'!$B:$B,$B11,'9AllSAAct'!AT:AT)</f>
        <v>70</v>
      </c>
      <c r="K11" s="109">
        <f t="shared" si="1"/>
        <v>93.333333333333329</v>
      </c>
      <c r="L11" s="109">
        <f t="shared" si="2"/>
        <v>913</v>
      </c>
      <c r="M11" s="109">
        <f t="shared" si="3"/>
        <v>905</v>
      </c>
      <c r="N11" s="109">
        <f t="shared" si="4"/>
        <v>99.123767798466588</v>
      </c>
    </row>
    <row r="12" spans="1:14" ht="31.5" customHeight="1">
      <c r="A12" s="84">
        <v>8</v>
      </c>
      <c r="B12" s="90" t="s">
        <v>155</v>
      </c>
      <c r="C12" s="109">
        <f>SUMIF('1UniNo'!B:B,B12,'1UniNo'!N:N)</f>
        <v>0</v>
      </c>
      <c r="D12" s="109">
        <f>SUMIF('2University-Specialisation'!B:B,B12,'2University-Specialisation'!W:W)</f>
        <v>0</v>
      </c>
      <c r="E12" s="109"/>
      <c r="F12" s="109">
        <f>SUMIF('8CollegeAct'!B:B,B12,'8CollegeAct'!C:C)</f>
        <v>8</v>
      </c>
      <c r="G12" s="109">
        <f>SUMIF('5ManagementCollegeNo'!B:B,B12,'5ManagementCollegeNo'!G:G)</f>
        <v>8</v>
      </c>
      <c r="H12" s="109">
        <f t="shared" si="0"/>
        <v>100</v>
      </c>
      <c r="I12" s="109">
        <f>SUMIF('9AllSAAct'!$B:$B,$B12,'9AllSAAct'!AS:AS)</f>
        <v>2</v>
      </c>
      <c r="J12" s="109">
        <f>SUMIF('9AllSAAct'!$B:$B,$B12,'9AllSAAct'!AT:AT)</f>
        <v>1</v>
      </c>
      <c r="K12" s="109">
        <f t="shared" si="1"/>
        <v>50</v>
      </c>
      <c r="L12" s="109">
        <f t="shared" si="2"/>
        <v>10</v>
      </c>
      <c r="M12" s="109">
        <f t="shared" si="3"/>
        <v>9</v>
      </c>
      <c r="N12" s="109">
        <f t="shared" si="4"/>
        <v>90</v>
      </c>
    </row>
    <row r="13" spans="1:14" ht="30.75" customHeight="1">
      <c r="A13" s="84">
        <v>9</v>
      </c>
      <c r="B13" s="90" t="s">
        <v>156</v>
      </c>
      <c r="C13" s="109">
        <f>SUMIF('1UniNo'!B:B,B13,'1UniNo'!N:N)</f>
        <v>0</v>
      </c>
      <c r="D13" s="109">
        <f>SUMIF('2University-Specialisation'!B:B,B13,'2University-Specialisation'!W:W)</f>
        <v>0</v>
      </c>
      <c r="E13" s="109"/>
      <c r="F13" s="109">
        <f>SUMIF('8CollegeAct'!B:B,B13,'8CollegeAct'!C:C)</f>
        <v>10</v>
      </c>
      <c r="G13" s="109">
        <f>SUMIF('5ManagementCollegeNo'!B:B,B13,'5ManagementCollegeNo'!G:G)</f>
        <v>10</v>
      </c>
      <c r="H13" s="109">
        <f t="shared" si="0"/>
        <v>100</v>
      </c>
      <c r="I13" s="109">
        <f>SUMIF('9AllSAAct'!$B:$B,$B13,'9AllSAAct'!AS:AS)</f>
        <v>2</v>
      </c>
      <c r="J13" s="109">
        <f>SUMIF('9AllSAAct'!$B:$B,$B13,'9AllSAAct'!AT:AT)</f>
        <v>0</v>
      </c>
      <c r="K13" s="109">
        <f t="shared" si="1"/>
        <v>0</v>
      </c>
      <c r="L13" s="109">
        <f t="shared" si="2"/>
        <v>12</v>
      </c>
      <c r="M13" s="109">
        <f t="shared" si="3"/>
        <v>10</v>
      </c>
      <c r="N13" s="109">
        <f t="shared" si="4"/>
        <v>83.333333333333343</v>
      </c>
    </row>
    <row r="14" spans="1:14" ht="30.75" customHeight="1">
      <c r="A14" s="84">
        <v>10</v>
      </c>
      <c r="B14" s="90" t="s">
        <v>23</v>
      </c>
      <c r="C14" s="109">
        <f>SUMIF('1UniNo'!B:B,B14,'1UniNo'!N:N)</f>
        <v>28</v>
      </c>
      <c r="D14" s="109">
        <f>SUMIF('2University-Specialisation'!B:B,B14,'2University-Specialisation'!W:W)</f>
        <v>27</v>
      </c>
      <c r="E14" s="109">
        <f t="shared" si="5"/>
        <v>96.428571428571416</v>
      </c>
      <c r="F14" s="109">
        <f>SUMIF('8CollegeAct'!B:B,B14,'8CollegeAct'!C:C)</f>
        <v>179</v>
      </c>
      <c r="G14" s="109">
        <f>SUMIF('5ManagementCollegeNo'!B:B,B14,'5ManagementCollegeNo'!G:G)</f>
        <v>174</v>
      </c>
      <c r="H14" s="109">
        <f t="shared" si="0"/>
        <v>97.206703910614522</v>
      </c>
      <c r="I14" s="109">
        <f>SUMIF('9AllSAAct'!$B:$B,$B14,'9AllSAAct'!AS:AS)</f>
        <v>112</v>
      </c>
      <c r="J14" s="109">
        <f>SUMIF('9AllSAAct'!$B:$B,$B14,'9AllSAAct'!AT:AT)</f>
        <v>83</v>
      </c>
      <c r="K14" s="109">
        <f t="shared" si="1"/>
        <v>74.107142857142847</v>
      </c>
      <c r="L14" s="109">
        <f t="shared" si="2"/>
        <v>319</v>
      </c>
      <c r="M14" s="109">
        <f t="shared" si="3"/>
        <v>284</v>
      </c>
      <c r="N14" s="109">
        <f t="shared" si="4"/>
        <v>89.028213166144198</v>
      </c>
    </row>
    <row r="15" spans="1:14" ht="30.75" customHeight="1">
      <c r="A15" s="84">
        <v>11</v>
      </c>
      <c r="B15" s="90" t="s">
        <v>24</v>
      </c>
      <c r="C15" s="109">
        <f>SUMIF('1UniNo'!B:B,B15,'1UniNo'!N:N)</f>
        <v>3</v>
      </c>
      <c r="D15" s="109">
        <f>SUMIF('2University-Specialisation'!B:B,B15,'2University-Specialisation'!W:W)</f>
        <v>3</v>
      </c>
      <c r="E15" s="109">
        <f t="shared" si="5"/>
        <v>100</v>
      </c>
      <c r="F15" s="109">
        <f>SUMIF('8CollegeAct'!B:B,B15,'8CollegeAct'!C:C)</f>
        <v>58</v>
      </c>
      <c r="G15" s="109">
        <f>SUMIF('5ManagementCollegeNo'!B:B,B15,'5ManagementCollegeNo'!G:G)</f>
        <v>58</v>
      </c>
      <c r="H15" s="109">
        <f t="shared" si="0"/>
        <v>100</v>
      </c>
      <c r="I15" s="109">
        <f>SUMIF('9AllSAAct'!$B:$B,$B15,'9AllSAAct'!AS:AS)</f>
        <v>12</v>
      </c>
      <c r="J15" s="109">
        <f>SUMIF('9AllSAAct'!$B:$B,$B15,'9AllSAAct'!AT:AT)</f>
        <v>11</v>
      </c>
      <c r="K15" s="109">
        <f t="shared" si="1"/>
        <v>91.666666666666671</v>
      </c>
      <c r="L15" s="109">
        <f t="shared" si="2"/>
        <v>73</v>
      </c>
      <c r="M15" s="109">
        <f t="shared" si="3"/>
        <v>72</v>
      </c>
      <c r="N15" s="109">
        <f t="shared" si="4"/>
        <v>98.630136986301366</v>
      </c>
    </row>
    <row r="16" spans="1:14" ht="30.75" customHeight="1">
      <c r="A16" s="84">
        <v>12</v>
      </c>
      <c r="B16" s="90" t="s">
        <v>25</v>
      </c>
      <c r="C16" s="109">
        <f>SUMIF('1UniNo'!B:B,B16,'1UniNo'!N:N)</f>
        <v>76</v>
      </c>
      <c r="D16" s="109">
        <f>SUMIF('2University-Specialisation'!B:B,B16,'2University-Specialisation'!W:W)</f>
        <v>76</v>
      </c>
      <c r="E16" s="109">
        <f t="shared" si="5"/>
        <v>100</v>
      </c>
      <c r="F16" s="109">
        <f>SUMIF('8CollegeAct'!B:B,B16,'8CollegeAct'!C:C)</f>
        <v>2275</v>
      </c>
      <c r="G16" s="109">
        <f>SUMIF('5ManagementCollegeNo'!B:B,B16,'5ManagementCollegeNo'!G:G)</f>
        <v>2258</v>
      </c>
      <c r="H16" s="109">
        <f t="shared" si="0"/>
        <v>99.252747252747255</v>
      </c>
      <c r="I16" s="109">
        <f>SUMIF('9AllSAAct'!$B:$B,$B16,'9AllSAAct'!AS:AS)</f>
        <v>308</v>
      </c>
      <c r="J16" s="109">
        <f>SUMIF('9AllSAAct'!$B:$B,$B16,'9AllSAAct'!AT:AT)</f>
        <v>307</v>
      </c>
      <c r="K16" s="109">
        <f t="shared" si="1"/>
        <v>99.675324675324674</v>
      </c>
      <c r="L16" s="109">
        <f t="shared" si="2"/>
        <v>2659</v>
      </c>
      <c r="M16" s="109">
        <f t="shared" si="3"/>
        <v>2641</v>
      </c>
      <c r="N16" s="109">
        <f t="shared" si="4"/>
        <v>99.323053779616401</v>
      </c>
    </row>
    <row r="17" spans="1:14" ht="30.75" customHeight="1">
      <c r="A17" s="84">
        <v>13</v>
      </c>
      <c r="B17" s="90" t="s">
        <v>26</v>
      </c>
      <c r="C17" s="109">
        <f>SUMIF('1UniNo'!B:B,B17,'1UniNo'!N:N)</f>
        <v>53</v>
      </c>
      <c r="D17" s="109">
        <f>SUMIF('2University-Specialisation'!B:B,B17,'2University-Specialisation'!W:W)</f>
        <v>51</v>
      </c>
      <c r="E17" s="109">
        <f t="shared" si="5"/>
        <v>96.226415094339615</v>
      </c>
      <c r="F17" s="109">
        <f>SUMIF('8CollegeAct'!B:B,B17,'8CollegeAct'!C:C)</f>
        <v>1087</v>
      </c>
      <c r="G17" s="109">
        <f>SUMIF('5ManagementCollegeNo'!B:B,B17,'5ManagementCollegeNo'!G:G)</f>
        <v>1034</v>
      </c>
      <c r="H17" s="109">
        <f t="shared" si="0"/>
        <v>95.124195032198713</v>
      </c>
      <c r="I17" s="109">
        <f>SUMIF('9AllSAAct'!$B:$B,$B17,'9AllSAAct'!AS:AS)</f>
        <v>252</v>
      </c>
      <c r="J17" s="109">
        <f>SUMIF('9AllSAAct'!$B:$B,$B17,'9AllSAAct'!AT:AT)</f>
        <v>190</v>
      </c>
      <c r="K17" s="109">
        <f t="shared" si="1"/>
        <v>75.396825396825392</v>
      </c>
      <c r="L17" s="109">
        <f t="shared" si="2"/>
        <v>1392</v>
      </c>
      <c r="M17" s="109">
        <f t="shared" si="3"/>
        <v>1275</v>
      </c>
      <c r="N17" s="109">
        <f t="shared" si="4"/>
        <v>91.594827586206904</v>
      </c>
    </row>
    <row r="18" spans="1:14" ht="30.75" customHeight="1">
      <c r="A18" s="84">
        <v>14</v>
      </c>
      <c r="B18" s="90" t="s">
        <v>27</v>
      </c>
      <c r="C18" s="109">
        <f>SUMIF('1UniNo'!B:B,B18,'1UniNo'!N:N)</f>
        <v>27</v>
      </c>
      <c r="D18" s="109">
        <f>SUMIF('2University-Specialisation'!B:B,B18,'2University-Specialisation'!W:W)</f>
        <v>27</v>
      </c>
      <c r="E18" s="109">
        <f t="shared" si="5"/>
        <v>100</v>
      </c>
      <c r="F18" s="109">
        <f>SUMIF('8CollegeAct'!B:B,B18,'8CollegeAct'!C:C)</f>
        <v>344</v>
      </c>
      <c r="G18" s="109">
        <f>SUMIF('5ManagementCollegeNo'!B:B,B18,'5ManagementCollegeNo'!G:G)</f>
        <v>344</v>
      </c>
      <c r="H18" s="109">
        <f t="shared" si="0"/>
        <v>100</v>
      </c>
      <c r="I18" s="109">
        <f>SUMIF('9AllSAAct'!$B:$B,$B18,'9AllSAAct'!AS:AS)</f>
        <v>83</v>
      </c>
      <c r="J18" s="109">
        <f>SUMIF('9AllSAAct'!$B:$B,$B18,'9AllSAAct'!AT:AT)</f>
        <v>81</v>
      </c>
      <c r="K18" s="109">
        <f t="shared" si="1"/>
        <v>97.590361445783131</v>
      </c>
      <c r="L18" s="109">
        <f t="shared" si="2"/>
        <v>454</v>
      </c>
      <c r="M18" s="109">
        <f t="shared" si="3"/>
        <v>452</v>
      </c>
      <c r="N18" s="109">
        <f t="shared" si="4"/>
        <v>99.559471365638771</v>
      </c>
    </row>
    <row r="19" spans="1:14" ht="30.75" customHeight="1">
      <c r="A19" s="84">
        <v>15</v>
      </c>
      <c r="B19" s="90" t="s">
        <v>57</v>
      </c>
      <c r="C19" s="109">
        <f>SUMIF('1UniNo'!B:B,B19,'1UniNo'!N:N)</f>
        <v>15</v>
      </c>
      <c r="D19" s="109">
        <f>SUMIF('2University-Specialisation'!B:B,B19,'2University-Specialisation'!W:W)</f>
        <v>15</v>
      </c>
      <c r="E19" s="109">
        <f t="shared" si="5"/>
        <v>100</v>
      </c>
      <c r="F19" s="109">
        <f>SUMIF('8CollegeAct'!B:B,B19,'8CollegeAct'!C:C)</f>
        <v>316</v>
      </c>
      <c r="G19" s="109">
        <f>SUMIF('5ManagementCollegeNo'!B:B,B19,'5ManagementCollegeNo'!G:G)</f>
        <v>313</v>
      </c>
      <c r="H19" s="109">
        <f t="shared" si="0"/>
        <v>99.050632911392398</v>
      </c>
      <c r="I19" s="109">
        <f>SUMIF('9AllSAAct'!$B:$B,$B19,'9AllSAAct'!AS:AS)</f>
        <v>118</v>
      </c>
      <c r="J19" s="109">
        <f>SUMIF('9AllSAAct'!$B:$B,$B19,'9AllSAAct'!AT:AT)</f>
        <v>99</v>
      </c>
      <c r="K19" s="109">
        <f t="shared" si="1"/>
        <v>83.898305084745772</v>
      </c>
      <c r="L19" s="109">
        <f t="shared" si="2"/>
        <v>449</v>
      </c>
      <c r="M19" s="109">
        <f t="shared" si="3"/>
        <v>427</v>
      </c>
      <c r="N19" s="109">
        <f t="shared" si="4"/>
        <v>95.100222717149222</v>
      </c>
    </row>
    <row r="20" spans="1:14" ht="30.75" customHeight="1">
      <c r="A20" s="84">
        <v>16</v>
      </c>
      <c r="B20" s="90" t="s">
        <v>29</v>
      </c>
      <c r="C20" s="109">
        <f>SUMIF('1UniNo'!B:B,B20,'1UniNo'!N:N)</f>
        <v>32</v>
      </c>
      <c r="D20" s="109">
        <f>SUMIF('2University-Specialisation'!B:B,B20,'2University-Specialisation'!W:W)</f>
        <v>31</v>
      </c>
      <c r="E20" s="109">
        <f t="shared" si="5"/>
        <v>96.875</v>
      </c>
      <c r="F20" s="109">
        <f>SUMIF('8CollegeAct'!B:B,B20,'8CollegeAct'!C:C)</f>
        <v>323</v>
      </c>
      <c r="G20" s="109">
        <f>SUMIF('5ManagementCollegeNo'!B:B,B20,'5ManagementCollegeNo'!G:G)</f>
        <v>317</v>
      </c>
      <c r="H20" s="109">
        <f t="shared" si="0"/>
        <v>98.142414860681114</v>
      </c>
      <c r="I20" s="109">
        <f>SUMIF('9AllSAAct'!$B:$B,$B20,'9AllSAAct'!AS:AS)</f>
        <v>91</v>
      </c>
      <c r="J20" s="109">
        <f>SUMIF('9AllSAAct'!$B:$B,$B20,'9AllSAAct'!AT:AT)</f>
        <v>83</v>
      </c>
      <c r="K20" s="109">
        <f t="shared" si="1"/>
        <v>91.208791208791212</v>
      </c>
      <c r="L20" s="109">
        <f t="shared" si="2"/>
        <v>446</v>
      </c>
      <c r="M20" s="109">
        <f t="shared" si="3"/>
        <v>431</v>
      </c>
      <c r="N20" s="109">
        <f t="shared" si="4"/>
        <v>96.63677130044843</v>
      </c>
    </row>
    <row r="21" spans="1:14" ht="30.75" customHeight="1">
      <c r="A21" s="84">
        <v>17</v>
      </c>
      <c r="B21" s="90" t="s">
        <v>30</v>
      </c>
      <c r="C21" s="109">
        <f>SUMIF('1UniNo'!B:B,B21,'1UniNo'!N:N)</f>
        <v>69</v>
      </c>
      <c r="D21" s="109">
        <f>SUMIF('2University-Specialisation'!B:B,B21,'2University-Specialisation'!W:W)</f>
        <v>69</v>
      </c>
      <c r="E21" s="109">
        <f t="shared" si="5"/>
        <v>100.00000000000001</v>
      </c>
      <c r="F21" s="109">
        <f>SUMIF('8CollegeAct'!B:B,B21,'8CollegeAct'!C:C)</f>
        <v>4047</v>
      </c>
      <c r="G21" s="109">
        <f>SUMIF('5ManagementCollegeNo'!B:B,B21,'5ManagementCollegeNo'!G:G)</f>
        <v>3971</v>
      </c>
      <c r="H21" s="109">
        <f t="shared" si="0"/>
        <v>98.122065727699535</v>
      </c>
      <c r="I21" s="109">
        <f>SUMIF('9AllSAAct'!$B:$B,$B21,'9AllSAAct'!AS:AS)</f>
        <v>1690</v>
      </c>
      <c r="J21" s="109">
        <f>SUMIF('9AllSAAct'!$B:$B,$B21,'9AllSAAct'!AT:AT)</f>
        <v>1098</v>
      </c>
      <c r="K21" s="109">
        <f t="shared" si="1"/>
        <v>64.970414201183431</v>
      </c>
      <c r="L21" s="109">
        <f t="shared" si="2"/>
        <v>5806</v>
      </c>
      <c r="M21" s="109">
        <f t="shared" si="3"/>
        <v>5138</v>
      </c>
      <c r="N21" s="109">
        <f t="shared" si="4"/>
        <v>88.494660695831897</v>
      </c>
    </row>
    <row r="22" spans="1:14" ht="30.75" customHeight="1">
      <c r="A22" s="84">
        <v>18</v>
      </c>
      <c r="B22" s="90" t="s">
        <v>31</v>
      </c>
      <c r="C22" s="109">
        <f>SUMIF('1UniNo'!B:B,B22,'1UniNo'!N:N)</f>
        <v>23</v>
      </c>
      <c r="D22" s="109">
        <f>SUMIF('2University-Specialisation'!B:B,B22,'2University-Specialisation'!W:W)</f>
        <v>23</v>
      </c>
      <c r="E22" s="109">
        <f t="shared" si="5"/>
        <v>100</v>
      </c>
      <c r="F22" s="109">
        <f>SUMIF('8CollegeAct'!B:B,B22,'8CollegeAct'!C:C)</f>
        <v>1417</v>
      </c>
      <c r="G22" s="109">
        <f>SUMIF('5ManagementCollegeNo'!B:B,B22,'5ManagementCollegeNo'!G:G)</f>
        <v>1313</v>
      </c>
      <c r="H22" s="109">
        <f t="shared" si="0"/>
        <v>92.660550458715591</v>
      </c>
      <c r="I22" s="109">
        <f>SUMIF('9AllSAAct'!$B:$B,$B22,'9AllSAAct'!AS:AS)</f>
        <v>452</v>
      </c>
      <c r="J22" s="109">
        <f>SUMIF('9AllSAAct'!$B:$B,$B22,'9AllSAAct'!AT:AT)</f>
        <v>359</v>
      </c>
      <c r="K22" s="109">
        <f t="shared" si="1"/>
        <v>79.424778761061958</v>
      </c>
      <c r="L22" s="109">
        <f t="shared" si="2"/>
        <v>1892</v>
      </c>
      <c r="M22" s="109">
        <f t="shared" si="3"/>
        <v>1695</v>
      </c>
      <c r="N22" s="109">
        <f t="shared" si="4"/>
        <v>89.587737843551793</v>
      </c>
    </row>
    <row r="23" spans="1:14" ht="30.75" customHeight="1">
      <c r="A23" s="84">
        <v>19</v>
      </c>
      <c r="B23" s="90" t="s">
        <v>761</v>
      </c>
      <c r="C23" s="109">
        <f>SUMIF('1UniNo'!B:B,B23,'1UniNo'!N:N)</f>
        <v>1</v>
      </c>
      <c r="D23" s="109">
        <f>SUMIF('2University-Specialisation'!B:B,B23,'2University-Specialisation'!W:W)</f>
        <v>1</v>
      </c>
      <c r="E23" s="109">
        <f t="shared" si="5"/>
        <v>100</v>
      </c>
      <c r="F23" s="109">
        <f>SUMIF('8CollegeAct'!B:B,B23,'8CollegeAct'!C:C)</f>
        <v>5</v>
      </c>
      <c r="G23" s="109">
        <f>SUMIF('5ManagementCollegeNo'!B:B,B23,'5ManagementCollegeNo'!G:G)</f>
        <v>5</v>
      </c>
      <c r="H23" s="109">
        <f t="shared" ref="H23" si="6">G23/F23%</f>
        <v>100</v>
      </c>
      <c r="I23" s="109">
        <f>SUMIF('9AllSAAct'!$B:$B,$B23,'9AllSAAct'!AS:AS)</f>
        <v>4</v>
      </c>
      <c r="J23" s="109">
        <f>SUMIF('9AllSAAct'!$B:$B,$B23,'9AllSAAct'!AT:AT)</f>
        <v>4</v>
      </c>
      <c r="K23" s="109">
        <f t="shared" si="1"/>
        <v>100</v>
      </c>
      <c r="L23" s="109">
        <f t="shared" ref="L23" si="7">C23+F23+I23</f>
        <v>10</v>
      </c>
      <c r="M23" s="109">
        <f t="shared" ref="M23" si="8">D23+G23+J23</f>
        <v>10</v>
      </c>
      <c r="N23" s="109">
        <f t="shared" ref="N23" si="9">M23/L23%</f>
        <v>100</v>
      </c>
    </row>
    <row r="24" spans="1:14" ht="30.75" customHeight="1">
      <c r="A24" s="84">
        <v>20</v>
      </c>
      <c r="B24" s="90" t="s">
        <v>815</v>
      </c>
      <c r="C24" s="109"/>
      <c r="D24" s="109"/>
      <c r="E24" s="109"/>
      <c r="F24" s="109"/>
      <c r="G24" s="109"/>
      <c r="H24" s="109"/>
      <c r="I24" s="109">
        <f>SUMIF('9AllSAAct'!$B:$B,$B24,'9AllSAAct'!AS:AS)</f>
        <v>0</v>
      </c>
      <c r="J24" s="109">
        <f>SUMIF('9AllSAAct'!$B:$B,$B24,'9AllSAAct'!AT:AT)</f>
        <v>0</v>
      </c>
      <c r="K24" s="109"/>
      <c r="L24" s="109"/>
      <c r="M24" s="109"/>
      <c r="N24" s="109"/>
    </row>
    <row r="25" spans="1:14" ht="30.75" customHeight="1">
      <c r="A25" s="84">
        <v>21</v>
      </c>
      <c r="B25" s="90" t="s">
        <v>33</v>
      </c>
      <c r="C25" s="109">
        <f>SUMIF('1UniNo'!B:B,B25,'1UniNo'!N:N)</f>
        <v>66</v>
      </c>
      <c r="D25" s="109">
        <f>SUMIF('2University-Specialisation'!B:B,B25,'2University-Specialisation'!W:W)</f>
        <v>59</v>
      </c>
      <c r="E25" s="109">
        <f t="shared" si="5"/>
        <v>89.393939393939391</v>
      </c>
      <c r="F25" s="109">
        <f>SUMIF('8CollegeAct'!B:B,B25,'8CollegeAct'!C:C)</f>
        <v>2411</v>
      </c>
      <c r="G25" s="109">
        <f>SUMIF('5ManagementCollegeNo'!B:B,B25,'5ManagementCollegeNo'!G:G)</f>
        <v>1946</v>
      </c>
      <c r="H25" s="109">
        <f t="shared" ref="H25:H41" si="10">G25/F25%</f>
        <v>80.713396930734135</v>
      </c>
      <c r="I25" s="109">
        <f>SUMIF('9AllSAAct'!$B:$B,$B25,'9AllSAAct'!AS:AS)</f>
        <v>379</v>
      </c>
      <c r="J25" s="109">
        <f>SUMIF('9AllSAAct'!$B:$B,$B25,'9AllSAAct'!AT:AT)</f>
        <v>167</v>
      </c>
      <c r="K25" s="109">
        <f t="shared" si="1"/>
        <v>44.063324538258577</v>
      </c>
      <c r="L25" s="109">
        <f t="shared" si="2"/>
        <v>2856</v>
      </c>
      <c r="M25" s="109">
        <f t="shared" si="3"/>
        <v>2172</v>
      </c>
      <c r="N25" s="109">
        <f t="shared" ref="N25:N41" si="11">M25/L25%</f>
        <v>76.050420168067234</v>
      </c>
    </row>
    <row r="26" spans="1:14" ht="30.75" customHeight="1">
      <c r="A26" s="84">
        <v>22</v>
      </c>
      <c r="B26" s="90" t="s">
        <v>34</v>
      </c>
      <c r="C26" s="109">
        <f>SUMIF('1UniNo'!B:B,B26,'1UniNo'!N:N)</f>
        <v>65</v>
      </c>
      <c r="D26" s="109">
        <f>SUMIF('2University-Specialisation'!B:B,B26,'2University-Specialisation'!W:W)</f>
        <v>65</v>
      </c>
      <c r="E26" s="109">
        <f t="shared" si="5"/>
        <v>100</v>
      </c>
      <c r="F26" s="109">
        <f>SUMIF('8CollegeAct'!B:B,B26,'8CollegeAct'!C:C)</f>
        <v>4494</v>
      </c>
      <c r="G26" s="109">
        <f>SUMIF('5ManagementCollegeNo'!B:B,B26,'5ManagementCollegeNo'!G:G)</f>
        <v>4494</v>
      </c>
      <c r="H26" s="109">
        <f t="shared" si="10"/>
        <v>100</v>
      </c>
      <c r="I26" s="109">
        <f>SUMIF('9AllSAAct'!$B:$B,$B26,'9AllSAAct'!AS:AS)</f>
        <v>2393</v>
      </c>
      <c r="J26" s="109">
        <f>SUMIF('9AllSAAct'!$B:$B,$B26,'9AllSAAct'!AT:AT)</f>
        <v>2110</v>
      </c>
      <c r="K26" s="109">
        <f t="shared" si="1"/>
        <v>88.173840367739245</v>
      </c>
      <c r="L26" s="109">
        <f t="shared" si="2"/>
        <v>6952</v>
      </c>
      <c r="M26" s="109">
        <f t="shared" si="3"/>
        <v>6669</v>
      </c>
      <c r="N26" s="109">
        <f t="shared" si="11"/>
        <v>95.929228998849254</v>
      </c>
    </row>
    <row r="27" spans="1:14" ht="30.75" customHeight="1">
      <c r="A27" s="84">
        <v>23</v>
      </c>
      <c r="B27" s="90" t="s">
        <v>35</v>
      </c>
      <c r="C27" s="109">
        <f>SUMIF('1UniNo'!B:B,B27,'1UniNo'!N:N)</f>
        <v>8</v>
      </c>
      <c r="D27" s="109">
        <f>SUMIF('2University-Specialisation'!B:B,B27,'2University-Specialisation'!W:W)</f>
        <v>7</v>
      </c>
      <c r="E27" s="109">
        <f t="shared" si="5"/>
        <v>87.5</v>
      </c>
      <c r="F27" s="109">
        <f>SUMIF('8CollegeAct'!B:B,B27,'8CollegeAct'!C:C)</f>
        <v>102</v>
      </c>
      <c r="G27" s="109">
        <f>SUMIF('5ManagementCollegeNo'!B:B,B27,'5ManagementCollegeNo'!G:G)</f>
        <v>101</v>
      </c>
      <c r="H27" s="109">
        <f t="shared" si="10"/>
        <v>99.019607843137251</v>
      </c>
      <c r="I27" s="109">
        <f>SUMIF('9AllSAAct'!$B:$B,$B27,'9AllSAAct'!AS:AS)</f>
        <v>29</v>
      </c>
      <c r="J27" s="109">
        <f>SUMIF('9AllSAAct'!$B:$B,$B27,'9AllSAAct'!AT:AT)</f>
        <v>28</v>
      </c>
      <c r="K27" s="109">
        <f t="shared" si="1"/>
        <v>96.551724137931046</v>
      </c>
      <c r="L27" s="109">
        <f t="shared" si="2"/>
        <v>139</v>
      </c>
      <c r="M27" s="109">
        <f t="shared" si="3"/>
        <v>136</v>
      </c>
      <c r="N27" s="109">
        <f t="shared" si="11"/>
        <v>97.841726618705039</v>
      </c>
    </row>
    <row r="28" spans="1:14" ht="30.75" customHeight="1">
      <c r="A28" s="84">
        <v>24</v>
      </c>
      <c r="B28" s="90" t="s">
        <v>36</v>
      </c>
      <c r="C28" s="109">
        <f>SUMIF('1UniNo'!B:B,B28,'1UniNo'!N:N)</f>
        <v>10</v>
      </c>
      <c r="D28" s="109">
        <f>SUMIF('2University-Specialisation'!B:B,B28,'2University-Specialisation'!W:W)</f>
        <v>9</v>
      </c>
      <c r="E28" s="109">
        <f t="shared" si="5"/>
        <v>90</v>
      </c>
      <c r="F28" s="109">
        <f>SUMIF('8CollegeAct'!B:B,B28,'8CollegeAct'!C:C)</f>
        <v>67</v>
      </c>
      <c r="G28" s="109">
        <f>SUMIF('5ManagementCollegeNo'!B:B,B28,'5ManagementCollegeNo'!G:G)</f>
        <v>57</v>
      </c>
      <c r="H28" s="109">
        <f t="shared" si="10"/>
        <v>85.074626865671632</v>
      </c>
      <c r="I28" s="109">
        <f>SUMIF('9AllSAAct'!$B:$B,$B28,'9AllSAAct'!AS:AS)</f>
        <v>21</v>
      </c>
      <c r="J28" s="109">
        <f>SUMIF('9AllSAAct'!$B:$B,$B28,'9AllSAAct'!AT:AT)</f>
        <v>19</v>
      </c>
      <c r="K28" s="109">
        <f t="shared" si="1"/>
        <v>90.476190476190482</v>
      </c>
      <c r="L28" s="109">
        <f t="shared" si="2"/>
        <v>98</v>
      </c>
      <c r="M28" s="109">
        <f t="shared" si="3"/>
        <v>85</v>
      </c>
      <c r="N28" s="109">
        <f t="shared" si="11"/>
        <v>86.734693877551024</v>
      </c>
    </row>
    <row r="29" spans="1:14" ht="30.75" customHeight="1">
      <c r="A29" s="84">
        <v>25</v>
      </c>
      <c r="B29" s="90" t="s">
        <v>37</v>
      </c>
      <c r="C29" s="109">
        <f>SUMIF('1UniNo'!B:B,B29,'1UniNo'!N:N)</f>
        <v>3</v>
      </c>
      <c r="D29" s="109">
        <f>SUMIF('2University-Specialisation'!B:B,B29,'2University-Specialisation'!W:W)</f>
        <v>3</v>
      </c>
      <c r="E29" s="109">
        <f t="shared" si="5"/>
        <v>100</v>
      </c>
      <c r="F29" s="109">
        <f>SUMIF('8CollegeAct'!B:B,B29,'8CollegeAct'!C:C)</f>
        <v>35</v>
      </c>
      <c r="G29" s="109">
        <f>SUMIF('5ManagementCollegeNo'!B:B,B29,'5ManagementCollegeNo'!G:G)</f>
        <v>35</v>
      </c>
      <c r="H29" s="109">
        <f t="shared" si="10"/>
        <v>100</v>
      </c>
      <c r="I29" s="109">
        <f>SUMIF('9AllSAAct'!$B:$B,$B29,'9AllSAAct'!AS:AS)</f>
        <v>16</v>
      </c>
      <c r="J29" s="109">
        <f>SUMIF('9AllSAAct'!$B:$B,$B29,'9AllSAAct'!AT:AT)</f>
        <v>16</v>
      </c>
      <c r="K29" s="109">
        <f t="shared" si="1"/>
        <v>100</v>
      </c>
      <c r="L29" s="109">
        <f t="shared" si="2"/>
        <v>54</v>
      </c>
      <c r="M29" s="109">
        <f t="shared" si="3"/>
        <v>54</v>
      </c>
      <c r="N29" s="109">
        <f t="shared" si="11"/>
        <v>100</v>
      </c>
    </row>
    <row r="30" spans="1:14" ht="30.75" customHeight="1">
      <c r="A30" s="84">
        <v>26</v>
      </c>
      <c r="B30" s="90" t="s">
        <v>38</v>
      </c>
      <c r="C30" s="109">
        <f>SUMIF('1UniNo'!B:B,B30,'1UniNo'!N:N)</f>
        <v>5</v>
      </c>
      <c r="D30" s="109">
        <f>SUMIF('2University-Specialisation'!B:B,B30,'2University-Specialisation'!W:W)</f>
        <v>5</v>
      </c>
      <c r="E30" s="109">
        <f t="shared" si="5"/>
        <v>100</v>
      </c>
      <c r="F30" s="109">
        <f>SUMIF('8CollegeAct'!B:B,B30,'8CollegeAct'!C:C)</f>
        <v>67</v>
      </c>
      <c r="G30" s="109">
        <f>SUMIF('5ManagementCollegeNo'!B:B,B30,'5ManagementCollegeNo'!G:G)</f>
        <v>66</v>
      </c>
      <c r="H30" s="109">
        <f t="shared" si="10"/>
        <v>98.507462686567152</v>
      </c>
      <c r="I30" s="109">
        <f>SUMIF('9AllSAAct'!$B:$B,$B30,'9AllSAAct'!AS:AS)</f>
        <v>20</v>
      </c>
      <c r="J30" s="109">
        <f>SUMIF('9AllSAAct'!$B:$B,$B30,'9AllSAAct'!AT:AT)</f>
        <v>17</v>
      </c>
      <c r="K30" s="109">
        <f t="shared" si="1"/>
        <v>85</v>
      </c>
      <c r="L30" s="109">
        <f t="shared" si="2"/>
        <v>92</v>
      </c>
      <c r="M30" s="109">
        <f t="shared" si="3"/>
        <v>88</v>
      </c>
      <c r="N30" s="109">
        <f t="shared" si="11"/>
        <v>95.65217391304347</v>
      </c>
    </row>
    <row r="31" spans="1:14" ht="30.75" customHeight="1">
      <c r="A31" s="84">
        <v>27</v>
      </c>
      <c r="B31" s="90" t="s">
        <v>39</v>
      </c>
      <c r="C31" s="109">
        <f>SUMIF('1UniNo'!B:B,B31,'1UniNo'!N:N)</f>
        <v>32</v>
      </c>
      <c r="D31" s="109">
        <f>SUMIF('2University-Specialisation'!B:B,B31,'2University-Specialisation'!W:W)</f>
        <v>32</v>
      </c>
      <c r="E31" s="109">
        <f t="shared" si="5"/>
        <v>100</v>
      </c>
      <c r="F31" s="109">
        <f>SUMIF('8CollegeAct'!B:B,B31,'8CollegeAct'!C:C)</f>
        <v>1087</v>
      </c>
      <c r="G31" s="109">
        <f>SUMIF('5ManagementCollegeNo'!B:B,B31,'5ManagementCollegeNo'!G:G)</f>
        <v>1077</v>
      </c>
      <c r="H31" s="109">
        <f t="shared" si="10"/>
        <v>99.08003679852807</v>
      </c>
      <c r="I31" s="109">
        <f>SUMIF('9AllSAAct'!$B:$B,$B31,'9AllSAAct'!AS:AS)</f>
        <v>386</v>
      </c>
      <c r="J31" s="109">
        <f>SUMIF('9AllSAAct'!$B:$B,$B31,'9AllSAAct'!AT:AT)</f>
        <v>381</v>
      </c>
      <c r="K31" s="109">
        <f t="shared" si="1"/>
        <v>98.704663212435236</v>
      </c>
      <c r="L31" s="109">
        <f t="shared" si="2"/>
        <v>1505</v>
      </c>
      <c r="M31" s="109">
        <f t="shared" si="3"/>
        <v>1490</v>
      </c>
      <c r="N31" s="109">
        <f t="shared" si="11"/>
        <v>99.003322259136212</v>
      </c>
    </row>
    <row r="32" spans="1:14" ht="30.75" customHeight="1">
      <c r="A32" s="84">
        <v>28</v>
      </c>
      <c r="B32" s="90" t="s">
        <v>40</v>
      </c>
      <c r="C32" s="109">
        <f>SUMIF('1UniNo'!B:B,B32,'1UniNo'!N:N)</f>
        <v>4</v>
      </c>
      <c r="D32" s="109">
        <f>SUMIF('2University-Specialisation'!B:B,B32,'2University-Specialisation'!W:W)</f>
        <v>4</v>
      </c>
      <c r="E32" s="109">
        <f t="shared" si="5"/>
        <v>100</v>
      </c>
      <c r="F32" s="109">
        <f>SUMIF('8CollegeAct'!B:B,B32,'8CollegeAct'!C:C)</f>
        <v>79</v>
      </c>
      <c r="G32" s="109">
        <f>SUMIF('5ManagementCollegeNo'!B:B,B32,'5ManagementCollegeNo'!G:G)</f>
        <v>69</v>
      </c>
      <c r="H32" s="109">
        <f t="shared" si="10"/>
        <v>87.341772151898724</v>
      </c>
      <c r="I32" s="109">
        <f>SUMIF('9AllSAAct'!$B:$B,$B32,'9AllSAAct'!AS:AS)</f>
        <v>14</v>
      </c>
      <c r="J32" s="109">
        <f>SUMIF('9AllSAAct'!$B:$B,$B32,'9AllSAAct'!AT:AT)</f>
        <v>13</v>
      </c>
      <c r="K32" s="109">
        <f t="shared" si="1"/>
        <v>92.857142857142847</v>
      </c>
      <c r="L32" s="109">
        <f t="shared" si="2"/>
        <v>97</v>
      </c>
      <c r="M32" s="109">
        <f t="shared" si="3"/>
        <v>86</v>
      </c>
      <c r="N32" s="109">
        <f t="shared" si="11"/>
        <v>88.659793814432987</v>
      </c>
    </row>
    <row r="33" spans="1:14" ht="30.75" customHeight="1">
      <c r="A33" s="84">
        <v>29</v>
      </c>
      <c r="B33" s="90" t="s">
        <v>41</v>
      </c>
      <c r="C33" s="109">
        <f>SUMIF('1UniNo'!B:B,B33,'1UniNo'!N:N)</f>
        <v>32</v>
      </c>
      <c r="D33" s="109">
        <f>SUMIF('2University-Specialisation'!B:B,B33,'2University-Specialisation'!W:W)</f>
        <v>32</v>
      </c>
      <c r="E33" s="109">
        <f t="shared" si="5"/>
        <v>100</v>
      </c>
      <c r="F33" s="109">
        <f>SUMIF('8CollegeAct'!B:B,B33,'8CollegeAct'!C:C)</f>
        <v>1079</v>
      </c>
      <c r="G33" s="109">
        <f>SUMIF('5ManagementCollegeNo'!B:B,B33,'5ManagementCollegeNo'!G:G)</f>
        <v>1006</v>
      </c>
      <c r="H33" s="109">
        <f t="shared" si="10"/>
        <v>93.234476367006494</v>
      </c>
      <c r="I33" s="109">
        <f>SUMIF('9AllSAAct'!$B:$B,$B33,'9AllSAAct'!AS:AS)</f>
        <v>421</v>
      </c>
      <c r="J33" s="109">
        <f>SUMIF('9AllSAAct'!$B:$B,$B33,'9AllSAAct'!AT:AT)</f>
        <v>344</v>
      </c>
      <c r="K33" s="109">
        <f t="shared" si="1"/>
        <v>81.710213776722085</v>
      </c>
      <c r="L33" s="109">
        <f t="shared" si="2"/>
        <v>1532</v>
      </c>
      <c r="M33" s="109">
        <f t="shared" si="3"/>
        <v>1382</v>
      </c>
      <c r="N33" s="109">
        <f t="shared" si="11"/>
        <v>90.208877284595303</v>
      </c>
    </row>
    <row r="34" spans="1:14" ht="30.75" customHeight="1">
      <c r="A34" s="84">
        <v>30</v>
      </c>
      <c r="B34" s="90" t="s">
        <v>42</v>
      </c>
      <c r="C34" s="109">
        <f>SUMIF('1UniNo'!B:B,B34,'1UniNo'!N:N)</f>
        <v>89</v>
      </c>
      <c r="D34" s="109">
        <f>SUMIF('2University-Specialisation'!B:B,B34,'2University-Specialisation'!W:W)</f>
        <v>85</v>
      </c>
      <c r="E34" s="109">
        <f t="shared" si="5"/>
        <v>95.50561797752809</v>
      </c>
      <c r="F34" s="109">
        <f>SUMIF('8CollegeAct'!B:B,B34,'8CollegeAct'!C:C)</f>
        <v>3380</v>
      </c>
      <c r="G34" s="109">
        <f>SUMIF('5ManagementCollegeNo'!B:B,B34,'5ManagementCollegeNo'!G:G)</f>
        <v>3101</v>
      </c>
      <c r="H34" s="109">
        <f t="shared" si="10"/>
        <v>91.745562130177518</v>
      </c>
      <c r="I34" s="109">
        <f>SUMIF('9AllSAAct'!$B:$B,$B34,'9AllSAAct'!AS:AS)</f>
        <v>567</v>
      </c>
      <c r="J34" s="109">
        <f>SUMIF('9AllSAAct'!$B:$B,$B34,'9AllSAAct'!AT:AT)</f>
        <v>409</v>
      </c>
      <c r="K34" s="109">
        <f t="shared" si="1"/>
        <v>72.134038800705468</v>
      </c>
      <c r="L34" s="109">
        <f t="shared" si="2"/>
        <v>4036</v>
      </c>
      <c r="M34" s="109">
        <f t="shared" si="3"/>
        <v>3595</v>
      </c>
      <c r="N34" s="109">
        <f t="shared" si="11"/>
        <v>89.073339940535178</v>
      </c>
    </row>
    <row r="35" spans="1:14" ht="30.75" customHeight="1">
      <c r="A35" s="84">
        <v>31</v>
      </c>
      <c r="B35" s="90" t="s">
        <v>43</v>
      </c>
      <c r="C35" s="109">
        <f>SUMIF('1UniNo'!B:B,B35,'1UniNo'!N:N)</f>
        <v>8</v>
      </c>
      <c r="D35" s="109">
        <f>SUMIF('2University-Specialisation'!B:B,B35,'2University-Specialisation'!W:W)</f>
        <v>7</v>
      </c>
      <c r="E35" s="109">
        <f t="shared" ref="E35:E41" si="12">D35/C35%</f>
        <v>87.5</v>
      </c>
      <c r="F35" s="109">
        <f>SUMIF('8CollegeAct'!B:B,B35,'8CollegeAct'!C:C)</f>
        <v>22</v>
      </c>
      <c r="G35" s="109">
        <f>SUMIF('5ManagementCollegeNo'!B:B,B35,'5ManagementCollegeNo'!G:G)</f>
        <v>19</v>
      </c>
      <c r="H35" s="109">
        <f t="shared" si="10"/>
        <v>86.36363636363636</v>
      </c>
      <c r="I35" s="109">
        <f>SUMIF('9AllSAAct'!$B:$B,$B35,'9AllSAAct'!AS:AS)</f>
        <v>8</v>
      </c>
      <c r="J35" s="109">
        <f>SUMIF('9AllSAAct'!$B:$B,$B35,'9AllSAAct'!AT:AT)</f>
        <v>8</v>
      </c>
      <c r="K35" s="109">
        <f t="shared" si="1"/>
        <v>100</v>
      </c>
      <c r="L35" s="109">
        <f t="shared" si="2"/>
        <v>38</v>
      </c>
      <c r="M35" s="109">
        <f t="shared" si="3"/>
        <v>34</v>
      </c>
      <c r="N35" s="109">
        <f t="shared" si="11"/>
        <v>89.473684210526315</v>
      </c>
    </row>
    <row r="36" spans="1:14" ht="30.75" customHeight="1">
      <c r="A36" s="84">
        <v>32</v>
      </c>
      <c r="B36" s="90" t="s">
        <v>44</v>
      </c>
      <c r="C36" s="109">
        <f>SUMIF('1UniNo'!B:B,B36,'1UniNo'!N:N)</f>
        <v>59</v>
      </c>
      <c r="D36" s="109">
        <f>SUMIF('2University-Specialisation'!B:B,B36,'2University-Specialisation'!W:W)</f>
        <v>59</v>
      </c>
      <c r="E36" s="109">
        <f t="shared" si="12"/>
        <v>100</v>
      </c>
      <c r="F36" s="109">
        <f>SUMIF('8CollegeAct'!B:B,B36,'8CollegeAct'!C:C)</f>
        <v>2610</v>
      </c>
      <c r="G36" s="109">
        <f>SUMIF('5ManagementCollegeNo'!B:B,B36,'5ManagementCollegeNo'!G:G)</f>
        <v>2608</v>
      </c>
      <c r="H36" s="109">
        <f t="shared" si="10"/>
        <v>99.923371647509569</v>
      </c>
      <c r="I36" s="109">
        <f>SUMIF('9AllSAAct'!$B:$B,$B36,'9AllSAAct'!AS:AS)</f>
        <v>914</v>
      </c>
      <c r="J36" s="109">
        <f>SUMIF('9AllSAAct'!$B:$B,$B36,'9AllSAAct'!AT:AT)</f>
        <v>908</v>
      </c>
      <c r="K36" s="109">
        <f t="shared" si="1"/>
        <v>99.343544857768052</v>
      </c>
      <c r="L36" s="109">
        <f t="shared" si="2"/>
        <v>3583</v>
      </c>
      <c r="M36" s="109">
        <f t="shared" si="3"/>
        <v>3575</v>
      </c>
      <c r="N36" s="109">
        <f t="shared" si="11"/>
        <v>99.776723416131745</v>
      </c>
    </row>
    <row r="37" spans="1:14" ht="30.75" customHeight="1">
      <c r="A37" s="84">
        <v>33</v>
      </c>
      <c r="B37" s="90" t="s">
        <v>134</v>
      </c>
      <c r="C37" s="109">
        <f>SUMIF('1UniNo'!B:B,B37,'1UniNo'!N:N)</f>
        <v>24</v>
      </c>
      <c r="D37" s="109">
        <f>SUMIF('2University-Specialisation'!B:B,B37,'2University-Specialisation'!W:W)</f>
        <v>24</v>
      </c>
      <c r="E37" s="109">
        <f t="shared" si="12"/>
        <v>100</v>
      </c>
      <c r="F37" s="109">
        <f>SUMIF('8CollegeAct'!B:B,B37,'8CollegeAct'!C:C)</f>
        <v>2071</v>
      </c>
      <c r="G37" s="109">
        <f>SUMIF('5ManagementCollegeNo'!B:B,B37,'5ManagementCollegeNo'!G:G)</f>
        <v>2042</v>
      </c>
      <c r="H37" s="109">
        <f t="shared" si="10"/>
        <v>98.599710284886527</v>
      </c>
      <c r="I37" s="109">
        <f>SUMIF('9AllSAAct'!$B:$B,$B37,'9AllSAAct'!AS:AS)</f>
        <v>514</v>
      </c>
      <c r="J37" s="109">
        <f>SUMIF('9AllSAAct'!$B:$B,$B37,'9AllSAAct'!AT:AT)</f>
        <v>444</v>
      </c>
      <c r="K37" s="109">
        <f t="shared" si="1"/>
        <v>86.381322957198449</v>
      </c>
      <c r="L37" s="109">
        <f t="shared" si="2"/>
        <v>2609</v>
      </c>
      <c r="M37" s="109">
        <f t="shared" si="3"/>
        <v>2510</v>
      </c>
      <c r="N37" s="109">
        <f t="shared" si="11"/>
        <v>96.20544269835186</v>
      </c>
    </row>
    <row r="38" spans="1:14" ht="30.75" customHeight="1">
      <c r="A38" s="84">
        <v>34</v>
      </c>
      <c r="B38" s="90" t="s">
        <v>45</v>
      </c>
      <c r="C38" s="109">
        <f>SUMIF('1UniNo'!B:B,B38,'1UniNo'!N:N)</f>
        <v>4</v>
      </c>
      <c r="D38" s="109">
        <f>SUMIF('2University-Specialisation'!B:B,B38,'2University-Specialisation'!W:W)</f>
        <v>4</v>
      </c>
      <c r="E38" s="109">
        <f t="shared" si="12"/>
        <v>100</v>
      </c>
      <c r="F38" s="109">
        <f>SUMIF('8CollegeAct'!B:B,B38,'8CollegeAct'!C:C)</f>
        <v>53</v>
      </c>
      <c r="G38" s="109">
        <f>SUMIF('5ManagementCollegeNo'!B:B,B38,'5ManagementCollegeNo'!G:G)</f>
        <v>53</v>
      </c>
      <c r="H38" s="109">
        <f t="shared" si="10"/>
        <v>100</v>
      </c>
      <c r="I38" s="109">
        <f>SUMIF('9AllSAAct'!$B:$B,$B38,'9AllSAAct'!AS:AS)</f>
        <v>12</v>
      </c>
      <c r="J38" s="109">
        <f>SUMIF('9AllSAAct'!$B:$B,$B38,'9AllSAAct'!AT:AT)</f>
        <v>10</v>
      </c>
      <c r="K38" s="109">
        <f t="shared" si="1"/>
        <v>83.333333333333343</v>
      </c>
      <c r="L38" s="109">
        <f t="shared" si="2"/>
        <v>69</v>
      </c>
      <c r="M38" s="109">
        <f t="shared" si="3"/>
        <v>67</v>
      </c>
      <c r="N38" s="109">
        <f t="shared" si="11"/>
        <v>97.101449275362327</v>
      </c>
    </row>
    <row r="39" spans="1:14" ht="30.75" customHeight="1">
      <c r="A39" s="84">
        <v>35</v>
      </c>
      <c r="B39" s="90" t="s">
        <v>47</v>
      </c>
      <c r="C39" s="109">
        <f>SUMIF('1UniNo'!B:B,B39,'1UniNo'!N:N)</f>
        <v>81</v>
      </c>
      <c r="D39" s="109">
        <f>SUMIF('2University-Specialisation'!B:B,B39,'2University-Specialisation'!W:W)</f>
        <v>77</v>
      </c>
      <c r="E39" s="109">
        <f t="shared" si="12"/>
        <v>95.061728395061721</v>
      </c>
      <c r="F39" s="109">
        <f>SUMIF('8CollegeAct'!B:B,B39,'8CollegeAct'!C:C)</f>
        <v>7788</v>
      </c>
      <c r="G39" s="109">
        <f>SUMIF('5ManagementCollegeNo'!B:B,B39,'5ManagementCollegeNo'!G:G)</f>
        <v>6888</v>
      </c>
      <c r="H39" s="109">
        <f t="shared" si="10"/>
        <v>88.443759630200319</v>
      </c>
      <c r="I39" s="109">
        <f>SUMIF('9AllSAAct'!$B:$B,$B39,'9AllSAAct'!AS:AS)</f>
        <v>1116</v>
      </c>
      <c r="J39" s="109">
        <f>SUMIF('9AllSAAct'!$B:$B,$B39,'9AllSAAct'!AT:AT)</f>
        <v>818</v>
      </c>
      <c r="K39" s="109">
        <f t="shared" si="1"/>
        <v>73.297491039426518</v>
      </c>
      <c r="L39" s="109">
        <f t="shared" si="2"/>
        <v>8985</v>
      </c>
      <c r="M39" s="109">
        <f t="shared" si="3"/>
        <v>7783</v>
      </c>
      <c r="N39" s="109">
        <f t="shared" si="11"/>
        <v>86.622148024485256</v>
      </c>
    </row>
    <row r="40" spans="1:14" ht="30.75" customHeight="1">
      <c r="A40" s="84">
        <v>36</v>
      </c>
      <c r="B40" s="90" t="s">
        <v>46</v>
      </c>
      <c r="C40" s="109">
        <f>SUMIF('1UniNo'!B:B,B40,'1UniNo'!N:N)</f>
        <v>36</v>
      </c>
      <c r="D40" s="109">
        <f>SUMIF('2University-Specialisation'!B:B,B40,'2University-Specialisation'!W:W)</f>
        <v>36</v>
      </c>
      <c r="E40" s="109">
        <f t="shared" si="12"/>
        <v>100</v>
      </c>
      <c r="F40" s="109">
        <f>SUMIF('8CollegeAct'!B:B,B40,'8CollegeAct'!C:C)</f>
        <v>454</v>
      </c>
      <c r="G40" s="109">
        <f>SUMIF('5ManagementCollegeNo'!B:B,B40,'5ManagementCollegeNo'!G:G)</f>
        <v>404</v>
      </c>
      <c r="H40" s="109">
        <f t="shared" si="10"/>
        <v>88.986784140969164</v>
      </c>
      <c r="I40" s="109">
        <f>SUMIF('9AllSAAct'!$B:$B,$B40,'9AllSAAct'!AS:AS)</f>
        <v>166</v>
      </c>
      <c r="J40" s="109">
        <f>SUMIF('9AllSAAct'!$B:$B,$B40,'9AllSAAct'!AT:AT)</f>
        <v>150</v>
      </c>
      <c r="K40" s="109">
        <f t="shared" si="1"/>
        <v>90.361445783132538</v>
      </c>
      <c r="L40" s="109">
        <f t="shared" si="2"/>
        <v>656</v>
      </c>
      <c r="M40" s="109">
        <f t="shared" si="3"/>
        <v>590</v>
      </c>
      <c r="N40" s="109">
        <f t="shared" si="11"/>
        <v>89.939024390243901</v>
      </c>
    </row>
    <row r="41" spans="1:14" ht="30.75" customHeight="1">
      <c r="A41" s="84">
        <v>37</v>
      </c>
      <c r="B41" s="90" t="s">
        <v>48</v>
      </c>
      <c r="C41" s="109">
        <f>SUMIF('1UniNo'!B:B,B41,'1UniNo'!N:N)</f>
        <v>47</v>
      </c>
      <c r="D41" s="109">
        <f>SUMIF('2University-Specialisation'!B:B,B41,'2University-Specialisation'!W:W)</f>
        <v>47</v>
      </c>
      <c r="E41" s="109">
        <f t="shared" si="12"/>
        <v>100</v>
      </c>
      <c r="F41" s="109">
        <f>SUMIF('8CollegeAct'!B:B,B41,'8CollegeAct'!C:C)</f>
        <v>1411</v>
      </c>
      <c r="G41" s="109">
        <f>SUMIF('5ManagementCollegeNo'!B:B,B41,'5ManagementCollegeNo'!G:G)</f>
        <v>1409</v>
      </c>
      <c r="H41" s="109">
        <f t="shared" si="10"/>
        <v>99.858256555634313</v>
      </c>
      <c r="I41" s="109">
        <f>SUMIF('9AllSAAct'!$B:$B,$B41,'9AllSAAct'!AS:AS)</f>
        <v>477</v>
      </c>
      <c r="J41" s="109">
        <f>SUMIF('9AllSAAct'!$B:$B,$B41,'9AllSAAct'!AT:AT)</f>
        <v>477</v>
      </c>
      <c r="K41" s="109">
        <f t="shared" si="1"/>
        <v>100.00000000000001</v>
      </c>
      <c r="L41" s="109">
        <f t="shared" si="2"/>
        <v>1935</v>
      </c>
      <c r="M41" s="109">
        <f t="shared" si="3"/>
        <v>1933</v>
      </c>
      <c r="N41" s="109">
        <f t="shared" si="11"/>
        <v>99.89664082687338</v>
      </c>
    </row>
    <row r="42" spans="1:14" ht="27.75" customHeight="1">
      <c r="A42" s="751" t="s">
        <v>49</v>
      </c>
      <c r="B42" s="751"/>
      <c r="C42" s="106">
        <f>SUM(C5:C41)</f>
        <v>1043</v>
      </c>
      <c r="D42" s="106">
        <f t="shared" ref="D42:J42" si="13">SUM(D5:D41)</f>
        <v>1019</v>
      </c>
      <c r="E42" s="107">
        <f t="shared" ref="E42" si="14">D42/C42%</f>
        <v>97.698945349952069</v>
      </c>
      <c r="F42" s="106">
        <f t="shared" si="13"/>
        <v>42343</v>
      </c>
      <c r="G42" s="106">
        <f t="shared" si="13"/>
        <v>39955</v>
      </c>
      <c r="H42" s="107">
        <f t="shared" ref="H42" si="15">G42/F42%</f>
        <v>94.360342913822819</v>
      </c>
      <c r="I42" s="106">
        <f t="shared" si="13"/>
        <v>11779</v>
      </c>
      <c r="J42" s="106">
        <f t="shared" si="13"/>
        <v>9599</v>
      </c>
      <c r="K42" s="108">
        <f t="shared" ref="K42" si="16">J42/I42%</f>
        <v>81.492486628746065</v>
      </c>
      <c r="L42" s="107">
        <f t="shared" ref="L42" si="17">C42+F42+I42</f>
        <v>55165</v>
      </c>
      <c r="M42" s="107">
        <f t="shared" ref="M42" si="18">D42+G42+J42</f>
        <v>50573</v>
      </c>
      <c r="N42" s="108">
        <f t="shared" ref="N42" si="19">M42/L42%</f>
        <v>91.675881446569392</v>
      </c>
    </row>
    <row r="43" spans="1:14" ht="18.75" customHeight="1">
      <c r="A43" s="748" t="s">
        <v>816</v>
      </c>
      <c r="B43" s="748"/>
      <c r="C43" s="748"/>
      <c r="D43" s="748"/>
      <c r="E43" s="748"/>
      <c r="F43" s="748"/>
      <c r="G43" s="748"/>
      <c r="H43" s="748"/>
      <c r="I43" s="748"/>
      <c r="J43" s="748"/>
      <c r="K43" s="748"/>
      <c r="L43" s="748"/>
      <c r="M43" s="748"/>
      <c r="N43" s="748"/>
    </row>
  </sheetData>
  <mergeCells count="8">
    <mergeCell ref="A43:N43"/>
    <mergeCell ref="L2:N2"/>
    <mergeCell ref="A2:A3"/>
    <mergeCell ref="B2:B3"/>
    <mergeCell ref="A42:B42"/>
    <mergeCell ref="C2:E2"/>
    <mergeCell ref="F2:H2"/>
    <mergeCell ref="I2:K2"/>
  </mergeCells>
  <pageMargins left="0.5" right="0.5" top="0.5" bottom="0.5" header="0.31496062992126" footer="0.31496062992126"/>
  <pageSetup paperSize="9" scale="61" orientation="portrait" r:id="rId1"/>
  <headerFooter>
    <oddFooter>&amp;LAISHE 2019-20&amp;CT-1a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W37"/>
  <sheetViews>
    <sheetView showZeros="0" view="pageBreakPreview" topLeftCell="G19" zoomScale="85" zoomScaleSheetLayoutView="85" workbookViewId="0">
      <selection activeCell="A38" sqref="A38:XFD129"/>
    </sheetView>
  </sheetViews>
  <sheetFormatPr defaultColWidth="9.140625" defaultRowHeight="15"/>
  <cols>
    <col min="1" max="1" width="5.140625" style="110" customWidth="1"/>
    <col min="2" max="2" width="22.85546875" style="114" customWidth="1"/>
    <col min="3" max="8" width="8.5703125" style="114" customWidth="1"/>
    <col min="9" max="9" width="9.5703125" style="114" customWidth="1"/>
    <col min="10" max="10" width="9.140625" style="114" customWidth="1"/>
    <col min="11" max="18" width="8.5703125" style="114" customWidth="1"/>
    <col min="19" max="19" width="9" style="114" customWidth="1"/>
    <col min="20" max="23" width="8.5703125" style="114" customWidth="1"/>
    <col min="24" max="16384" width="9.140625" style="114"/>
  </cols>
  <sheetData>
    <row r="1" spans="1:23" s="111" customFormat="1" ht="35.25" customHeight="1">
      <c r="A1" s="110"/>
      <c r="B1" s="88" t="s">
        <v>898</v>
      </c>
      <c r="C1" s="753" t="s">
        <v>899</v>
      </c>
      <c r="D1" s="753"/>
      <c r="E1" s="753"/>
      <c r="F1" s="753"/>
      <c r="G1" s="753"/>
      <c r="H1" s="753"/>
      <c r="I1" s="753"/>
      <c r="J1" s="753"/>
      <c r="K1" s="753"/>
      <c r="L1" s="753"/>
      <c r="M1" s="753" t="str">
        <f>C1</f>
        <v>State &amp; Specialisation-wise Number of Universities
 (Based on actual Response)</v>
      </c>
      <c r="N1" s="753"/>
      <c r="O1" s="753"/>
      <c r="P1" s="753"/>
      <c r="Q1" s="753"/>
      <c r="R1" s="753"/>
      <c r="S1" s="753"/>
      <c r="T1" s="753"/>
      <c r="U1" s="753"/>
      <c r="V1" s="753"/>
      <c r="W1" s="753"/>
    </row>
    <row r="2" spans="1:23" s="112" customFormat="1" ht="107.25" customHeight="1">
      <c r="A2" s="81" t="s">
        <v>165</v>
      </c>
      <c r="B2" s="82" t="s">
        <v>713</v>
      </c>
      <c r="C2" s="83" t="s">
        <v>5</v>
      </c>
      <c r="D2" s="83" t="s">
        <v>6</v>
      </c>
      <c r="E2" s="83" t="s">
        <v>166</v>
      </c>
      <c r="F2" s="83" t="s">
        <v>167</v>
      </c>
      <c r="G2" s="83" t="s">
        <v>168</v>
      </c>
      <c r="H2" s="83" t="s">
        <v>169</v>
      </c>
      <c r="I2" s="83" t="s">
        <v>803</v>
      </c>
      <c r="J2" s="83" t="s">
        <v>170</v>
      </c>
      <c r="K2" s="83" t="s">
        <v>171</v>
      </c>
      <c r="L2" s="83" t="s">
        <v>8</v>
      </c>
      <c r="M2" s="83" t="s">
        <v>404</v>
      </c>
      <c r="N2" s="83" t="s">
        <v>7</v>
      </c>
      <c r="O2" s="83" t="s">
        <v>172</v>
      </c>
      <c r="P2" s="83" t="s">
        <v>173</v>
      </c>
      <c r="Q2" s="83" t="s">
        <v>174</v>
      </c>
      <c r="R2" s="83" t="s">
        <v>175</v>
      </c>
      <c r="S2" s="83" t="s">
        <v>804</v>
      </c>
      <c r="T2" s="83" t="s">
        <v>9</v>
      </c>
      <c r="U2" s="83" t="s">
        <v>10</v>
      </c>
      <c r="V2" s="83" t="s">
        <v>11</v>
      </c>
      <c r="W2" s="83" t="s">
        <v>60</v>
      </c>
    </row>
    <row r="3" spans="1:23" s="113" customFormat="1" ht="15" customHeight="1">
      <c r="A3" s="89">
        <v>1</v>
      </c>
      <c r="B3" s="89">
        <v>2</v>
      </c>
      <c r="C3" s="89">
        <v>3</v>
      </c>
      <c r="D3" s="89">
        <v>4</v>
      </c>
      <c r="E3" s="89">
        <v>5</v>
      </c>
      <c r="F3" s="89">
        <v>6</v>
      </c>
      <c r="G3" s="89">
        <v>7</v>
      </c>
      <c r="H3" s="89">
        <v>8</v>
      </c>
      <c r="I3" s="89">
        <v>9</v>
      </c>
      <c r="J3" s="89">
        <v>10</v>
      </c>
      <c r="K3" s="89">
        <v>11</v>
      </c>
      <c r="L3" s="89">
        <v>12</v>
      </c>
      <c r="M3" s="89">
        <v>13</v>
      </c>
      <c r="N3" s="89">
        <v>14</v>
      </c>
      <c r="O3" s="89">
        <v>15</v>
      </c>
      <c r="P3" s="89">
        <v>16</v>
      </c>
      <c r="Q3" s="89">
        <v>17</v>
      </c>
      <c r="R3" s="89">
        <v>18</v>
      </c>
      <c r="S3" s="89">
        <v>19</v>
      </c>
      <c r="T3" s="89">
        <v>20</v>
      </c>
      <c r="U3" s="89">
        <v>21</v>
      </c>
      <c r="V3" s="89">
        <v>22</v>
      </c>
      <c r="W3" s="89">
        <v>23</v>
      </c>
    </row>
    <row r="4" spans="1:23" ht="26.25" customHeight="1">
      <c r="A4" s="84">
        <v>1</v>
      </c>
      <c r="B4" s="85" t="s">
        <v>15</v>
      </c>
      <c r="C4" s="120">
        <v>17</v>
      </c>
      <c r="D4" s="120">
        <v>3</v>
      </c>
      <c r="E4" s="120"/>
      <c r="F4" s="120"/>
      <c r="G4" s="120"/>
      <c r="H4" s="120"/>
      <c r="I4" s="120"/>
      <c r="J4" s="120"/>
      <c r="K4" s="120">
        <v>1</v>
      </c>
      <c r="L4" s="120">
        <v>1</v>
      </c>
      <c r="M4" s="120">
        <v>1</v>
      </c>
      <c r="N4" s="120">
        <v>2</v>
      </c>
      <c r="O4" s="120"/>
      <c r="P4" s="120">
        <v>1</v>
      </c>
      <c r="Q4" s="120">
        <v>1</v>
      </c>
      <c r="R4" s="120">
        <v>2</v>
      </c>
      <c r="S4" s="120"/>
      <c r="T4" s="120">
        <v>9</v>
      </c>
      <c r="U4" s="120">
        <v>1</v>
      </c>
      <c r="V4" s="120"/>
      <c r="W4" s="86">
        <f>SUM(C4:V4)</f>
        <v>39</v>
      </c>
    </row>
    <row r="5" spans="1:23" ht="30.75" customHeight="1">
      <c r="A5" s="84">
        <v>2</v>
      </c>
      <c r="B5" s="85" t="s">
        <v>16</v>
      </c>
      <c r="C5" s="120">
        <v>6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>
        <v>3</v>
      </c>
      <c r="U5" s="120"/>
      <c r="V5" s="120">
        <v>1</v>
      </c>
      <c r="W5" s="86">
        <f t="shared" ref="W5:W36" si="0">SUM(C5:V5)</f>
        <v>10</v>
      </c>
    </row>
    <row r="6" spans="1:23" ht="26.25" customHeight="1">
      <c r="A6" s="84">
        <v>3</v>
      </c>
      <c r="B6" s="85" t="s">
        <v>17</v>
      </c>
      <c r="C6" s="120">
        <v>13</v>
      </c>
      <c r="D6" s="120">
        <v>1</v>
      </c>
      <c r="E6" s="120">
        <v>1</v>
      </c>
      <c r="F6" s="120"/>
      <c r="G6" s="120"/>
      <c r="H6" s="120"/>
      <c r="I6" s="120"/>
      <c r="J6" s="120"/>
      <c r="K6" s="120"/>
      <c r="L6" s="120">
        <v>1</v>
      </c>
      <c r="M6" s="120">
        <v>1</v>
      </c>
      <c r="N6" s="120">
        <v>1</v>
      </c>
      <c r="O6" s="120"/>
      <c r="P6" s="120"/>
      <c r="Q6" s="120">
        <v>1</v>
      </c>
      <c r="R6" s="120"/>
      <c r="S6" s="120"/>
      <c r="T6" s="120">
        <v>6</v>
      </c>
      <c r="U6" s="120"/>
      <c r="V6" s="120">
        <v>1</v>
      </c>
      <c r="W6" s="86">
        <f t="shared" si="0"/>
        <v>26</v>
      </c>
    </row>
    <row r="7" spans="1:23" ht="26.25" customHeight="1">
      <c r="A7" s="84">
        <v>4</v>
      </c>
      <c r="B7" s="85" t="s">
        <v>18</v>
      </c>
      <c r="C7" s="120">
        <v>20</v>
      </c>
      <c r="D7" s="120">
        <v>1</v>
      </c>
      <c r="E7" s="120"/>
      <c r="F7" s="120">
        <v>1</v>
      </c>
      <c r="G7" s="120"/>
      <c r="H7" s="120"/>
      <c r="I7" s="120"/>
      <c r="J7" s="120"/>
      <c r="K7" s="120"/>
      <c r="L7" s="120">
        <v>1</v>
      </c>
      <c r="M7" s="120">
        <v>3</v>
      </c>
      <c r="N7" s="120">
        <v>2</v>
      </c>
      <c r="O7" s="120">
        <v>1</v>
      </c>
      <c r="P7" s="120">
        <v>1</v>
      </c>
      <c r="Q7" s="120">
        <v>1</v>
      </c>
      <c r="R7" s="120"/>
      <c r="S7" s="120"/>
      <c r="T7" s="120">
        <v>3</v>
      </c>
      <c r="U7" s="120"/>
      <c r="V7" s="120">
        <v>1</v>
      </c>
      <c r="W7" s="86">
        <f t="shared" si="0"/>
        <v>35</v>
      </c>
    </row>
    <row r="8" spans="1:23" ht="26.25" customHeight="1">
      <c r="A8" s="84">
        <v>5</v>
      </c>
      <c r="B8" s="85" t="s">
        <v>19</v>
      </c>
      <c r="C8" s="120">
        <v>1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>
        <v>1</v>
      </c>
      <c r="O8" s="120"/>
      <c r="P8" s="120"/>
      <c r="Q8" s="120"/>
      <c r="R8" s="120"/>
      <c r="S8" s="120"/>
      <c r="T8" s="120">
        <v>1</v>
      </c>
      <c r="U8" s="120"/>
      <c r="V8" s="120"/>
      <c r="W8" s="86">
        <f t="shared" si="0"/>
        <v>3</v>
      </c>
    </row>
    <row r="9" spans="1:23" ht="26.25" customHeight="1">
      <c r="A9" s="84">
        <v>6</v>
      </c>
      <c r="B9" s="85" t="s">
        <v>20</v>
      </c>
      <c r="C9" s="120">
        <v>14</v>
      </c>
      <c r="D9" s="120">
        <v>1</v>
      </c>
      <c r="E9" s="120"/>
      <c r="F9" s="120"/>
      <c r="G9" s="120">
        <v>1</v>
      </c>
      <c r="H9" s="120"/>
      <c r="I9" s="120"/>
      <c r="J9" s="120">
        <v>1</v>
      </c>
      <c r="K9" s="120"/>
      <c r="L9" s="120">
        <v>1</v>
      </c>
      <c r="M9" s="120">
        <v>1</v>
      </c>
      <c r="N9" s="120">
        <v>2</v>
      </c>
      <c r="O9" s="120"/>
      <c r="P9" s="120"/>
      <c r="Q9" s="120"/>
      <c r="R9" s="120">
        <v>1</v>
      </c>
      <c r="S9" s="120"/>
      <c r="T9" s="120">
        <v>4</v>
      </c>
      <c r="U9" s="120">
        <v>1</v>
      </c>
      <c r="V9" s="120">
        <v>1</v>
      </c>
      <c r="W9" s="86">
        <f t="shared" si="0"/>
        <v>28</v>
      </c>
    </row>
    <row r="10" spans="1:23" ht="26.25" customHeight="1">
      <c r="A10" s="84">
        <v>7</v>
      </c>
      <c r="B10" s="85" t="s">
        <v>23</v>
      </c>
      <c r="C10" s="120">
        <v>7</v>
      </c>
      <c r="D10" s="120">
        <v>1</v>
      </c>
      <c r="E10" s="120">
        <v>1</v>
      </c>
      <c r="F10" s="120">
        <v>1</v>
      </c>
      <c r="G10" s="120"/>
      <c r="H10" s="120"/>
      <c r="I10" s="120"/>
      <c r="J10" s="120"/>
      <c r="K10" s="120"/>
      <c r="L10" s="120">
        <v>2</v>
      </c>
      <c r="M10" s="120"/>
      <c r="N10" s="120">
        <v>2</v>
      </c>
      <c r="O10" s="120"/>
      <c r="P10" s="120"/>
      <c r="Q10" s="120">
        <v>1</v>
      </c>
      <c r="R10" s="120">
        <v>1</v>
      </c>
      <c r="S10" s="120"/>
      <c r="T10" s="120">
        <v>10</v>
      </c>
      <c r="U10" s="120"/>
      <c r="V10" s="120">
        <v>1</v>
      </c>
      <c r="W10" s="86">
        <f t="shared" si="0"/>
        <v>27</v>
      </c>
    </row>
    <row r="11" spans="1:23" ht="26.25" customHeight="1">
      <c r="A11" s="84">
        <v>8</v>
      </c>
      <c r="B11" s="85" t="s">
        <v>24</v>
      </c>
      <c r="C11" s="120">
        <v>1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>
        <v>2</v>
      </c>
      <c r="U11" s="120"/>
      <c r="V11" s="120"/>
      <c r="W11" s="86">
        <f t="shared" si="0"/>
        <v>3</v>
      </c>
    </row>
    <row r="12" spans="1:23" ht="26.25" customHeight="1">
      <c r="A12" s="84">
        <v>9</v>
      </c>
      <c r="B12" s="85" t="s">
        <v>25</v>
      </c>
      <c r="C12" s="120">
        <v>42</v>
      </c>
      <c r="D12" s="120">
        <v>4</v>
      </c>
      <c r="E12" s="120"/>
      <c r="F12" s="120">
        <v>1</v>
      </c>
      <c r="G12" s="120"/>
      <c r="H12" s="120"/>
      <c r="I12" s="120"/>
      <c r="J12" s="120"/>
      <c r="K12" s="120"/>
      <c r="L12" s="120">
        <v>1</v>
      </c>
      <c r="M12" s="120"/>
      <c r="N12" s="120">
        <v>5</v>
      </c>
      <c r="O12" s="120"/>
      <c r="P12" s="120"/>
      <c r="Q12" s="120">
        <v>1</v>
      </c>
      <c r="R12" s="120">
        <v>2</v>
      </c>
      <c r="S12" s="120">
        <v>2</v>
      </c>
      <c r="T12" s="120">
        <v>12</v>
      </c>
      <c r="U12" s="120">
        <v>1</v>
      </c>
      <c r="V12" s="120">
        <v>5</v>
      </c>
      <c r="W12" s="86">
        <f t="shared" si="0"/>
        <v>76</v>
      </c>
    </row>
    <row r="13" spans="1:23" ht="26.25" customHeight="1">
      <c r="A13" s="84">
        <v>10</v>
      </c>
      <c r="B13" s="85" t="s">
        <v>26</v>
      </c>
      <c r="C13" s="120">
        <v>31</v>
      </c>
      <c r="D13" s="120">
        <v>2</v>
      </c>
      <c r="E13" s="120"/>
      <c r="F13" s="120">
        <v>1</v>
      </c>
      <c r="G13" s="120">
        <v>1</v>
      </c>
      <c r="H13" s="120"/>
      <c r="I13" s="120"/>
      <c r="J13" s="120"/>
      <c r="K13" s="120">
        <v>1</v>
      </c>
      <c r="L13" s="120">
        <v>1</v>
      </c>
      <c r="M13" s="120">
        <v>3</v>
      </c>
      <c r="N13" s="120">
        <v>2</v>
      </c>
      <c r="O13" s="120"/>
      <c r="P13" s="120"/>
      <c r="Q13" s="120"/>
      <c r="R13" s="120"/>
      <c r="S13" s="120"/>
      <c r="T13" s="120">
        <v>4</v>
      </c>
      <c r="U13" s="120">
        <v>2</v>
      </c>
      <c r="V13" s="120">
        <v>3</v>
      </c>
      <c r="W13" s="86">
        <f t="shared" si="0"/>
        <v>51</v>
      </c>
    </row>
    <row r="14" spans="1:23" ht="26.25" customHeight="1">
      <c r="A14" s="84">
        <v>11</v>
      </c>
      <c r="B14" s="85" t="s">
        <v>27</v>
      </c>
      <c r="C14" s="120">
        <v>14</v>
      </c>
      <c r="D14" s="120">
        <v>2</v>
      </c>
      <c r="E14" s="120"/>
      <c r="F14" s="120"/>
      <c r="G14" s="120"/>
      <c r="H14" s="120"/>
      <c r="I14" s="120"/>
      <c r="J14" s="120"/>
      <c r="K14" s="120"/>
      <c r="L14" s="120">
        <v>1</v>
      </c>
      <c r="M14" s="120">
        <v>2</v>
      </c>
      <c r="N14" s="120"/>
      <c r="O14" s="120"/>
      <c r="P14" s="120"/>
      <c r="Q14" s="120"/>
      <c r="R14" s="120"/>
      <c r="S14" s="120"/>
      <c r="T14" s="120">
        <v>7</v>
      </c>
      <c r="U14" s="120"/>
      <c r="V14" s="120">
        <v>1</v>
      </c>
      <c r="W14" s="86">
        <f t="shared" si="0"/>
        <v>27</v>
      </c>
    </row>
    <row r="15" spans="1:23" ht="30.75" customHeight="1">
      <c r="A15" s="84">
        <v>12</v>
      </c>
      <c r="B15" s="85" t="s">
        <v>57</v>
      </c>
      <c r="C15" s="120">
        <v>6</v>
      </c>
      <c r="D15" s="120">
        <v>2</v>
      </c>
      <c r="E15" s="120">
        <v>1</v>
      </c>
      <c r="F15" s="120"/>
      <c r="G15" s="120"/>
      <c r="H15" s="120"/>
      <c r="I15" s="120"/>
      <c r="J15" s="120"/>
      <c r="K15" s="120"/>
      <c r="L15" s="120"/>
      <c r="M15" s="120">
        <v>3</v>
      </c>
      <c r="N15" s="120"/>
      <c r="O15" s="120"/>
      <c r="P15" s="120"/>
      <c r="Q15" s="120"/>
      <c r="R15" s="120"/>
      <c r="S15" s="120"/>
      <c r="T15" s="120">
        <v>3</v>
      </c>
      <c r="U15" s="120"/>
      <c r="V15" s="120"/>
      <c r="W15" s="86">
        <f t="shared" si="0"/>
        <v>15</v>
      </c>
    </row>
    <row r="16" spans="1:23" ht="26.25" customHeight="1">
      <c r="A16" s="84">
        <v>13</v>
      </c>
      <c r="B16" s="85" t="s">
        <v>29</v>
      </c>
      <c r="C16" s="120">
        <v>20</v>
      </c>
      <c r="D16" s="120"/>
      <c r="E16" s="120">
        <v>1</v>
      </c>
      <c r="F16" s="120"/>
      <c r="G16" s="120"/>
      <c r="H16" s="120"/>
      <c r="I16" s="120"/>
      <c r="J16" s="120"/>
      <c r="K16" s="120"/>
      <c r="L16" s="120">
        <v>1</v>
      </c>
      <c r="M16" s="120">
        <v>1</v>
      </c>
      <c r="N16" s="120">
        <v>1</v>
      </c>
      <c r="O16" s="120"/>
      <c r="P16" s="120"/>
      <c r="Q16" s="120"/>
      <c r="R16" s="120"/>
      <c r="S16" s="120"/>
      <c r="T16" s="120">
        <v>6</v>
      </c>
      <c r="U16" s="120"/>
      <c r="V16" s="120">
        <v>1</v>
      </c>
      <c r="W16" s="86">
        <f t="shared" si="0"/>
        <v>31</v>
      </c>
    </row>
    <row r="17" spans="1:23" ht="26.25" customHeight="1">
      <c r="A17" s="84">
        <v>14</v>
      </c>
      <c r="B17" s="85" t="s">
        <v>30</v>
      </c>
      <c r="C17" s="120">
        <v>35</v>
      </c>
      <c r="D17" s="120">
        <v>4</v>
      </c>
      <c r="E17" s="120"/>
      <c r="F17" s="120"/>
      <c r="G17" s="120">
        <v>2</v>
      </c>
      <c r="H17" s="120"/>
      <c r="I17" s="120"/>
      <c r="J17" s="120"/>
      <c r="K17" s="120">
        <v>1</v>
      </c>
      <c r="L17" s="120">
        <v>1</v>
      </c>
      <c r="M17" s="120">
        <v>1</v>
      </c>
      <c r="N17" s="120">
        <v>8</v>
      </c>
      <c r="O17" s="120"/>
      <c r="P17" s="120"/>
      <c r="Q17" s="120">
        <v>1</v>
      </c>
      <c r="R17" s="120">
        <v>2</v>
      </c>
      <c r="S17" s="120"/>
      <c r="T17" s="120">
        <v>9</v>
      </c>
      <c r="U17" s="120">
        <v>1</v>
      </c>
      <c r="V17" s="120">
        <v>4</v>
      </c>
      <c r="W17" s="86">
        <f t="shared" si="0"/>
        <v>69</v>
      </c>
    </row>
    <row r="18" spans="1:23" ht="26.25" customHeight="1">
      <c r="A18" s="84">
        <v>15</v>
      </c>
      <c r="B18" s="85" t="s">
        <v>31</v>
      </c>
      <c r="C18" s="120">
        <v>7</v>
      </c>
      <c r="D18" s="120">
        <v>1</v>
      </c>
      <c r="E18" s="120"/>
      <c r="F18" s="120"/>
      <c r="G18" s="120"/>
      <c r="H18" s="120">
        <v>1</v>
      </c>
      <c r="I18" s="120"/>
      <c r="J18" s="120"/>
      <c r="K18" s="120">
        <v>1</v>
      </c>
      <c r="L18" s="120">
        <v>1</v>
      </c>
      <c r="M18" s="120">
        <v>2</v>
      </c>
      <c r="N18" s="120">
        <v>2</v>
      </c>
      <c r="O18" s="120"/>
      <c r="P18" s="120"/>
      <c r="Q18" s="120"/>
      <c r="R18" s="120">
        <v>1</v>
      </c>
      <c r="S18" s="120"/>
      <c r="T18" s="120">
        <v>5</v>
      </c>
      <c r="U18" s="120">
        <v>1</v>
      </c>
      <c r="V18" s="120">
        <v>1</v>
      </c>
      <c r="W18" s="86">
        <f t="shared" si="0"/>
        <v>23</v>
      </c>
    </row>
    <row r="19" spans="1:23" ht="26.25" customHeight="1">
      <c r="A19" s="84">
        <v>16</v>
      </c>
      <c r="B19" s="86" t="s">
        <v>761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>
        <v>1</v>
      </c>
      <c r="P19" s="120"/>
      <c r="Q19" s="120"/>
      <c r="R19" s="120"/>
      <c r="S19" s="120"/>
      <c r="T19" s="120"/>
      <c r="U19" s="120"/>
      <c r="V19" s="120"/>
      <c r="W19" s="86">
        <f t="shared" si="0"/>
        <v>1</v>
      </c>
    </row>
    <row r="20" spans="1:23" ht="26.25" customHeight="1">
      <c r="A20" s="84">
        <v>17</v>
      </c>
      <c r="B20" s="85" t="s">
        <v>33</v>
      </c>
      <c r="C20" s="120">
        <v>33</v>
      </c>
      <c r="D20" s="120">
        <v>2</v>
      </c>
      <c r="E20" s="120"/>
      <c r="F20" s="120">
        <v>1</v>
      </c>
      <c r="G20" s="120">
        <v>2</v>
      </c>
      <c r="H20" s="120"/>
      <c r="I20" s="120"/>
      <c r="J20" s="120">
        <v>1</v>
      </c>
      <c r="K20" s="120">
        <v>2</v>
      </c>
      <c r="L20" s="120">
        <v>1</v>
      </c>
      <c r="M20" s="120">
        <v>4</v>
      </c>
      <c r="N20" s="120">
        <v>2</v>
      </c>
      <c r="O20" s="120"/>
      <c r="P20" s="120"/>
      <c r="Q20" s="120">
        <v>1</v>
      </c>
      <c r="R20" s="120">
        <v>1</v>
      </c>
      <c r="S20" s="120"/>
      <c r="T20" s="120">
        <v>6</v>
      </c>
      <c r="U20" s="120">
        <v>1</v>
      </c>
      <c r="V20" s="120">
        <v>2</v>
      </c>
      <c r="W20" s="86">
        <f t="shared" si="0"/>
        <v>59</v>
      </c>
    </row>
    <row r="21" spans="1:23" ht="26.25" customHeight="1">
      <c r="A21" s="84">
        <v>18</v>
      </c>
      <c r="B21" s="85" t="s">
        <v>34</v>
      </c>
      <c r="C21" s="120">
        <v>27</v>
      </c>
      <c r="D21" s="120">
        <v>5</v>
      </c>
      <c r="E21" s="120">
        <v>1</v>
      </c>
      <c r="F21" s="120">
        <v>1</v>
      </c>
      <c r="G21" s="120"/>
      <c r="H21" s="120">
        <v>2</v>
      </c>
      <c r="I21" s="120"/>
      <c r="J21" s="120"/>
      <c r="K21" s="120">
        <v>1</v>
      </c>
      <c r="L21" s="120">
        <v>2</v>
      </c>
      <c r="M21" s="120">
        <v>3</v>
      </c>
      <c r="N21" s="120">
        <v>7</v>
      </c>
      <c r="O21" s="120"/>
      <c r="P21" s="120"/>
      <c r="Q21" s="120">
        <v>1</v>
      </c>
      <c r="R21" s="120">
        <v>2</v>
      </c>
      <c r="S21" s="120"/>
      <c r="T21" s="120">
        <v>10</v>
      </c>
      <c r="U21" s="120"/>
      <c r="V21" s="120">
        <v>3</v>
      </c>
      <c r="W21" s="86">
        <f t="shared" si="0"/>
        <v>65</v>
      </c>
    </row>
    <row r="22" spans="1:23" ht="26.25" customHeight="1">
      <c r="A22" s="84">
        <v>19</v>
      </c>
      <c r="B22" s="85" t="s">
        <v>35</v>
      </c>
      <c r="C22" s="120">
        <v>2</v>
      </c>
      <c r="D22" s="120"/>
      <c r="E22" s="120"/>
      <c r="F22" s="120">
        <v>1</v>
      </c>
      <c r="G22" s="120"/>
      <c r="H22" s="120"/>
      <c r="I22" s="120"/>
      <c r="J22" s="120"/>
      <c r="K22" s="120"/>
      <c r="L22" s="120"/>
      <c r="M22" s="120">
        <v>1</v>
      </c>
      <c r="N22" s="120"/>
      <c r="O22" s="120"/>
      <c r="P22" s="120"/>
      <c r="Q22" s="120"/>
      <c r="R22" s="120"/>
      <c r="S22" s="120"/>
      <c r="T22" s="120">
        <v>3</v>
      </c>
      <c r="U22" s="120"/>
      <c r="V22" s="120"/>
      <c r="W22" s="86">
        <f t="shared" si="0"/>
        <v>7</v>
      </c>
    </row>
    <row r="23" spans="1:23" ht="26.25" customHeight="1">
      <c r="A23" s="84">
        <v>20</v>
      </c>
      <c r="B23" s="85" t="s">
        <v>36</v>
      </c>
      <c r="C23" s="120">
        <v>3</v>
      </c>
      <c r="D23" s="120"/>
      <c r="E23" s="120"/>
      <c r="F23" s="120"/>
      <c r="G23" s="120"/>
      <c r="H23" s="120">
        <v>1</v>
      </c>
      <c r="I23" s="120"/>
      <c r="J23" s="120"/>
      <c r="K23" s="120"/>
      <c r="L23" s="120"/>
      <c r="M23" s="120">
        <v>3</v>
      </c>
      <c r="N23" s="120"/>
      <c r="O23" s="120"/>
      <c r="P23" s="120"/>
      <c r="Q23" s="120"/>
      <c r="R23" s="120"/>
      <c r="S23" s="120"/>
      <c r="T23" s="120">
        <v>2</v>
      </c>
      <c r="U23" s="120"/>
      <c r="V23" s="120"/>
      <c r="W23" s="86">
        <f t="shared" si="0"/>
        <v>9</v>
      </c>
    </row>
    <row r="24" spans="1:23" ht="26.25" customHeight="1">
      <c r="A24" s="84">
        <v>21</v>
      </c>
      <c r="B24" s="85" t="s">
        <v>37</v>
      </c>
      <c r="C24" s="120">
        <v>2</v>
      </c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>
        <v>1</v>
      </c>
      <c r="U24" s="120"/>
      <c r="V24" s="120"/>
      <c r="W24" s="86">
        <f t="shared" si="0"/>
        <v>3</v>
      </c>
    </row>
    <row r="25" spans="1:23" ht="26.25" customHeight="1">
      <c r="A25" s="84">
        <v>22</v>
      </c>
      <c r="B25" s="85" t="s">
        <v>38</v>
      </c>
      <c r="C25" s="120">
        <v>3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>
        <v>2</v>
      </c>
      <c r="U25" s="120"/>
      <c r="V25" s="120"/>
      <c r="W25" s="86">
        <f t="shared" si="0"/>
        <v>5</v>
      </c>
    </row>
    <row r="26" spans="1:23" ht="26.25" customHeight="1">
      <c r="A26" s="84">
        <v>23</v>
      </c>
      <c r="B26" s="85" t="s">
        <v>39</v>
      </c>
      <c r="C26" s="120">
        <v>14</v>
      </c>
      <c r="D26" s="120">
        <v>1</v>
      </c>
      <c r="E26" s="120"/>
      <c r="F26" s="120"/>
      <c r="G26" s="120"/>
      <c r="H26" s="120"/>
      <c r="I26" s="120"/>
      <c r="J26" s="120"/>
      <c r="K26" s="120"/>
      <c r="L26" s="120">
        <v>1</v>
      </c>
      <c r="M26" s="120">
        <v>2</v>
      </c>
      <c r="N26" s="120">
        <v>3</v>
      </c>
      <c r="O26" s="120"/>
      <c r="P26" s="120"/>
      <c r="Q26" s="120">
        <v>1</v>
      </c>
      <c r="R26" s="120">
        <v>2</v>
      </c>
      <c r="S26" s="120"/>
      <c r="T26" s="120">
        <v>7</v>
      </c>
      <c r="U26" s="120"/>
      <c r="V26" s="120">
        <v>1</v>
      </c>
      <c r="W26" s="86">
        <f t="shared" si="0"/>
        <v>32</v>
      </c>
    </row>
    <row r="27" spans="1:23" ht="26.25" customHeight="1">
      <c r="A27" s="84">
        <v>24</v>
      </c>
      <c r="B27" s="85" t="s">
        <v>40</v>
      </c>
      <c r="C27" s="120">
        <v>1</v>
      </c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>
        <v>2</v>
      </c>
      <c r="O27" s="120"/>
      <c r="P27" s="120"/>
      <c r="Q27" s="120"/>
      <c r="R27" s="120"/>
      <c r="S27" s="120"/>
      <c r="T27" s="120">
        <v>1</v>
      </c>
      <c r="U27" s="120"/>
      <c r="V27" s="120"/>
      <c r="W27" s="86">
        <f t="shared" si="0"/>
        <v>4</v>
      </c>
    </row>
    <row r="28" spans="1:23" ht="26.25" customHeight="1">
      <c r="A28" s="84">
        <v>25</v>
      </c>
      <c r="B28" s="85" t="s">
        <v>41</v>
      </c>
      <c r="C28" s="120">
        <v>17</v>
      </c>
      <c r="D28" s="120">
        <v>1</v>
      </c>
      <c r="E28" s="120"/>
      <c r="F28" s="120"/>
      <c r="G28" s="120"/>
      <c r="H28" s="120"/>
      <c r="I28" s="120"/>
      <c r="J28" s="120"/>
      <c r="K28" s="120"/>
      <c r="L28" s="120">
        <v>1</v>
      </c>
      <c r="M28" s="120">
        <v>3</v>
      </c>
      <c r="N28" s="120">
        <v>4</v>
      </c>
      <c r="O28" s="120"/>
      <c r="P28" s="120"/>
      <c r="Q28" s="120"/>
      <c r="R28" s="120">
        <v>2</v>
      </c>
      <c r="S28" s="120"/>
      <c r="T28" s="120">
        <v>3</v>
      </c>
      <c r="U28" s="120">
        <v>1</v>
      </c>
      <c r="V28" s="120"/>
      <c r="W28" s="86">
        <f t="shared" si="0"/>
        <v>32</v>
      </c>
    </row>
    <row r="29" spans="1:23" ht="26.25" customHeight="1">
      <c r="A29" s="84">
        <v>26</v>
      </c>
      <c r="B29" s="85" t="s">
        <v>42</v>
      </c>
      <c r="C29" s="120">
        <v>50</v>
      </c>
      <c r="D29" s="120">
        <v>6</v>
      </c>
      <c r="E29" s="120"/>
      <c r="F29" s="120"/>
      <c r="G29" s="120"/>
      <c r="H29" s="120"/>
      <c r="I29" s="120">
        <v>1</v>
      </c>
      <c r="J29" s="120">
        <v>1</v>
      </c>
      <c r="K29" s="120"/>
      <c r="L29" s="120">
        <v>1</v>
      </c>
      <c r="M29" s="120">
        <v>1</v>
      </c>
      <c r="N29" s="120">
        <v>8</v>
      </c>
      <c r="O29" s="120"/>
      <c r="P29" s="120"/>
      <c r="Q29" s="120">
        <v>1</v>
      </c>
      <c r="R29" s="120">
        <v>1</v>
      </c>
      <c r="S29" s="120"/>
      <c r="T29" s="120">
        <v>11</v>
      </c>
      <c r="U29" s="120">
        <v>1</v>
      </c>
      <c r="V29" s="120">
        <v>3</v>
      </c>
      <c r="W29" s="86">
        <f t="shared" si="0"/>
        <v>85</v>
      </c>
    </row>
    <row r="30" spans="1:23" ht="26.25" customHeight="1">
      <c r="A30" s="84">
        <v>27</v>
      </c>
      <c r="B30" s="85" t="s">
        <v>43</v>
      </c>
      <c r="C30" s="120">
        <v>4</v>
      </c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>
        <v>2</v>
      </c>
      <c r="U30" s="120"/>
      <c r="V30" s="120">
        <v>1</v>
      </c>
      <c r="W30" s="86">
        <f t="shared" si="0"/>
        <v>7</v>
      </c>
    </row>
    <row r="31" spans="1:23" ht="26.25" customHeight="1">
      <c r="A31" s="84">
        <v>28</v>
      </c>
      <c r="B31" s="85" t="s">
        <v>44</v>
      </c>
      <c r="C31" s="120">
        <v>22</v>
      </c>
      <c r="D31" s="120"/>
      <c r="E31" s="120"/>
      <c r="F31" s="120"/>
      <c r="G31" s="120"/>
      <c r="H31" s="120">
        <v>1</v>
      </c>
      <c r="I31" s="120"/>
      <c r="J31" s="120"/>
      <c r="K31" s="120">
        <v>2</v>
      </c>
      <c r="L31" s="120">
        <v>2</v>
      </c>
      <c r="M31" s="120">
        <v>1</v>
      </c>
      <c r="N31" s="120">
        <v>4</v>
      </c>
      <c r="O31" s="120"/>
      <c r="P31" s="120">
        <v>1</v>
      </c>
      <c r="Q31" s="120"/>
      <c r="R31" s="120">
        <v>2</v>
      </c>
      <c r="S31" s="120">
        <v>2</v>
      </c>
      <c r="T31" s="120">
        <v>18</v>
      </c>
      <c r="U31" s="120">
        <v>1</v>
      </c>
      <c r="V31" s="120">
        <v>3</v>
      </c>
      <c r="W31" s="86">
        <f t="shared" si="0"/>
        <v>59</v>
      </c>
    </row>
    <row r="32" spans="1:23" ht="26.25" customHeight="1">
      <c r="A32" s="84">
        <v>29</v>
      </c>
      <c r="B32" s="85" t="s">
        <v>134</v>
      </c>
      <c r="C32" s="120">
        <v>11</v>
      </c>
      <c r="D32" s="120">
        <v>1</v>
      </c>
      <c r="E32" s="120"/>
      <c r="F32" s="120"/>
      <c r="G32" s="120">
        <v>1</v>
      </c>
      <c r="H32" s="120"/>
      <c r="I32" s="120"/>
      <c r="J32" s="120"/>
      <c r="K32" s="120">
        <v>1</v>
      </c>
      <c r="L32" s="120">
        <v>1</v>
      </c>
      <c r="M32" s="120"/>
      <c r="N32" s="120">
        <v>2</v>
      </c>
      <c r="O32" s="120"/>
      <c r="P32" s="120"/>
      <c r="Q32" s="120">
        <v>1</v>
      </c>
      <c r="R32" s="120"/>
      <c r="S32" s="120">
        <v>1</v>
      </c>
      <c r="T32" s="120">
        <v>4</v>
      </c>
      <c r="U32" s="120">
        <v>1</v>
      </c>
      <c r="V32" s="120"/>
      <c r="W32" s="86">
        <f t="shared" si="0"/>
        <v>24</v>
      </c>
    </row>
    <row r="33" spans="1:23" ht="26.25" customHeight="1">
      <c r="A33" s="84">
        <v>30</v>
      </c>
      <c r="B33" s="85" t="s">
        <v>45</v>
      </c>
      <c r="C33" s="120">
        <v>2</v>
      </c>
      <c r="D33" s="120"/>
      <c r="E33" s="120"/>
      <c r="F33" s="120"/>
      <c r="G33" s="120">
        <v>1</v>
      </c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>
        <v>1</v>
      </c>
      <c r="U33" s="120"/>
      <c r="V33" s="120"/>
      <c r="W33" s="86">
        <f t="shared" si="0"/>
        <v>4</v>
      </c>
    </row>
    <row r="34" spans="1:23" ht="26.25" customHeight="1">
      <c r="A34" s="84">
        <v>31</v>
      </c>
      <c r="B34" s="85" t="s">
        <v>47</v>
      </c>
      <c r="C34" s="120">
        <v>47</v>
      </c>
      <c r="D34" s="120">
        <v>5</v>
      </c>
      <c r="E34" s="120"/>
      <c r="F34" s="120">
        <v>1</v>
      </c>
      <c r="G34" s="120">
        <v>2</v>
      </c>
      <c r="H34" s="120"/>
      <c r="I34" s="120"/>
      <c r="J34" s="120"/>
      <c r="K34" s="120">
        <v>1</v>
      </c>
      <c r="L34" s="120">
        <v>1</v>
      </c>
      <c r="M34" s="120"/>
      <c r="N34" s="120">
        <v>2</v>
      </c>
      <c r="O34" s="120">
        <v>1</v>
      </c>
      <c r="P34" s="120"/>
      <c r="Q34" s="120"/>
      <c r="R34" s="120"/>
      <c r="S34" s="120"/>
      <c r="T34" s="120">
        <v>13</v>
      </c>
      <c r="U34" s="120">
        <v>2</v>
      </c>
      <c r="V34" s="120">
        <v>2</v>
      </c>
      <c r="W34" s="86">
        <f t="shared" si="0"/>
        <v>77</v>
      </c>
    </row>
    <row r="35" spans="1:23" ht="26.25" customHeight="1">
      <c r="A35" s="84">
        <v>32</v>
      </c>
      <c r="B35" s="85" t="s">
        <v>46</v>
      </c>
      <c r="C35" s="120">
        <v>21</v>
      </c>
      <c r="D35" s="120">
        <v>4</v>
      </c>
      <c r="E35" s="120"/>
      <c r="F35" s="120">
        <v>2</v>
      </c>
      <c r="G35" s="120">
        <v>1</v>
      </c>
      <c r="H35" s="120"/>
      <c r="I35" s="120"/>
      <c r="J35" s="120"/>
      <c r="K35" s="120"/>
      <c r="L35" s="120"/>
      <c r="M35" s="120">
        <v>1</v>
      </c>
      <c r="N35" s="120">
        <v>2</v>
      </c>
      <c r="O35" s="120"/>
      <c r="P35" s="120"/>
      <c r="Q35" s="120">
        <v>1</v>
      </c>
      <c r="R35" s="120"/>
      <c r="S35" s="120"/>
      <c r="T35" s="120">
        <v>3</v>
      </c>
      <c r="U35" s="120"/>
      <c r="V35" s="120">
        <v>1</v>
      </c>
      <c r="W35" s="86">
        <f t="shared" si="0"/>
        <v>36</v>
      </c>
    </row>
    <row r="36" spans="1:23" ht="26.25" customHeight="1">
      <c r="A36" s="84">
        <v>33</v>
      </c>
      <c r="B36" s="85" t="s">
        <v>48</v>
      </c>
      <c r="C36" s="120">
        <v>29</v>
      </c>
      <c r="D36" s="120">
        <v>2</v>
      </c>
      <c r="E36" s="120"/>
      <c r="F36" s="120">
        <v>1</v>
      </c>
      <c r="G36" s="120"/>
      <c r="H36" s="120"/>
      <c r="I36" s="120"/>
      <c r="J36" s="120"/>
      <c r="K36" s="120"/>
      <c r="L36" s="120">
        <v>1</v>
      </c>
      <c r="M36" s="120">
        <v>1</v>
      </c>
      <c r="N36" s="120">
        <v>2</v>
      </c>
      <c r="O36" s="120">
        <v>1</v>
      </c>
      <c r="P36" s="120"/>
      <c r="Q36" s="120"/>
      <c r="R36" s="120">
        <v>3</v>
      </c>
      <c r="S36" s="120"/>
      <c r="T36" s="120">
        <v>6</v>
      </c>
      <c r="U36" s="120"/>
      <c r="V36" s="120">
        <v>1</v>
      </c>
      <c r="W36" s="86">
        <f t="shared" si="0"/>
        <v>47</v>
      </c>
    </row>
    <row r="37" spans="1:23" ht="26.45" customHeight="1">
      <c r="A37" s="752" t="s">
        <v>49</v>
      </c>
      <c r="B37" s="752"/>
      <c r="C37" s="87">
        <f>SUM(C4:C36)</f>
        <v>522</v>
      </c>
      <c r="D37" s="87">
        <f t="shared" ref="D37:W37" si="1">SUM(D4:D36)</f>
        <v>49</v>
      </c>
      <c r="E37" s="87">
        <f t="shared" si="1"/>
        <v>5</v>
      </c>
      <c r="F37" s="87">
        <f t="shared" si="1"/>
        <v>11</v>
      </c>
      <c r="G37" s="87">
        <f t="shared" si="1"/>
        <v>11</v>
      </c>
      <c r="H37" s="87">
        <f t="shared" si="1"/>
        <v>5</v>
      </c>
      <c r="I37" s="87">
        <f t="shared" si="1"/>
        <v>1</v>
      </c>
      <c r="J37" s="87">
        <f t="shared" si="1"/>
        <v>3</v>
      </c>
      <c r="K37" s="87">
        <f t="shared" si="1"/>
        <v>11</v>
      </c>
      <c r="L37" s="87">
        <f t="shared" si="1"/>
        <v>23</v>
      </c>
      <c r="M37" s="87">
        <f t="shared" si="1"/>
        <v>38</v>
      </c>
      <c r="N37" s="87">
        <f t="shared" si="1"/>
        <v>66</v>
      </c>
      <c r="O37" s="87">
        <f t="shared" si="1"/>
        <v>4</v>
      </c>
      <c r="P37" s="87">
        <f t="shared" si="1"/>
        <v>3</v>
      </c>
      <c r="Q37" s="87">
        <f t="shared" si="1"/>
        <v>12</v>
      </c>
      <c r="R37" s="87">
        <f t="shared" si="1"/>
        <v>22</v>
      </c>
      <c r="S37" s="87">
        <f t="shared" si="1"/>
        <v>5</v>
      </c>
      <c r="T37" s="87">
        <f t="shared" si="1"/>
        <v>177</v>
      </c>
      <c r="U37" s="87">
        <f t="shared" si="1"/>
        <v>14</v>
      </c>
      <c r="V37" s="87">
        <f t="shared" si="1"/>
        <v>37</v>
      </c>
      <c r="W37" s="87">
        <f t="shared" si="1"/>
        <v>1019</v>
      </c>
    </row>
  </sheetData>
  <mergeCells count="3">
    <mergeCell ref="A37:B37"/>
    <mergeCell ref="C1:L1"/>
    <mergeCell ref="M1:W1"/>
  </mergeCells>
  <printOptions horizontalCentered="1"/>
  <pageMargins left="0.5" right="0.5" top="0.5" bottom="0.5" header="0.27559055118110198" footer="0.23622047244094499"/>
  <pageSetup paperSize="9" scale="70" firstPageNumber="2" fitToWidth="0" fitToHeight="0" pageOrder="overThenDown" orientation="portrait" useFirstPageNumber="1" r:id="rId1"/>
  <headerFooter alignWithMargins="0">
    <oddFooter>&amp;LAISHE 2019-20&amp;CT-2</oddFooter>
  </headerFooter>
  <colBreaks count="1" manualBreakCount="1">
    <brk id="12" max="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L42"/>
  <sheetViews>
    <sheetView view="pageBreakPreview" zoomScale="85" zoomScaleSheetLayoutView="85" workbookViewId="0">
      <selection activeCell="M1" sqref="M1:Q1048576"/>
    </sheetView>
  </sheetViews>
  <sheetFormatPr defaultColWidth="9.140625" defaultRowHeight="12.75"/>
  <cols>
    <col min="1" max="1" width="5.28515625" style="115" customWidth="1"/>
    <col min="2" max="2" width="23.42578125" style="115" customWidth="1"/>
    <col min="3" max="3" width="7.7109375" style="115" customWidth="1"/>
    <col min="4" max="4" width="8" style="115" customWidth="1"/>
    <col min="5" max="5" width="8.28515625" style="115" customWidth="1"/>
    <col min="6" max="11" width="9" style="115" customWidth="1"/>
    <col min="12" max="12" width="11.7109375" style="115" customWidth="1"/>
    <col min="13" max="16384" width="9.140625" style="115"/>
  </cols>
  <sheetData>
    <row r="1" spans="1:12" ht="28.5" customHeight="1">
      <c r="B1" s="727" t="s">
        <v>901</v>
      </c>
      <c r="C1" s="726" t="s">
        <v>900</v>
      </c>
      <c r="D1" s="726"/>
      <c r="E1" s="726"/>
      <c r="F1" s="726"/>
      <c r="G1" s="726"/>
      <c r="H1" s="726"/>
      <c r="I1" s="726"/>
      <c r="J1" s="726"/>
      <c r="K1" s="726"/>
      <c r="L1" s="726"/>
    </row>
    <row r="2" spans="1:12" ht="17.45" customHeight="1">
      <c r="A2" s="755" t="s">
        <v>165</v>
      </c>
      <c r="B2" s="754" t="s">
        <v>713</v>
      </c>
      <c r="C2" s="757" t="s">
        <v>101</v>
      </c>
      <c r="D2" s="757"/>
      <c r="E2" s="757"/>
      <c r="F2" s="757"/>
      <c r="G2" s="757"/>
      <c r="H2" s="757"/>
      <c r="I2" s="757"/>
      <c r="J2" s="757"/>
      <c r="K2" s="757"/>
      <c r="L2" s="757"/>
    </row>
    <row r="3" spans="1:12" ht="30">
      <c r="A3" s="755"/>
      <c r="B3" s="754"/>
      <c r="C3" s="460">
        <v>44075</v>
      </c>
      <c r="D3" s="371" t="s">
        <v>143</v>
      </c>
      <c r="E3" s="371" t="s">
        <v>144</v>
      </c>
      <c r="F3" s="371" t="s">
        <v>145</v>
      </c>
      <c r="G3" s="371" t="s">
        <v>146</v>
      </c>
      <c r="H3" s="371" t="s">
        <v>147</v>
      </c>
      <c r="I3" s="371" t="s">
        <v>148</v>
      </c>
      <c r="J3" s="371" t="s">
        <v>149</v>
      </c>
      <c r="K3" s="371" t="s">
        <v>150</v>
      </c>
      <c r="L3" s="347" t="s">
        <v>710</v>
      </c>
    </row>
    <row r="4" spans="1:12" ht="15" customHeight="1">
      <c r="A4" s="105">
        <v>1</v>
      </c>
      <c r="B4" s="105">
        <v>2</v>
      </c>
      <c r="C4" s="105">
        <v>3</v>
      </c>
      <c r="D4" s="105">
        <v>4</v>
      </c>
      <c r="E4" s="105">
        <v>5</v>
      </c>
      <c r="F4" s="105">
        <v>6</v>
      </c>
      <c r="G4" s="105">
        <v>7</v>
      </c>
      <c r="H4" s="105">
        <v>8</v>
      </c>
      <c r="I4" s="105">
        <v>9</v>
      </c>
      <c r="J4" s="105">
        <v>10</v>
      </c>
      <c r="K4" s="105">
        <v>11</v>
      </c>
      <c r="L4" s="105">
        <v>12</v>
      </c>
    </row>
    <row r="5" spans="1:12" ht="30">
      <c r="A5" s="84">
        <v>1</v>
      </c>
      <c r="B5" s="116" t="s">
        <v>154</v>
      </c>
      <c r="C5" s="117">
        <v>3</v>
      </c>
      <c r="D5" s="117">
        <v>0</v>
      </c>
      <c r="E5" s="117">
        <v>0</v>
      </c>
      <c r="F5" s="117">
        <v>0</v>
      </c>
      <c r="G5" s="117">
        <v>0</v>
      </c>
      <c r="H5" s="117">
        <v>0</v>
      </c>
      <c r="I5" s="117">
        <v>0</v>
      </c>
      <c r="J5" s="117">
        <v>0</v>
      </c>
      <c r="K5" s="117">
        <v>0</v>
      </c>
      <c r="L5" s="117">
        <v>0</v>
      </c>
    </row>
    <row r="6" spans="1:12" ht="23.25" customHeight="1">
      <c r="A6" s="84">
        <v>2</v>
      </c>
      <c r="B6" s="118" t="s">
        <v>15</v>
      </c>
      <c r="C6" s="117">
        <v>0</v>
      </c>
      <c r="D6" s="117">
        <v>0</v>
      </c>
      <c r="E6" s="117">
        <v>0</v>
      </c>
      <c r="F6" s="117">
        <v>0</v>
      </c>
      <c r="G6" s="117">
        <v>5</v>
      </c>
      <c r="H6" s="117">
        <v>7</v>
      </c>
      <c r="I6" s="117">
        <v>1</v>
      </c>
      <c r="J6" s="117">
        <v>0</v>
      </c>
      <c r="K6" s="117">
        <v>0</v>
      </c>
      <c r="L6" s="117">
        <v>0</v>
      </c>
    </row>
    <row r="7" spans="1:12" ht="23.25" customHeight="1">
      <c r="A7" s="84">
        <v>3</v>
      </c>
      <c r="B7" s="118" t="s">
        <v>16</v>
      </c>
      <c r="C7" s="117">
        <v>15</v>
      </c>
      <c r="D7" s="117">
        <v>1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</row>
    <row r="8" spans="1:12" ht="23.25" customHeight="1">
      <c r="A8" s="84">
        <v>4</v>
      </c>
      <c r="B8" s="116" t="s">
        <v>17</v>
      </c>
      <c r="C8" s="117">
        <v>7</v>
      </c>
      <c r="D8" s="117">
        <v>14</v>
      </c>
      <c r="E8" s="117">
        <v>9</v>
      </c>
      <c r="F8" s="117">
        <v>1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</row>
    <row r="9" spans="1:12" ht="23.25" customHeight="1">
      <c r="A9" s="84">
        <v>5</v>
      </c>
      <c r="B9" s="116" t="s">
        <v>18</v>
      </c>
      <c r="C9" s="117">
        <v>7</v>
      </c>
      <c r="D9" s="117">
        <v>15</v>
      </c>
      <c r="E9" s="117">
        <v>14</v>
      </c>
      <c r="F9" s="117">
        <v>1</v>
      </c>
      <c r="G9" s="117">
        <v>1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</row>
    <row r="10" spans="1:12" ht="23.25" customHeight="1">
      <c r="A10" s="84">
        <v>6</v>
      </c>
      <c r="B10" s="118" t="s">
        <v>19</v>
      </c>
      <c r="C10" s="117">
        <v>0</v>
      </c>
      <c r="D10" s="117">
        <v>0</v>
      </c>
      <c r="E10" s="117">
        <v>1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</row>
    <row r="11" spans="1:12" ht="23.25" customHeight="1">
      <c r="A11" s="84">
        <v>7</v>
      </c>
      <c r="B11" s="118" t="s">
        <v>20</v>
      </c>
      <c r="C11" s="117">
        <v>10</v>
      </c>
      <c r="D11" s="117">
        <v>7</v>
      </c>
      <c r="E11" s="117">
        <v>6</v>
      </c>
      <c r="F11" s="117">
        <v>1</v>
      </c>
      <c r="G11" s="117">
        <v>3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</row>
    <row r="12" spans="1:12" ht="23.25" customHeight="1">
      <c r="A12" s="84">
        <v>8</v>
      </c>
      <c r="B12" s="118" t="s">
        <v>155</v>
      </c>
      <c r="C12" s="117">
        <v>1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</row>
    <row r="13" spans="1:12" ht="23.25" customHeight="1">
      <c r="A13" s="84">
        <v>9</v>
      </c>
      <c r="B13" s="118" t="s">
        <v>156</v>
      </c>
      <c r="C13" s="117">
        <v>2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</row>
    <row r="14" spans="1:12" ht="23.25" customHeight="1">
      <c r="A14" s="84">
        <v>10</v>
      </c>
      <c r="B14" s="118" t="s">
        <v>23</v>
      </c>
      <c r="C14" s="117">
        <v>2</v>
      </c>
      <c r="D14" s="117">
        <v>4</v>
      </c>
      <c r="E14" s="117">
        <v>4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</row>
    <row r="15" spans="1:12" ht="23.25" customHeight="1">
      <c r="A15" s="84">
        <v>11</v>
      </c>
      <c r="B15" s="118" t="s">
        <v>24</v>
      </c>
      <c r="C15" s="117">
        <v>0</v>
      </c>
      <c r="D15" s="117">
        <v>0</v>
      </c>
      <c r="E15" s="117">
        <v>2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</row>
    <row r="16" spans="1:12" ht="23.25" customHeight="1">
      <c r="A16" s="84">
        <v>12</v>
      </c>
      <c r="B16" s="118" t="s">
        <v>25</v>
      </c>
      <c r="C16" s="117">
        <v>1</v>
      </c>
      <c r="D16" s="117">
        <v>4</v>
      </c>
      <c r="E16" s="117">
        <v>13</v>
      </c>
      <c r="F16" s="117">
        <v>6</v>
      </c>
      <c r="G16" s="117">
        <v>8</v>
      </c>
      <c r="H16" s="117">
        <v>1</v>
      </c>
      <c r="I16" s="117">
        <v>0</v>
      </c>
      <c r="J16" s="117">
        <v>0</v>
      </c>
      <c r="K16" s="117">
        <v>0</v>
      </c>
      <c r="L16" s="117">
        <v>0</v>
      </c>
    </row>
    <row r="17" spans="1:12" ht="23.25" customHeight="1">
      <c r="A17" s="84">
        <v>13</v>
      </c>
      <c r="B17" s="118" t="s">
        <v>26</v>
      </c>
      <c r="C17" s="117">
        <v>1</v>
      </c>
      <c r="D17" s="117">
        <v>1</v>
      </c>
      <c r="E17" s="117">
        <v>11</v>
      </c>
      <c r="F17" s="117">
        <v>9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</row>
    <row r="18" spans="1:12" ht="23.25" customHeight="1">
      <c r="A18" s="84">
        <v>14</v>
      </c>
      <c r="B18" s="118" t="s">
        <v>27</v>
      </c>
      <c r="C18" s="117">
        <v>2</v>
      </c>
      <c r="D18" s="117">
        <v>3</v>
      </c>
      <c r="E18" s="117">
        <v>5</v>
      </c>
      <c r="F18" s="117">
        <v>2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</row>
    <row r="19" spans="1:12" ht="23.25" customHeight="1">
      <c r="A19" s="84">
        <v>15</v>
      </c>
      <c r="B19" s="118" t="s">
        <v>57</v>
      </c>
      <c r="C19" s="117">
        <v>10</v>
      </c>
      <c r="D19" s="117">
        <v>6</v>
      </c>
      <c r="E19" s="117">
        <v>3</v>
      </c>
      <c r="F19" s="117">
        <v>1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</row>
    <row r="20" spans="1:12" ht="23.25" customHeight="1">
      <c r="A20" s="84">
        <v>16</v>
      </c>
      <c r="B20" s="118" t="s">
        <v>29</v>
      </c>
      <c r="C20" s="117">
        <v>12</v>
      </c>
      <c r="D20" s="117">
        <v>7</v>
      </c>
      <c r="E20" s="117">
        <v>4</v>
      </c>
      <c r="F20" s="117">
        <v>1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</row>
    <row r="21" spans="1:12" ht="23.25" customHeight="1">
      <c r="A21" s="84">
        <v>17</v>
      </c>
      <c r="B21" s="118" t="s">
        <v>30</v>
      </c>
      <c r="C21" s="117">
        <v>0</v>
      </c>
      <c r="D21" s="117">
        <v>0</v>
      </c>
      <c r="E21" s="117">
        <v>4</v>
      </c>
      <c r="F21" s="117">
        <v>14</v>
      </c>
      <c r="G21" s="117">
        <v>8</v>
      </c>
      <c r="H21" s="117">
        <v>3</v>
      </c>
      <c r="I21" s="117">
        <v>0</v>
      </c>
      <c r="J21" s="117">
        <v>0</v>
      </c>
      <c r="K21" s="117">
        <v>0</v>
      </c>
      <c r="L21" s="117">
        <v>1</v>
      </c>
    </row>
    <row r="22" spans="1:12" ht="23.25" customHeight="1">
      <c r="A22" s="84">
        <v>18</v>
      </c>
      <c r="B22" s="118" t="s">
        <v>31</v>
      </c>
      <c r="C22" s="117">
        <v>0</v>
      </c>
      <c r="D22" s="117">
        <v>0</v>
      </c>
      <c r="E22" s="117">
        <v>2</v>
      </c>
      <c r="F22" s="117">
        <v>5</v>
      </c>
      <c r="G22" s="117">
        <v>7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</row>
    <row r="23" spans="1:12" ht="23.25" customHeight="1">
      <c r="A23" s="84">
        <v>19</v>
      </c>
      <c r="B23" s="91" t="s">
        <v>761</v>
      </c>
      <c r="C23" s="117">
        <v>2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</row>
    <row r="24" spans="1:12" ht="23.25" customHeight="1">
      <c r="A24" s="84">
        <v>20</v>
      </c>
      <c r="B24" s="118" t="s">
        <v>32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</row>
    <row r="25" spans="1:12" ht="23.25" customHeight="1">
      <c r="A25" s="84">
        <v>21</v>
      </c>
      <c r="B25" s="118" t="s">
        <v>33</v>
      </c>
      <c r="C25" s="117">
        <v>5</v>
      </c>
      <c r="D25" s="117">
        <v>8</v>
      </c>
      <c r="E25" s="117">
        <v>28</v>
      </c>
      <c r="F25" s="117">
        <v>7</v>
      </c>
      <c r="G25" s="117">
        <v>2</v>
      </c>
      <c r="H25" s="117">
        <v>1</v>
      </c>
      <c r="I25" s="117">
        <v>1</v>
      </c>
      <c r="J25" s="117">
        <v>0</v>
      </c>
      <c r="K25" s="117">
        <v>0</v>
      </c>
      <c r="L25" s="117">
        <v>0</v>
      </c>
    </row>
    <row r="26" spans="1:12" ht="23.25" customHeight="1">
      <c r="A26" s="84">
        <v>22</v>
      </c>
      <c r="B26" s="118" t="s">
        <v>34</v>
      </c>
      <c r="C26" s="117">
        <v>0</v>
      </c>
      <c r="D26" s="117">
        <v>0</v>
      </c>
      <c r="E26" s="117">
        <v>3</v>
      </c>
      <c r="F26" s="117">
        <v>14</v>
      </c>
      <c r="G26" s="117">
        <v>13</v>
      </c>
      <c r="H26" s="117">
        <v>4</v>
      </c>
      <c r="I26" s="117">
        <v>1</v>
      </c>
      <c r="J26" s="117">
        <v>1</v>
      </c>
      <c r="K26" s="117">
        <v>0</v>
      </c>
      <c r="L26" s="117">
        <v>0</v>
      </c>
    </row>
    <row r="27" spans="1:12" ht="23.25" customHeight="1">
      <c r="A27" s="84">
        <v>23</v>
      </c>
      <c r="B27" s="118" t="s">
        <v>35</v>
      </c>
      <c r="C27" s="117">
        <v>7</v>
      </c>
      <c r="D27" s="117">
        <v>3</v>
      </c>
      <c r="E27" s="117">
        <v>2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</row>
    <row r="28" spans="1:12" ht="23.25" customHeight="1">
      <c r="A28" s="84">
        <v>24</v>
      </c>
      <c r="B28" s="118" t="s">
        <v>36</v>
      </c>
      <c r="C28" s="117">
        <v>6</v>
      </c>
      <c r="D28" s="117">
        <v>1</v>
      </c>
      <c r="E28" s="117">
        <v>1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</row>
    <row r="29" spans="1:12" ht="23.25" customHeight="1">
      <c r="A29" s="84">
        <v>25</v>
      </c>
      <c r="B29" s="118" t="s">
        <v>37</v>
      </c>
      <c r="C29" s="117">
        <v>7</v>
      </c>
      <c r="D29" s="117">
        <v>0</v>
      </c>
      <c r="E29" s="117">
        <v>1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</row>
    <row r="30" spans="1:12" ht="23.25" customHeight="1">
      <c r="A30" s="84">
        <v>26</v>
      </c>
      <c r="B30" s="118" t="s">
        <v>38</v>
      </c>
      <c r="C30" s="117">
        <v>9</v>
      </c>
      <c r="D30" s="117">
        <v>0</v>
      </c>
      <c r="E30" s="117">
        <v>2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</row>
    <row r="31" spans="1:12" ht="23.25" customHeight="1">
      <c r="A31" s="84">
        <v>27</v>
      </c>
      <c r="B31" s="118" t="s">
        <v>39</v>
      </c>
      <c r="C31" s="117">
        <v>6</v>
      </c>
      <c r="D31" s="117">
        <v>4</v>
      </c>
      <c r="E31" s="117">
        <v>14</v>
      </c>
      <c r="F31" s="117">
        <v>5</v>
      </c>
      <c r="G31" s="117">
        <v>1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</row>
    <row r="32" spans="1:12" ht="23.25" customHeight="1">
      <c r="A32" s="84">
        <v>28</v>
      </c>
      <c r="B32" s="118" t="s">
        <v>40</v>
      </c>
      <c r="C32" s="117">
        <v>2</v>
      </c>
      <c r="D32" s="117">
        <v>1</v>
      </c>
      <c r="E32" s="117">
        <v>0</v>
      </c>
      <c r="F32" s="117">
        <v>1</v>
      </c>
      <c r="G32" s="117">
        <v>0</v>
      </c>
      <c r="H32" s="117">
        <v>0</v>
      </c>
      <c r="I32" s="117">
        <v>0</v>
      </c>
      <c r="J32" s="117">
        <v>0</v>
      </c>
      <c r="K32" s="117">
        <v>0</v>
      </c>
      <c r="L32" s="117">
        <v>0</v>
      </c>
    </row>
    <row r="33" spans="1:12" ht="23.25" customHeight="1">
      <c r="A33" s="84">
        <v>29</v>
      </c>
      <c r="B33" s="118" t="s">
        <v>41</v>
      </c>
      <c r="C33" s="117">
        <v>1</v>
      </c>
      <c r="D33" s="117">
        <v>1</v>
      </c>
      <c r="E33" s="117">
        <v>11</v>
      </c>
      <c r="F33" s="117">
        <v>8</v>
      </c>
      <c r="G33" s="117">
        <v>1</v>
      </c>
      <c r="H33" s="117">
        <v>0</v>
      </c>
      <c r="I33" s="117">
        <v>0</v>
      </c>
      <c r="J33" s="117">
        <v>0</v>
      </c>
      <c r="K33" s="117">
        <v>0</v>
      </c>
      <c r="L33" s="117">
        <v>0</v>
      </c>
    </row>
    <row r="34" spans="1:12" ht="23.25" customHeight="1">
      <c r="A34" s="84">
        <v>30</v>
      </c>
      <c r="B34" s="116" t="s">
        <v>42</v>
      </c>
      <c r="C34" s="117">
        <v>0</v>
      </c>
      <c r="D34" s="117">
        <v>2</v>
      </c>
      <c r="E34" s="117">
        <v>11</v>
      </c>
      <c r="F34" s="117">
        <v>8</v>
      </c>
      <c r="G34" s="117">
        <v>8</v>
      </c>
      <c r="H34" s="117">
        <v>3</v>
      </c>
      <c r="I34" s="117">
        <v>0</v>
      </c>
      <c r="J34" s="117">
        <v>0</v>
      </c>
      <c r="K34" s="117">
        <v>1</v>
      </c>
      <c r="L34" s="117">
        <v>0</v>
      </c>
    </row>
    <row r="35" spans="1:12" ht="23.25" customHeight="1">
      <c r="A35" s="84">
        <v>31</v>
      </c>
      <c r="B35" s="119" t="s">
        <v>43</v>
      </c>
      <c r="C35" s="117">
        <v>2</v>
      </c>
      <c r="D35" s="117">
        <v>1</v>
      </c>
      <c r="E35" s="117">
        <v>0</v>
      </c>
      <c r="F35" s="117">
        <v>0</v>
      </c>
      <c r="G35" s="117">
        <v>0</v>
      </c>
      <c r="H35" s="117">
        <v>0</v>
      </c>
      <c r="I35" s="117">
        <v>0</v>
      </c>
      <c r="J35" s="117">
        <v>0</v>
      </c>
      <c r="K35" s="117">
        <v>0</v>
      </c>
      <c r="L35" s="117">
        <v>0</v>
      </c>
    </row>
    <row r="36" spans="1:12" ht="23.25" customHeight="1">
      <c r="A36" s="84">
        <v>32</v>
      </c>
      <c r="B36" s="116" t="s">
        <v>44</v>
      </c>
      <c r="C36" s="117">
        <v>1</v>
      </c>
      <c r="D36" s="117">
        <v>0</v>
      </c>
      <c r="E36" s="117">
        <v>9</v>
      </c>
      <c r="F36" s="117">
        <v>12</v>
      </c>
      <c r="G36" s="117">
        <v>8</v>
      </c>
      <c r="H36" s="117">
        <v>2</v>
      </c>
      <c r="I36" s="117">
        <v>0</v>
      </c>
      <c r="J36" s="117">
        <v>0</v>
      </c>
      <c r="K36" s="117">
        <v>0</v>
      </c>
      <c r="L36" s="117">
        <v>0</v>
      </c>
    </row>
    <row r="37" spans="1:12" ht="23.25" customHeight="1">
      <c r="A37" s="84">
        <v>33</v>
      </c>
      <c r="B37" s="116" t="s">
        <v>134</v>
      </c>
      <c r="C37" s="117">
        <v>17</v>
      </c>
      <c r="D37" s="117">
        <v>3</v>
      </c>
      <c r="E37" s="117">
        <v>1</v>
      </c>
      <c r="F37" s="117">
        <v>2</v>
      </c>
      <c r="G37" s="117">
        <v>6</v>
      </c>
      <c r="H37" s="117">
        <v>0</v>
      </c>
      <c r="I37" s="117">
        <v>1</v>
      </c>
      <c r="J37" s="117">
        <v>1</v>
      </c>
      <c r="K37" s="117">
        <v>0</v>
      </c>
      <c r="L37" s="117">
        <v>0</v>
      </c>
    </row>
    <row r="38" spans="1:12" ht="23.25" customHeight="1">
      <c r="A38" s="84">
        <v>34</v>
      </c>
      <c r="B38" s="116" t="s">
        <v>45</v>
      </c>
      <c r="C38" s="117">
        <v>5</v>
      </c>
      <c r="D38" s="117">
        <v>0</v>
      </c>
      <c r="E38" s="117">
        <v>1</v>
      </c>
      <c r="F38" s="117">
        <v>0</v>
      </c>
      <c r="G38" s="117">
        <v>0</v>
      </c>
      <c r="H38" s="117">
        <v>0</v>
      </c>
      <c r="I38" s="117">
        <v>0</v>
      </c>
      <c r="J38" s="117">
        <v>0</v>
      </c>
      <c r="K38" s="117">
        <v>0</v>
      </c>
      <c r="L38" s="117">
        <v>0</v>
      </c>
    </row>
    <row r="39" spans="1:12" ht="23.25" customHeight="1">
      <c r="A39" s="84">
        <v>35</v>
      </c>
      <c r="B39" s="118" t="s">
        <v>47</v>
      </c>
      <c r="C39" s="117">
        <v>0</v>
      </c>
      <c r="D39" s="117">
        <v>5</v>
      </c>
      <c r="E39" s="117">
        <v>14</v>
      </c>
      <c r="F39" s="117">
        <v>27</v>
      </c>
      <c r="G39" s="117">
        <v>20</v>
      </c>
      <c r="H39" s="117">
        <v>7</v>
      </c>
      <c r="I39" s="117">
        <v>2</v>
      </c>
      <c r="J39" s="117">
        <v>0</v>
      </c>
      <c r="K39" s="117">
        <v>0</v>
      </c>
      <c r="L39" s="117">
        <v>0</v>
      </c>
    </row>
    <row r="40" spans="1:12" ht="23.25" customHeight="1">
      <c r="A40" s="84">
        <v>36</v>
      </c>
      <c r="B40" s="118" t="s">
        <v>46</v>
      </c>
      <c r="C40" s="117">
        <v>3</v>
      </c>
      <c r="D40" s="117">
        <v>4</v>
      </c>
      <c r="E40" s="117">
        <v>3</v>
      </c>
      <c r="F40" s="117">
        <v>1</v>
      </c>
      <c r="G40" s="117">
        <v>2</v>
      </c>
      <c r="H40" s="117">
        <v>0</v>
      </c>
      <c r="I40" s="117">
        <v>0</v>
      </c>
      <c r="J40" s="117">
        <v>0</v>
      </c>
      <c r="K40" s="117">
        <v>0</v>
      </c>
      <c r="L40" s="117">
        <v>0</v>
      </c>
    </row>
    <row r="41" spans="1:12" ht="23.25" customHeight="1">
      <c r="A41" s="84">
        <v>37</v>
      </c>
      <c r="B41" s="118" t="s">
        <v>48</v>
      </c>
      <c r="C41" s="117">
        <v>3</v>
      </c>
      <c r="D41" s="117">
        <v>0</v>
      </c>
      <c r="E41" s="117">
        <v>7</v>
      </c>
      <c r="F41" s="117">
        <v>8</v>
      </c>
      <c r="G41" s="117">
        <v>4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</row>
    <row r="42" spans="1:12" ht="24" customHeight="1">
      <c r="A42" s="756" t="s">
        <v>49</v>
      </c>
      <c r="B42" s="756"/>
      <c r="C42" s="122">
        <f>SUM(C5:C41)</f>
        <v>149</v>
      </c>
      <c r="D42" s="122">
        <f t="shared" ref="D42:L42" si="0">SUM(D5:D41)</f>
        <v>95</v>
      </c>
      <c r="E42" s="122">
        <f t="shared" si="0"/>
        <v>186</v>
      </c>
      <c r="F42" s="122">
        <f t="shared" si="0"/>
        <v>134</v>
      </c>
      <c r="G42" s="122">
        <f t="shared" si="0"/>
        <v>97</v>
      </c>
      <c r="H42" s="122">
        <f t="shared" si="0"/>
        <v>28</v>
      </c>
      <c r="I42" s="122">
        <f t="shared" si="0"/>
        <v>6</v>
      </c>
      <c r="J42" s="122">
        <f t="shared" si="0"/>
        <v>2</v>
      </c>
      <c r="K42" s="122">
        <f t="shared" si="0"/>
        <v>1</v>
      </c>
      <c r="L42" s="122">
        <f t="shared" si="0"/>
        <v>1</v>
      </c>
    </row>
  </sheetData>
  <mergeCells count="4">
    <mergeCell ref="B2:B3"/>
    <mergeCell ref="A2:A3"/>
    <mergeCell ref="A42:B42"/>
    <mergeCell ref="C2:L2"/>
  </mergeCells>
  <pageMargins left="0.70866141732283505" right="0.70866141732283505" top="0.74803149606299202" bottom="0.74803149606299202" header="0.31496062992126" footer="0.31496062992126"/>
  <pageSetup paperSize="9" scale="75" firstPageNumber="3" orientation="portrait" useFirstPageNumber="1" r:id="rId1"/>
  <headerFooter>
    <oddFooter>&amp;LAISHE 2019-20&amp;CT-3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A1:G43"/>
  <sheetViews>
    <sheetView view="pageBreakPreview" topLeftCell="A22" zoomScaleSheetLayoutView="100" workbookViewId="0">
      <selection activeCell="C5" sqref="C5"/>
    </sheetView>
  </sheetViews>
  <sheetFormatPr defaultColWidth="9.140625" defaultRowHeight="12.75"/>
  <cols>
    <col min="1" max="1" width="6.28515625" style="47" customWidth="1"/>
    <col min="2" max="2" width="35.140625" style="47" customWidth="1"/>
    <col min="3" max="3" width="17.85546875" style="47" customWidth="1"/>
    <col min="4" max="4" width="17.28515625" style="47" customWidth="1"/>
    <col min="5" max="5" width="17.5703125" style="47" customWidth="1"/>
    <col min="6" max="6" width="0" style="47" hidden="1" customWidth="1"/>
    <col min="7" max="7" width="10" style="47" hidden="1" customWidth="1"/>
    <col min="8" max="16384" width="9.140625" style="47"/>
  </cols>
  <sheetData>
    <row r="1" spans="1:7" ht="34.5" customHeight="1">
      <c r="A1" s="758" t="s">
        <v>904</v>
      </c>
      <c r="B1" s="758"/>
      <c r="C1" s="758"/>
      <c r="D1" s="758"/>
      <c r="E1" s="758"/>
    </row>
    <row r="2" spans="1:7" ht="45">
      <c r="A2" s="399" t="s">
        <v>80</v>
      </c>
      <c r="B2" s="399" t="s">
        <v>713</v>
      </c>
      <c r="C2" s="399" t="s">
        <v>891</v>
      </c>
      <c r="D2" s="399" t="s">
        <v>817</v>
      </c>
      <c r="E2" s="399" t="s">
        <v>138</v>
      </c>
      <c r="F2" s="47" t="s">
        <v>119</v>
      </c>
      <c r="G2" s="47" t="s">
        <v>120</v>
      </c>
    </row>
    <row r="3" spans="1:7" ht="15" customHeight="1">
      <c r="A3" s="123">
        <v>1</v>
      </c>
      <c r="B3" s="124">
        <v>2</v>
      </c>
      <c r="C3" s="123">
        <v>3</v>
      </c>
      <c r="D3" s="124">
        <v>4</v>
      </c>
      <c r="E3" s="123">
        <v>5</v>
      </c>
    </row>
    <row r="4" spans="1:7" ht="18" customHeight="1">
      <c r="A4" s="125">
        <v>1</v>
      </c>
      <c r="B4" s="126" t="s">
        <v>154</v>
      </c>
      <c r="C4" s="127">
        <v>8</v>
      </c>
      <c r="D4" s="128">
        <v>15.781894221853999</v>
      </c>
      <c r="E4" s="128">
        <v>738.5</v>
      </c>
      <c r="F4" s="47" t="s">
        <v>113</v>
      </c>
      <c r="G4" s="47" t="e">
        <f>SUMIF('[1]19pop2014'!$B$5:$B$40,B4,'[1]19pop2014'!$E$5:$E$40)</f>
        <v>#VALUE!</v>
      </c>
    </row>
    <row r="5" spans="1:7" ht="18" customHeight="1">
      <c r="A5" s="125">
        <v>2</v>
      </c>
      <c r="B5" s="126" t="s">
        <v>15</v>
      </c>
      <c r="C5" s="127">
        <v>2750</v>
      </c>
      <c r="D5" s="128">
        <v>51.03848468780501</v>
      </c>
      <c r="E5" s="128">
        <v>546.52738904438229</v>
      </c>
      <c r="F5" s="47" t="s">
        <v>114</v>
      </c>
      <c r="G5" s="47" t="e">
        <f>SUMIF('[1]19pop2014'!$B$5:$B$40,B5,'[1]19pop2014'!$E$5:$E$40)</f>
        <v>#VALUE!</v>
      </c>
    </row>
    <row r="6" spans="1:7" ht="18" customHeight="1">
      <c r="A6" s="125">
        <v>3</v>
      </c>
      <c r="B6" s="126" t="s">
        <v>16</v>
      </c>
      <c r="C6" s="127">
        <v>39</v>
      </c>
      <c r="D6" s="128">
        <v>24.721252036333901</v>
      </c>
      <c r="E6" s="128">
        <v>552.97368421052636</v>
      </c>
      <c r="F6" s="47" t="s">
        <v>115</v>
      </c>
      <c r="G6" s="47" t="e">
        <f>SUMIF('[1]19pop2014'!$B$5:$B$40,B6,'[1]19pop2014'!$E$5:$E$40)</f>
        <v>#VALUE!</v>
      </c>
    </row>
    <row r="7" spans="1:7" ht="18" customHeight="1">
      <c r="A7" s="125">
        <v>4</v>
      </c>
      <c r="B7" s="126" t="s">
        <v>17</v>
      </c>
      <c r="C7" s="127">
        <v>558</v>
      </c>
      <c r="D7" s="128">
        <v>14.84070971571796</v>
      </c>
      <c r="E7" s="128">
        <v>870.01688555347096</v>
      </c>
      <c r="F7" s="47" t="s">
        <v>115</v>
      </c>
      <c r="G7" s="47" t="e">
        <f>SUMIF('[1]19pop2014'!$B$5:$B$40,B7,'[1]19pop2014'!$E$5:$E$40)</f>
        <v>#VALUE!</v>
      </c>
    </row>
    <row r="8" spans="1:7" ht="18" customHeight="1">
      <c r="A8" s="125">
        <v>5</v>
      </c>
      <c r="B8" s="126" t="s">
        <v>18</v>
      </c>
      <c r="C8" s="127">
        <v>874</v>
      </c>
      <c r="D8" s="128">
        <v>7.269127036062522</v>
      </c>
      <c r="E8" s="128">
        <v>1703.0509849362688</v>
      </c>
      <c r="F8" s="47" t="s">
        <v>116</v>
      </c>
      <c r="G8" s="47" t="e">
        <f>SUMIF('[1]19pop2014'!$B$5:$B$40,B8,'[1]19pop2014'!$E$5:$E$40)</f>
        <v>#VALUE!</v>
      </c>
    </row>
    <row r="9" spans="1:7" ht="18" customHeight="1">
      <c r="A9" s="125">
        <v>6</v>
      </c>
      <c r="B9" s="126" t="s">
        <v>19</v>
      </c>
      <c r="C9" s="127">
        <v>25</v>
      </c>
      <c r="D9" s="128">
        <v>12.22189087318077</v>
      </c>
      <c r="E9" s="128">
        <v>2022.24</v>
      </c>
      <c r="F9" s="47" t="s">
        <v>113</v>
      </c>
      <c r="G9" s="47" t="e">
        <f>SUMIF('[1]19pop2014'!$B$5:$B$40,B9,'[1]19pop2014'!$E$5:$E$40)</f>
        <v>#VALUE!</v>
      </c>
    </row>
    <row r="10" spans="1:7" ht="18" customHeight="1">
      <c r="A10" s="125">
        <v>7</v>
      </c>
      <c r="B10" s="126" t="s">
        <v>20</v>
      </c>
      <c r="C10" s="127">
        <v>810</v>
      </c>
      <c r="D10" s="128">
        <v>25.551308921002924</v>
      </c>
      <c r="E10" s="128">
        <v>557.02106567534076</v>
      </c>
      <c r="F10" s="47" t="s">
        <v>116</v>
      </c>
      <c r="G10" s="47" t="e">
        <f>SUMIF('[1]19pop2014'!$B$5:$B$40,B10,'[1]19pop2014'!$E$5:$E$40)</f>
        <v>#VALUE!</v>
      </c>
    </row>
    <row r="11" spans="1:7" ht="18" customHeight="1">
      <c r="A11" s="125">
        <v>8</v>
      </c>
      <c r="B11" s="126" t="s">
        <v>155</v>
      </c>
      <c r="C11" s="127">
        <v>8</v>
      </c>
      <c r="D11" s="128">
        <v>11.813697982811069</v>
      </c>
      <c r="E11" s="128">
        <v>761</v>
      </c>
      <c r="F11" s="47" t="s">
        <v>113</v>
      </c>
      <c r="G11" s="47" t="e">
        <f>SUMIF('[1]19pop2014'!$B$5:$B$40,B11,'[1]19pop2014'!$E$5:$E$40)</f>
        <v>#VALUE!</v>
      </c>
    </row>
    <row r="12" spans="1:7" ht="18" customHeight="1">
      <c r="A12" s="125">
        <v>9</v>
      </c>
      <c r="B12" s="126" t="s">
        <v>156</v>
      </c>
      <c r="C12" s="127">
        <v>10</v>
      </c>
      <c r="D12" s="128">
        <v>15.458339774308239</v>
      </c>
      <c r="E12" s="128">
        <v>393.2</v>
      </c>
      <c r="F12" s="47" t="s">
        <v>113</v>
      </c>
      <c r="G12" s="47" t="e">
        <f>SUMIF('[1]19pop2014'!$B$5:$B$40,B12,'[1]19pop2014'!$E$5:$E$40)</f>
        <v>#VALUE!</v>
      </c>
    </row>
    <row r="13" spans="1:7" ht="18" customHeight="1">
      <c r="A13" s="125">
        <v>10</v>
      </c>
      <c r="B13" s="126" t="s">
        <v>23</v>
      </c>
      <c r="C13" s="127">
        <v>179</v>
      </c>
      <c r="D13" s="128">
        <v>7.5875396491335154</v>
      </c>
      <c r="E13" s="128">
        <v>1620.0977011494253</v>
      </c>
      <c r="F13" s="47" t="s">
        <v>117</v>
      </c>
      <c r="G13" s="47" t="e">
        <f>SUMIF('[1]19pop2014'!$B$5:$B$40,B13,'[1]19pop2014'!$E$5:$E$40)</f>
        <v>#VALUE!</v>
      </c>
    </row>
    <row r="14" spans="1:7" ht="18" customHeight="1">
      <c r="A14" s="125">
        <v>11</v>
      </c>
      <c r="B14" s="126" t="s">
        <v>24</v>
      </c>
      <c r="C14" s="127">
        <v>58</v>
      </c>
      <c r="D14" s="128">
        <v>31.255388860148301</v>
      </c>
      <c r="E14" s="128">
        <v>670.32758620689651</v>
      </c>
      <c r="F14" s="47" t="s">
        <v>118</v>
      </c>
      <c r="G14" s="47" t="e">
        <f>SUMIF('[1]19pop2014'!$B$5:$B$40,B14,'[1]19pop2014'!$E$5:$E$40)</f>
        <v>#VALUE!</v>
      </c>
    </row>
    <row r="15" spans="1:7" ht="18" customHeight="1">
      <c r="A15" s="125">
        <v>12</v>
      </c>
      <c r="B15" s="126" t="s">
        <v>25</v>
      </c>
      <c r="C15" s="127">
        <v>2275</v>
      </c>
      <c r="D15" s="128">
        <v>31.396927268983479</v>
      </c>
      <c r="E15" s="128">
        <v>527.68777679362267</v>
      </c>
      <c r="F15" s="47" t="s">
        <v>118</v>
      </c>
      <c r="G15" s="47" t="e">
        <f>SUMIF('[1]19pop2014'!$B$5:$B$40,B15,'[1]19pop2014'!$E$5:$E$40)</f>
        <v>#VALUE!</v>
      </c>
    </row>
    <row r="16" spans="1:7" ht="18" customHeight="1">
      <c r="A16" s="125">
        <v>13</v>
      </c>
      <c r="B16" s="126" t="s">
        <v>26</v>
      </c>
      <c r="C16" s="127">
        <v>1087</v>
      </c>
      <c r="D16" s="128">
        <v>34.158640014757033</v>
      </c>
      <c r="E16" s="128">
        <v>590.30270793036755</v>
      </c>
      <c r="F16" s="47" t="s">
        <v>117</v>
      </c>
      <c r="G16" s="47" t="e">
        <f>SUMIF('[1]19pop2014'!$B$5:$B$40,B16,'[1]19pop2014'!$E$5:$E$40)</f>
        <v>#VALUE!</v>
      </c>
    </row>
    <row r="17" spans="1:7" ht="18" customHeight="1">
      <c r="A17" s="125">
        <v>14</v>
      </c>
      <c r="B17" s="126" t="s">
        <v>27</v>
      </c>
      <c r="C17" s="127">
        <v>344</v>
      </c>
      <c r="D17" s="128">
        <v>48.537935783182171</v>
      </c>
      <c r="E17" s="128">
        <v>540.58139534883719</v>
      </c>
      <c r="F17" s="47" t="s">
        <v>117</v>
      </c>
      <c r="G17" s="47" t="e">
        <f>SUMIF('[1]19pop2014'!$B$5:$B$40,B17,'[1]19pop2014'!$E$5:$E$40)</f>
        <v>#VALUE!</v>
      </c>
    </row>
    <row r="18" spans="1:7" ht="18" customHeight="1">
      <c r="A18" s="125">
        <v>15</v>
      </c>
      <c r="B18" s="126" t="s">
        <v>57</v>
      </c>
      <c r="C18" s="127">
        <v>316</v>
      </c>
      <c r="D18" s="128">
        <v>25.909014252271419</v>
      </c>
      <c r="E18" s="128">
        <v>721.31309904153352</v>
      </c>
      <c r="F18" s="47" t="s">
        <v>117</v>
      </c>
      <c r="G18" s="47" t="e">
        <f>SUMIF('[1]19pop2014'!$B$5:$B$40,B18,'[1]19pop2014'!$E$5:$E$40)</f>
        <v>#VALUE!</v>
      </c>
    </row>
    <row r="19" spans="1:7" ht="18" customHeight="1">
      <c r="A19" s="125">
        <v>16</v>
      </c>
      <c r="B19" s="126" t="s">
        <v>29</v>
      </c>
      <c r="C19" s="127">
        <v>323</v>
      </c>
      <c r="D19" s="128">
        <v>8.2622811262896061</v>
      </c>
      <c r="E19" s="128">
        <v>1938.1104100946372</v>
      </c>
      <c r="F19" s="47" t="s">
        <v>116</v>
      </c>
      <c r="G19" s="47" t="e">
        <f>SUMIF('[1]19pop2014'!$B$5:$B$40,B19,'[1]19pop2014'!$E$5:$E$40)</f>
        <v>#VALUE!</v>
      </c>
    </row>
    <row r="20" spans="1:7" ht="18" customHeight="1">
      <c r="A20" s="125">
        <v>17</v>
      </c>
      <c r="B20" s="126" t="s">
        <v>30</v>
      </c>
      <c r="C20" s="127">
        <v>4047</v>
      </c>
      <c r="D20" s="128">
        <v>59.141764870931532</v>
      </c>
      <c r="E20" s="128">
        <v>414.57794006547471</v>
      </c>
      <c r="F20" s="47" t="s">
        <v>114</v>
      </c>
      <c r="G20" s="47" t="e">
        <f>SUMIF('[1]19pop2014'!$B$5:$B$40,B20,'[1]19pop2014'!$E$5:$E$40)</f>
        <v>#VALUE!</v>
      </c>
    </row>
    <row r="21" spans="1:7" ht="18" customHeight="1">
      <c r="A21" s="125">
        <v>18</v>
      </c>
      <c r="B21" s="126" t="s">
        <v>31</v>
      </c>
      <c r="C21" s="127">
        <v>1417</v>
      </c>
      <c r="D21" s="128">
        <v>48.301966029776096</v>
      </c>
      <c r="E21" s="128">
        <v>574.73267326732673</v>
      </c>
      <c r="F21" s="47" t="s">
        <v>114</v>
      </c>
      <c r="G21" s="47" t="e">
        <f>SUMIF('[1]19pop2014'!$B$5:$B$40,B21,'[1]19pop2014'!$E$5:$E$40)</f>
        <v>#VALUE!</v>
      </c>
    </row>
    <row r="22" spans="1:7" ht="18" customHeight="1">
      <c r="A22" s="125">
        <v>19</v>
      </c>
      <c r="B22" s="126" t="s">
        <v>761</v>
      </c>
      <c r="C22" s="127">
        <v>5</v>
      </c>
      <c r="D22" s="128">
        <v>13.665582406093526</v>
      </c>
      <c r="E22" s="128">
        <v>479.6</v>
      </c>
    </row>
    <row r="23" spans="1:7" ht="18" customHeight="1">
      <c r="A23" s="125">
        <v>20</v>
      </c>
      <c r="B23" s="126" t="s">
        <v>32</v>
      </c>
      <c r="C23" s="127"/>
      <c r="D23" s="128"/>
      <c r="E23" s="128"/>
      <c r="F23" s="47" t="s">
        <v>113</v>
      </c>
      <c r="G23" s="47" t="e">
        <f>SUMIF('[1]19pop2014'!$B$5:$B$40,B23,'[1]19pop2014'!$E$5:$E$40)</f>
        <v>#VALUE!</v>
      </c>
    </row>
    <row r="24" spans="1:7" ht="18" customHeight="1">
      <c r="A24" s="125">
        <v>21</v>
      </c>
      <c r="B24" s="126" t="s">
        <v>33</v>
      </c>
      <c r="C24" s="127">
        <v>2411</v>
      </c>
      <c r="D24" s="128">
        <v>26.726399597031072</v>
      </c>
      <c r="E24" s="128">
        <v>771.44707091469684</v>
      </c>
      <c r="F24" s="47" t="s">
        <v>117</v>
      </c>
      <c r="G24" s="47" t="e">
        <f>SUMIF('[1]19pop2014'!$B$5:$B$40,B24,'[1]19pop2014'!$E$5:$E$40)</f>
        <v>#VALUE!</v>
      </c>
    </row>
    <row r="25" spans="1:7" ht="18" customHeight="1">
      <c r="A25" s="125">
        <v>22</v>
      </c>
      <c r="B25" s="126" t="s">
        <v>34</v>
      </c>
      <c r="C25" s="127">
        <v>4494</v>
      </c>
      <c r="D25" s="128">
        <v>34.063299069171464</v>
      </c>
      <c r="E25" s="128">
        <v>669.65264797507791</v>
      </c>
      <c r="F25" s="47" t="s">
        <v>118</v>
      </c>
      <c r="G25" s="47" t="e">
        <f>SUMIF('[1]19pop2014'!$B$5:$B$40,B25,'[1]19pop2014'!$E$5:$E$40)</f>
        <v>#VALUE!</v>
      </c>
    </row>
    <row r="26" spans="1:7" ht="18" customHeight="1">
      <c r="A26" s="125">
        <v>23</v>
      </c>
      <c r="B26" s="126" t="s">
        <v>35</v>
      </c>
      <c r="C26" s="127">
        <v>102</v>
      </c>
      <c r="D26" s="128">
        <v>31.388188809187508</v>
      </c>
      <c r="E26" s="128">
        <v>1056.4158415841584</v>
      </c>
      <c r="F26" s="47" t="s">
        <v>115</v>
      </c>
      <c r="G26" s="47" t="e">
        <f>SUMIF('[1]19pop2014'!$B$5:$B$40,B26,'[1]19pop2014'!$E$5:$E$40)</f>
        <v>#VALUE!</v>
      </c>
    </row>
    <row r="27" spans="1:7" ht="18" customHeight="1">
      <c r="A27" s="125">
        <v>24</v>
      </c>
      <c r="B27" s="126" t="s">
        <v>36</v>
      </c>
      <c r="C27" s="127">
        <v>67</v>
      </c>
      <c r="D27" s="128">
        <v>19.985622283670555</v>
      </c>
      <c r="E27" s="128">
        <v>1105.3859649122808</v>
      </c>
      <c r="F27" s="47" t="s">
        <v>115</v>
      </c>
      <c r="G27" s="47" t="e">
        <f>SUMIF('[1]19pop2014'!$B$5:$B$40,B27,'[1]19pop2014'!$E$5:$E$40)</f>
        <v>#VALUE!</v>
      </c>
    </row>
    <row r="28" spans="1:7" ht="18" customHeight="1">
      <c r="A28" s="125">
        <v>25</v>
      </c>
      <c r="B28" s="126" t="s">
        <v>37</v>
      </c>
      <c r="C28" s="127">
        <v>35</v>
      </c>
      <c r="D28" s="128">
        <v>27.536722185943685</v>
      </c>
      <c r="E28" s="128">
        <v>559.42857142857144</v>
      </c>
      <c r="F28" s="47" t="s">
        <v>115</v>
      </c>
      <c r="G28" s="47" t="e">
        <f>SUMIF('[1]19pop2014'!$B$5:$B$40,B28,'[1]19pop2014'!$E$5:$E$40)</f>
        <v>#VALUE!</v>
      </c>
    </row>
    <row r="29" spans="1:7" ht="18" customHeight="1">
      <c r="A29" s="125">
        <v>26</v>
      </c>
      <c r="B29" s="126" t="s">
        <v>38</v>
      </c>
      <c r="C29" s="127">
        <v>67</v>
      </c>
      <c r="D29" s="128">
        <v>27.798522944154012</v>
      </c>
      <c r="E29" s="128">
        <v>507.030303030303</v>
      </c>
      <c r="F29" s="47" t="s">
        <v>115</v>
      </c>
      <c r="G29" s="47" t="e">
        <f>SUMIF('[1]19pop2014'!$B$5:$B$40,B29,'[1]19pop2014'!$E$5:$E$40)</f>
        <v>#VALUE!</v>
      </c>
    </row>
    <row r="30" spans="1:7" ht="18" customHeight="1">
      <c r="A30" s="125">
        <v>27</v>
      </c>
      <c r="B30" s="126" t="s">
        <v>39</v>
      </c>
      <c r="C30" s="127">
        <v>1087</v>
      </c>
      <c r="D30" s="128">
        <v>23.679838131859011</v>
      </c>
      <c r="E30" s="128">
        <v>658.6471680594243</v>
      </c>
      <c r="F30" s="47" t="s">
        <v>116</v>
      </c>
      <c r="G30" s="47" t="e">
        <f>SUMIF('[1]19pop2014'!$B$5:$B$40,B30,'[1]19pop2014'!$E$5:$E$40)</f>
        <v>#VALUE!</v>
      </c>
    </row>
    <row r="31" spans="1:7" ht="18" customHeight="1">
      <c r="A31" s="125">
        <v>28</v>
      </c>
      <c r="B31" s="126" t="s">
        <v>40</v>
      </c>
      <c r="C31" s="127">
        <v>79</v>
      </c>
      <c r="D31" s="128">
        <v>45.686658917284014</v>
      </c>
      <c r="E31" s="128">
        <v>667.68115942028987</v>
      </c>
      <c r="F31" s="47" t="s">
        <v>113</v>
      </c>
      <c r="G31" s="47" t="e">
        <f>SUMIF('[1]19pop2014'!$B$5:$B$40,B31,'[1]19pop2014'!$E$5:$E$40)</f>
        <v>#VALUE!</v>
      </c>
    </row>
    <row r="32" spans="1:7" ht="18" customHeight="1">
      <c r="A32" s="125">
        <v>29</v>
      </c>
      <c r="B32" s="126" t="s">
        <v>41</v>
      </c>
      <c r="C32" s="127">
        <v>1079</v>
      </c>
      <c r="D32" s="128">
        <v>35.0486035453985</v>
      </c>
      <c r="E32" s="128">
        <v>521.34890656063624</v>
      </c>
      <c r="F32" s="47" t="s">
        <v>117</v>
      </c>
      <c r="G32" s="47" t="e">
        <f>SUMIF('[1]19pop2014'!$B$5:$B$40,B32,'[1]19pop2014'!$E$5:$E$40)</f>
        <v>#VALUE!</v>
      </c>
    </row>
    <row r="33" spans="1:7" ht="18" customHeight="1">
      <c r="A33" s="125">
        <v>30</v>
      </c>
      <c r="B33" s="126" t="s">
        <v>42</v>
      </c>
      <c r="C33" s="127">
        <v>3380</v>
      </c>
      <c r="D33" s="128">
        <v>36.914462092396903</v>
      </c>
      <c r="E33" s="128">
        <v>517.23024830699774</v>
      </c>
      <c r="F33" s="47" t="s">
        <v>118</v>
      </c>
      <c r="G33" s="47" t="e">
        <f>SUMIF('[1]19pop2014'!$B$5:$B$40,B33,'[1]19pop2014'!$E$5:$E$40)</f>
        <v>#VALUE!</v>
      </c>
    </row>
    <row r="34" spans="1:7" ht="18" customHeight="1">
      <c r="A34" s="125">
        <v>31</v>
      </c>
      <c r="B34" s="126" t="s">
        <v>43</v>
      </c>
      <c r="C34" s="127">
        <v>22</v>
      </c>
      <c r="D34" s="128">
        <v>28.73150409423933</v>
      </c>
      <c r="E34" s="128">
        <v>633.89473684210532</v>
      </c>
      <c r="F34" s="47" t="s">
        <v>115</v>
      </c>
      <c r="G34" s="47" t="e">
        <f>SUMIF('[1]19pop2014'!$B$5:$B$40,B34,'[1]19pop2014'!$E$5:$E$40)</f>
        <v>#VALUE!</v>
      </c>
    </row>
    <row r="35" spans="1:7" ht="18" customHeight="1">
      <c r="A35" s="125">
        <v>32</v>
      </c>
      <c r="B35" s="126" t="s">
        <v>44</v>
      </c>
      <c r="C35" s="127">
        <v>2610</v>
      </c>
      <c r="D35" s="128">
        <v>38.086382542252899</v>
      </c>
      <c r="E35" s="128">
        <v>872.42714723926383</v>
      </c>
      <c r="F35" s="47" t="s">
        <v>114</v>
      </c>
      <c r="G35" s="47" t="e">
        <f>SUMIF('[1]19pop2014'!$B$5:$B$40,B35,'[1]19pop2014'!$E$5:$E$40)</f>
        <v>#VALUE!</v>
      </c>
    </row>
    <row r="36" spans="1:7" ht="18" customHeight="1">
      <c r="A36" s="125">
        <v>33</v>
      </c>
      <c r="B36" s="126" t="s">
        <v>134</v>
      </c>
      <c r="C36" s="127">
        <v>2071</v>
      </c>
      <c r="D36" s="128">
        <v>53.071959272716839</v>
      </c>
      <c r="E36" s="128">
        <v>545.16013712047015</v>
      </c>
    </row>
    <row r="37" spans="1:7" ht="18" customHeight="1">
      <c r="A37" s="125">
        <v>34</v>
      </c>
      <c r="B37" s="126" t="s">
        <v>45</v>
      </c>
      <c r="C37" s="127">
        <v>53</v>
      </c>
      <c r="D37" s="128">
        <v>12.413195460986262</v>
      </c>
      <c r="E37" s="128">
        <v>1174.6603773584907</v>
      </c>
      <c r="F37" s="47" t="s">
        <v>115</v>
      </c>
      <c r="G37" s="47" t="e">
        <f>SUMIF('[1]19pop2014'!$B$5:$B$40,B37,'[1]19pop2014'!$E$5:$E$40)</f>
        <v>#VALUE!</v>
      </c>
    </row>
    <row r="38" spans="1:7" ht="18" customHeight="1">
      <c r="A38" s="125">
        <v>35</v>
      </c>
      <c r="B38" s="126" t="s">
        <v>47</v>
      </c>
      <c r="C38" s="127">
        <v>7788</v>
      </c>
      <c r="D38" s="128">
        <v>30.795564742732079</v>
      </c>
      <c r="E38" s="128">
        <v>691.991724738676</v>
      </c>
      <c r="F38" s="47" t="s">
        <v>117</v>
      </c>
      <c r="G38" s="47" t="e">
        <f>SUMIF('[1]19pop2014'!$B$5:$B$40,B38,'[1]19pop2014'!$E$5:$E$40)</f>
        <v>#VALUE!</v>
      </c>
    </row>
    <row r="39" spans="1:7" ht="18" customHeight="1">
      <c r="A39" s="125">
        <v>36</v>
      </c>
      <c r="B39" s="126" t="s">
        <v>46</v>
      </c>
      <c r="C39" s="127">
        <v>454</v>
      </c>
      <c r="D39" s="128">
        <v>38.190188822724345</v>
      </c>
      <c r="E39" s="128">
        <v>633.90594059405942</v>
      </c>
      <c r="F39" s="47" t="s">
        <v>117</v>
      </c>
      <c r="G39" s="47" t="e">
        <f>SUMIF('[1]19pop2014'!$B$5:$B$40,B39,'[1]19pop2014'!$E$5:$E$40)</f>
        <v>#VALUE!</v>
      </c>
    </row>
    <row r="40" spans="1:7" ht="18" customHeight="1">
      <c r="A40" s="125">
        <v>37</v>
      </c>
      <c r="B40" s="126" t="s">
        <v>48</v>
      </c>
      <c r="C40" s="127">
        <v>1411</v>
      </c>
      <c r="D40" s="128">
        <v>13.024762464240748</v>
      </c>
      <c r="E40" s="128">
        <v>1179.3669268985095</v>
      </c>
      <c r="F40" s="47" t="s">
        <v>116</v>
      </c>
      <c r="G40" s="47" t="e">
        <f>SUMIF('[1]19pop2014'!$B$5:$B$40,B40,'[1]19pop2014'!$E$5:$E$40)</f>
        <v>#VALUE!</v>
      </c>
    </row>
    <row r="41" spans="1:7" ht="30" customHeight="1">
      <c r="A41" s="759" t="s">
        <v>49</v>
      </c>
      <c r="B41" s="760"/>
      <c r="C41" s="129">
        <v>42343</v>
      </c>
      <c r="D41" s="130">
        <v>29.750147939237891</v>
      </c>
      <c r="E41" s="130">
        <v>679.60803403829311</v>
      </c>
      <c r="G41" s="47" t="e">
        <f>SUM(G4:G40)</f>
        <v>#VALUE!</v>
      </c>
    </row>
    <row r="42" spans="1:7">
      <c r="D42" s="131"/>
      <c r="G42" s="132"/>
    </row>
    <row r="43" spans="1:7">
      <c r="D43" s="131"/>
    </row>
  </sheetData>
  <mergeCells count="2">
    <mergeCell ref="A1:E1"/>
    <mergeCell ref="A41:B41"/>
  </mergeCells>
  <pageMargins left="0.70866141732283505" right="0.15748031496063" top="0.66929133858267698" bottom="0.74803149606299202" header="0.31496062992126" footer="0.31496062992126"/>
  <pageSetup paperSize="9" scale="96" firstPageNumber="2" orientation="portrait" useFirstPageNumber="1" r:id="rId1"/>
  <headerFooter>
    <oddFooter>&amp;LAISHE 2019-20&amp;CT-4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1:AH41"/>
  <sheetViews>
    <sheetView view="pageBreakPreview" topLeftCell="T37" zoomScaleSheetLayoutView="100" workbookViewId="0">
      <selection activeCell="E2" sqref="E2"/>
    </sheetView>
  </sheetViews>
  <sheetFormatPr defaultColWidth="9.140625" defaultRowHeight="14.25"/>
  <cols>
    <col min="1" max="1" width="5.28515625" style="133" customWidth="1"/>
    <col min="2" max="2" width="30.42578125" style="133" customWidth="1"/>
    <col min="3" max="13" width="8.140625" style="133" customWidth="1"/>
    <col min="14" max="23" width="8.28515625" style="133" customWidth="1"/>
    <col min="24" max="34" width="8" style="133" customWidth="1"/>
    <col min="35" max="16384" width="9.140625" style="133"/>
  </cols>
  <sheetData>
    <row r="1" spans="1:34" ht="30.75" customHeight="1">
      <c r="A1" s="763" t="s">
        <v>902</v>
      </c>
      <c r="B1" s="763"/>
      <c r="C1" s="761" t="s">
        <v>903</v>
      </c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2" t="str">
        <f>C1</f>
        <v>Specialisation-wise number of Colleges (Based on actual Response)</v>
      </c>
      <c r="O1" s="762"/>
      <c r="P1" s="762"/>
      <c r="Q1" s="762"/>
      <c r="R1" s="762"/>
      <c r="S1" s="762"/>
      <c r="T1" s="762"/>
      <c r="U1" s="762"/>
      <c r="V1" s="762"/>
      <c r="W1" s="762"/>
      <c r="X1" s="762" t="str">
        <f>C1</f>
        <v>Specialisation-wise number of Colleges (Based on actual Response)</v>
      </c>
      <c r="Y1" s="762"/>
      <c r="Z1" s="762"/>
      <c r="AA1" s="762"/>
      <c r="AB1" s="762"/>
      <c r="AC1" s="762"/>
      <c r="AD1" s="762"/>
      <c r="AE1" s="762"/>
      <c r="AF1" s="762"/>
      <c r="AG1" s="762"/>
      <c r="AH1" s="762"/>
    </row>
    <row r="2" spans="1:34" s="135" customFormat="1" ht="94.5" customHeight="1">
      <c r="A2" s="461" t="s">
        <v>165</v>
      </c>
      <c r="B2" s="461" t="s">
        <v>713</v>
      </c>
      <c r="C2" s="134" t="s">
        <v>5</v>
      </c>
      <c r="D2" s="134" t="s">
        <v>6</v>
      </c>
      <c r="E2" s="134" t="s">
        <v>379</v>
      </c>
      <c r="F2" s="134" t="s">
        <v>365</v>
      </c>
      <c r="G2" s="134" t="s">
        <v>366</v>
      </c>
      <c r="H2" s="134" t="s">
        <v>457</v>
      </c>
      <c r="I2" s="134" t="s">
        <v>732</v>
      </c>
      <c r="J2" s="134" t="s">
        <v>367</v>
      </c>
      <c r="K2" s="134" t="s">
        <v>168</v>
      </c>
      <c r="L2" s="134" t="s">
        <v>169</v>
      </c>
      <c r="M2" s="134" t="s">
        <v>733</v>
      </c>
      <c r="N2" s="134" t="s">
        <v>734</v>
      </c>
      <c r="O2" s="134" t="s">
        <v>170</v>
      </c>
      <c r="P2" s="134" t="s">
        <v>8</v>
      </c>
      <c r="Q2" s="134" t="s">
        <v>404</v>
      </c>
      <c r="R2" s="134" t="s">
        <v>735</v>
      </c>
      <c r="S2" s="134" t="s">
        <v>736</v>
      </c>
      <c r="T2" s="134" t="s">
        <v>737</v>
      </c>
      <c r="U2" s="134" t="s">
        <v>738</v>
      </c>
      <c r="V2" s="134" t="s">
        <v>739</v>
      </c>
      <c r="W2" s="134" t="s">
        <v>76</v>
      </c>
      <c r="X2" s="134" t="s">
        <v>172</v>
      </c>
      <c r="Y2" s="134" t="s">
        <v>740</v>
      </c>
      <c r="Z2" s="134" t="s">
        <v>389</v>
      </c>
      <c r="AA2" s="134" t="s">
        <v>394</v>
      </c>
      <c r="AB2" s="134" t="s">
        <v>174</v>
      </c>
      <c r="AC2" s="134" t="s">
        <v>175</v>
      </c>
      <c r="AD2" s="134" t="s">
        <v>411</v>
      </c>
      <c r="AE2" s="134" t="s">
        <v>176</v>
      </c>
      <c r="AF2" s="134" t="s">
        <v>10</v>
      </c>
      <c r="AG2" s="134" t="s">
        <v>11</v>
      </c>
      <c r="AH2" s="134" t="s">
        <v>60</v>
      </c>
    </row>
    <row r="3" spans="1:34" s="135" customFormat="1" ht="15" customHeight="1">
      <c r="A3" s="136">
        <v>1</v>
      </c>
      <c r="B3" s="136">
        <v>2</v>
      </c>
      <c r="C3" s="136">
        <v>3</v>
      </c>
      <c r="D3" s="136">
        <v>4</v>
      </c>
      <c r="E3" s="136">
        <v>5</v>
      </c>
      <c r="F3" s="136">
        <v>6</v>
      </c>
      <c r="G3" s="136">
        <v>7</v>
      </c>
      <c r="H3" s="136">
        <v>8</v>
      </c>
      <c r="I3" s="136">
        <v>9</v>
      </c>
      <c r="J3" s="136">
        <v>10</v>
      </c>
      <c r="K3" s="136">
        <v>11</v>
      </c>
      <c r="L3" s="136">
        <v>12</v>
      </c>
      <c r="M3" s="136">
        <v>13</v>
      </c>
      <c r="N3" s="136">
        <v>14</v>
      </c>
      <c r="O3" s="136">
        <v>15</v>
      </c>
      <c r="P3" s="136">
        <v>16</v>
      </c>
      <c r="Q3" s="136">
        <v>17</v>
      </c>
      <c r="R3" s="136">
        <v>18</v>
      </c>
      <c r="S3" s="136">
        <v>19</v>
      </c>
      <c r="T3" s="136">
        <v>20</v>
      </c>
      <c r="U3" s="136">
        <v>21</v>
      </c>
      <c r="V3" s="136">
        <v>22</v>
      </c>
      <c r="W3" s="136">
        <v>23</v>
      </c>
      <c r="X3" s="136">
        <v>24</v>
      </c>
      <c r="Y3" s="136">
        <v>25</v>
      </c>
      <c r="Z3" s="136">
        <v>26</v>
      </c>
      <c r="AA3" s="136">
        <v>27</v>
      </c>
      <c r="AB3" s="136">
        <v>28</v>
      </c>
      <c r="AC3" s="136">
        <v>29</v>
      </c>
      <c r="AD3" s="136">
        <v>30</v>
      </c>
      <c r="AE3" s="136">
        <v>31</v>
      </c>
      <c r="AF3" s="136">
        <v>32</v>
      </c>
      <c r="AG3" s="136">
        <v>33</v>
      </c>
      <c r="AH3" s="136">
        <v>34</v>
      </c>
    </row>
    <row r="4" spans="1:34" ht="24.75" customHeight="1">
      <c r="A4" s="140">
        <v>1</v>
      </c>
      <c r="B4" s="137" t="s">
        <v>154</v>
      </c>
      <c r="C4" s="138">
        <v>4</v>
      </c>
      <c r="D4" s="138"/>
      <c r="E4" s="138"/>
      <c r="F4" s="138"/>
      <c r="G4" s="138"/>
      <c r="H4" s="138"/>
      <c r="I4" s="138">
        <v>1</v>
      </c>
      <c r="J4" s="138"/>
      <c r="K4" s="138"/>
      <c r="L4" s="138"/>
      <c r="M4" s="138"/>
      <c r="N4" s="138"/>
      <c r="O4" s="138"/>
      <c r="P4" s="138"/>
      <c r="Q4" s="138"/>
      <c r="R4" s="138">
        <v>1</v>
      </c>
      <c r="S4" s="138"/>
      <c r="T4" s="138"/>
      <c r="U4" s="138"/>
      <c r="V4" s="138">
        <v>1</v>
      </c>
      <c r="W4" s="138"/>
      <c r="X4" s="138"/>
      <c r="Y4" s="138"/>
      <c r="Z4" s="138"/>
      <c r="AA4" s="138"/>
      <c r="AB4" s="138"/>
      <c r="AC4" s="138">
        <v>1</v>
      </c>
      <c r="AD4" s="138"/>
      <c r="AE4" s="138"/>
      <c r="AF4" s="138"/>
      <c r="AG4" s="138"/>
      <c r="AH4" s="139">
        <f>SUM(C4:AG4)</f>
        <v>8</v>
      </c>
    </row>
    <row r="5" spans="1:34" ht="24.75" customHeight="1">
      <c r="A5" s="140">
        <v>2</v>
      </c>
      <c r="B5" s="137" t="s">
        <v>15</v>
      </c>
      <c r="C5" s="138">
        <v>1811</v>
      </c>
      <c r="D5" s="138">
        <v>28</v>
      </c>
      <c r="E5" s="138">
        <v>4</v>
      </c>
      <c r="F5" s="138">
        <v>8</v>
      </c>
      <c r="G5" s="138">
        <v>4</v>
      </c>
      <c r="H5" s="138">
        <v>9</v>
      </c>
      <c r="I5" s="138">
        <v>76</v>
      </c>
      <c r="J5" s="138">
        <v>273</v>
      </c>
      <c r="K5" s="138"/>
      <c r="L5" s="138">
        <v>1</v>
      </c>
      <c r="M5" s="138">
        <v>1</v>
      </c>
      <c r="N5" s="138">
        <v>6</v>
      </c>
      <c r="O5" s="138"/>
      <c r="P5" s="138">
        <v>15</v>
      </c>
      <c r="Q5" s="138">
        <v>42</v>
      </c>
      <c r="R5" s="138">
        <v>11</v>
      </c>
      <c r="S5" s="138">
        <v>2</v>
      </c>
      <c r="T5" s="138">
        <v>10</v>
      </c>
      <c r="U5" s="138">
        <v>1</v>
      </c>
      <c r="V5" s="138">
        <v>8</v>
      </c>
      <c r="W5" s="138">
        <v>66</v>
      </c>
      <c r="X5" s="138">
        <v>4</v>
      </c>
      <c r="Y5" s="138">
        <v>7</v>
      </c>
      <c r="Z5" s="138">
        <v>70</v>
      </c>
      <c r="AA5" s="138">
        <v>11</v>
      </c>
      <c r="AB5" s="138">
        <v>2</v>
      </c>
      <c r="AC5" s="138">
        <v>4</v>
      </c>
      <c r="AD5" s="138"/>
      <c r="AE5" s="138">
        <v>12</v>
      </c>
      <c r="AF5" s="138">
        <v>3</v>
      </c>
      <c r="AG5" s="138">
        <v>12</v>
      </c>
      <c r="AH5" s="139">
        <f t="shared" ref="AH5:AH40" si="0">SUM(C5:AG5)</f>
        <v>2501</v>
      </c>
    </row>
    <row r="6" spans="1:34" ht="24.75" customHeight="1">
      <c r="A6" s="140">
        <v>3</v>
      </c>
      <c r="B6" s="137" t="s">
        <v>16</v>
      </c>
      <c r="C6" s="138">
        <v>26</v>
      </c>
      <c r="D6" s="138">
        <v>1</v>
      </c>
      <c r="E6" s="138"/>
      <c r="F6" s="138">
        <v>1</v>
      </c>
      <c r="G6" s="138"/>
      <c r="H6" s="138"/>
      <c r="I6" s="138">
        <v>6</v>
      </c>
      <c r="J6" s="138"/>
      <c r="K6" s="138"/>
      <c r="L6" s="138"/>
      <c r="M6" s="138"/>
      <c r="N6" s="138"/>
      <c r="O6" s="138"/>
      <c r="P6" s="138">
        <v>2</v>
      </c>
      <c r="Q6" s="138"/>
      <c r="R6" s="138">
        <v>1</v>
      </c>
      <c r="S6" s="138"/>
      <c r="T6" s="138"/>
      <c r="U6" s="138">
        <v>1</v>
      </c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9">
        <f t="shared" si="0"/>
        <v>38</v>
      </c>
    </row>
    <row r="7" spans="1:34" ht="24.75" customHeight="1">
      <c r="A7" s="140">
        <v>4</v>
      </c>
      <c r="B7" s="137" t="s">
        <v>17</v>
      </c>
      <c r="C7" s="138">
        <v>364</v>
      </c>
      <c r="D7" s="138">
        <v>2</v>
      </c>
      <c r="E7" s="138">
        <v>1</v>
      </c>
      <c r="F7" s="138">
        <v>37</v>
      </c>
      <c r="G7" s="138">
        <v>11</v>
      </c>
      <c r="H7" s="138"/>
      <c r="I7" s="138">
        <v>43</v>
      </c>
      <c r="J7" s="138">
        <v>6</v>
      </c>
      <c r="K7" s="138">
        <v>2</v>
      </c>
      <c r="L7" s="138">
        <v>1</v>
      </c>
      <c r="M7" s="138"/>
      <c r="N7" s="138">
        <v>1</v>
      </c>
      <c r="O7" s="138"/>
      <c r="P7" s="138">
        <v>19</v>
      </c>
      <c r="Q7" s="138">
        <v>2</v>
      </c>
      <c r="R7" s="138">
        <v>5</v>
      </c>
      <c r="S7" s="138">
        <v>1</v>
      </c>
      <c r="T7" s="138">
        <v>1</v>
      </c>
      <c r="U7" s="138">
        <v>2</v>
      </c>
      <c r="V7" s="138"/>
      <c r="W7" s="138">
        <v>10</v>
      </c>
      <c r="X7" s="138"/>
      <c r="Y7" s="138">
        <v>3</v>
      </c>
      <c r="Z7" s="138">
        <v>6</v>
      </c>
      <c r="AA7" s="138">
        <v>1</v>
      </c>
      <c r="AB7" s="138">
        <v>1</v>
      </c>
      <c r="AC7" s="138">
        <v>6</v>
      </c>
      <c r="AD7" s="138">
        <v>1</v>
      </c>
      <c r="AE7" s="138">
        <v>1</v>
      </c>
      <c r="AF7" s="138">
        <v>2</v>
      </c>
      <c r="AG7" s="138">
        <v>4</v>
      </c>
      <c r="AH7" s="139">
        <f t="shared" si="0"/>
        <v>533</v>
      </c>
    </row>
    <row r="8" spans="1:34" ht="24.75" customHeight="1">
      <c r="A8" s="140">
        <v>5</v>
      </c>
      <c r="B8" s="137" t="s">
        <v>18</v>
      </c>
      <c r="C8" s="138">
        <v>511</v>
      </c>
      <c r="D8" s="138">
        <v>6</v>
      </c>
      <c r="E8" s="138"/>
      <c r="F8" s="138">
        <v>4</v>
      </c>
      <c r="G8" s="138">
        <v>1</v>
      </c>
      <c r="H8" s="138">
        <v>3</v>
      </c>
      <c r="I8" s="138">
        <v>184</v>
      </c>
      <c r="J8" s="138">
        <v>55</v>
      </c>
      <c r="K8" s="138">
        <v>1</v>
      </c>
      <c r="L8" s="138"/>
      <c r="M8" s="138"/>
      <c r="N8" s="138"/>
      <c r="O8" s="138"/>
      <c r="P8" s="138">
        <v>16</v>
      </c>
      <c r="Q8" s="138">
        <v>2</v>
      </c>
      <c r="R8" s="138">
        <v>9</v>
      </c>
      <c r="S8" s="138">
        <v>1</v>
      </c>
      <c r="T8" s="138">
        <v>2</v>
      </c>
      <c r="U8" s="138">
        <v>1</v>
      </c>
      <c r="V8" s="138">
        <v>2</v>
      </c>
      <c r="W8" s="138">
        <v>5</v>
      </c>
      <c r="X8" s="138"/>
      <c r="Y8" s="138">
        <v>2</v>
      </c>
      <c r="Z8" s="138">
        <v>3</v>
      </c>
      <c r="AA8" s="138"/>
      <c r="AB8" s="138">
        <v>49</v>
      </c>
      <c r="AC8" s="138"/>
      <c r="AD8" s="138"/>
      <c r="AE8" s="138"/>
      <c r="AF8" s="138">
        <v>1</v>
      </c>
      <c r="AG8" s="138">
        <v>5</v>
      </c>
      <c r="AH8" s="139">
        <f t="shared" si="0"/>
        <v>863</v>
      </c>
    </row>
    <row r="9" spans="1:34" ht="24.75" customHeight="1">
      <c r="A9" s="140">
        <v>6</v>
      </c>
      <c r="B9" s="137" t="s">
        <v>19</v>
      </c>
      <c r="C9" s="138">
        <v>9</v>
      </c>
      <c r="D9" s="138"/>
      <c r="E9" s="138">
        <v>1</v>
      </c>
      <c r="F9" s="138"/>
      <c r="G9" s="138">
        <v>1</v>
      </c>
      <c r="H9" s="138"/>
      <c r="I9" s="138">
        <v>4</v>
      </c>
      <c r="J9" s="138">
        <v>2</v>
      </c>
      <c r="K9" s="138">
        <v>1</v>
      </c>
      <c r="L9" s="138"/>
      <c r="M9" s="138">
        <v>1</v>
      </c>
      <c r="N9" s="138"/>
      <c r="O9" s="138"/>
      <c r="P9" s="138"/>
      <c r="Q9" s="138"/>
      <c r="R9" s="138"/>
      <c r="S9" s="138">
        <v>1</v>
      </c>
      <c r="T9" s="138"/>
      <c r="U9" s="138">
        <v>1</v>
      </c>
      <c r="V9" s="138">
        <v>1</v>
      </c>
      <c r="W9" s="138"/>
      <c r="X9" s="138"/>
      <c r="Y9" s="138"/>
      <c r="Z9" s="138"/>
      <c r="AA9" s="138"/>
      <c r="AB9" s="138"/>
      <c r="AC9" s="138"/>
      <c r="AD9" s="138"/>
      <c r="AE9" s="138">
        <v>2</v>
      </c>
      <c r="AF9" s="138">
        <v>1</v>
      </c>
      <c r="AG9" s="138"/>
      <c r="AH9" s="139">
        <f t="shared" si="0"/>
        <v>25</v>
      </c>
    </row>
    <row r="10" spans="1:34" ht="24.75" customHeight="1">
      <c r="A10" s="140">
        <v>7</v>
      </c>
      <c r="B10" s="137" t="s">
        <v>20</v>
      </c>
      <c r="C10" s="138">
        <v>481</v>
      </c>
      <c r="D10" s="138">
        <v>25</v>
      </c>
      <c r="E10" s="138">
        <v>1</v>
      </c>
      <c r="F10" s="138">
        <v>6</v>
      </c>
      <c r="G10" s="138">
        <v>2</v>
      </c>
      <c r="H10" s="138">
        <v>10</v>
      </c>
      <c r="I10" s="138">
        <v>55</v>
      </c>
      <c r="J10" s="138">
        <v>61</v>
      </c>
      <c r="K10" s="138">
        <v>3</v>
      </c>
      <c r="L10" s="138">
        <v>1</v>
      </c>
      <c r="M10" s="138"/>
      <c r="N10" s="138"/>
      <c r="O10" s="138"/>
      <c r="P10" s="138">
        <v>9</v>
      </c>
      <c r="Q10" s="138"/>
      <c r="R10" s="138">
        <v>4</v>
      </c>
      <c r="S10" s="138">
        <v>6</v>
      </c>
      <c r="T10" s="138">
        <v>6</v>
      </c>
      <c r="U10" s="138">
        <v>3</v>
      </c>
      <c r="V10" s="138">
        <v>6</v>
      </c>
      <c r="W10" s="138">
        <v>83</v>
      </c>
      <c r="X10" s="138"/>
      <c r="Y10" s="138"/>
      <c r="Z10" s="138">
        <v>19</v>
      </c>
      <c r="AA10" s="138">
        <v>3</v>
      </c>
      <c r="AB10" s="138">
        <v>4</v>
      </c>
      <c r="AC10" s="138">
        <v>7</v>
      </c>
      <c r="AD10" s="138"/>
      <c r="AE10" s="138">
        <v>3</v>
      </c>
      <c r="AF10" s="138">
        <v>6</v>
      </c>
      <c r="AG10" s="138">
        <v>3</v>
      </c>
      <c r="AH10" s="139">
        <f t="shared" si="0"/>
        <v>807</v>
      </c>
    </row>
    <row r="11" spans="1:34" ht="24.75" customHeight="1">
      <c r="A11" s="140">
        <v>8</v>
      </c>
      <c r="B11" s="137" t="s">
        <v>155</v>
      </c>
      <c r="C11" s="138">
        <v>3</v>
      </c>
      <c r="D11" s="138"/>
      <c r="E11" s="138"/>
      <c r="F11" s="138"/>
      <c r="G11" s="138"/>
      <c r="H11" s="138"/>
      <c r="I11" s="138">
        <v>1</v>
      </c>
      <c r="J11" s="138">
        <v>1</v>
      </c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>
        <v>1</v>
      </c>
      <c r="X11" s="138"/>
      <c r="Y11" s="138"/>
      <c r="Z11" s="138">
        <v>1</v>
      </c>
      <c r="AA11" s="138"/>
      <c r="AB11" s="138"/>
      <c r="AC11" s="138"/>
      <c r="AD11" s="138"/>
      <c r="AE11" s="138"/>
      <c r="AF11" s="138"/>
      <c r="AG11" s="138">
        <v>1</v>
      </c>
      <c r="AH11" s="139">
        <f t="shared" si="0"/>
        <v>8</v>
      </c>
    </row>
    <row r="12" spans="1:34" ht="24.75" customHeight="1">
      <c r="A12" s="140">
        <v>9</v>
      </c>
      <c r="B12" s="137" t="s">
        <v>156</v>
      </c>
      <c r="C12" s="138">
        <v>3</v>
      </c>
      <c r="D12" s="138"/>
      <c r="E12" s="138"/>
      <c r="F12" s="138"/>
      <c r="G12" s="138"/>
      <c r="H12" s="138">
        <v>1</v>
      </c>
      <c r="I12" s="138">
        <v>1</v>
      </c>
      <c r="J12" s="138">
        <v>3</v>
      </c>
      <c r="K12" s="138"/>
      <c r="L12" s="138"/>
      <c r="M12" s="138"/>
      <c r="N12" s="138"/>
      <c r="O12" s="138"/>
      <c r="P12" s="138"/>
      <c r="Q12" s="138"/>
      <c r="R12" s="138"/>
      <c r="S12" s="138"/>
      <c r="T12" s="138">
        <v>1</v>
      </c>
      <c r="U12" s="138"/>
      <c r="V12" s="138"/>
      <c r="W12" s="138">
        <v>1</v>
      </c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9">
        <f t="shared" si="0"/>
        <v>10</v>
      </c>
    </row>
    <row r="13" spans="1:34" ht="24.75" customHeight="1">
      <c r="A13" s="140">
        <v>10</v>
      </c>
      <c r="B13" s="137" t="s">
        <v>23</v>
      </c>
      <c r="C13" s="138">
        <v>91</v>
      </c>
      <c r="D13" s="138"/>
      <c r="E13" s="138">
        <v>2</v>
      </c>
      <c r="F13" s="138"/>
      <c r="G13" s="138">
        <v>1</v>
      </c>
      <c r="H13" s="138">
        <v>1</v>
      </c>
      <c r="I13" s="138">
        <v>15</v>
      </c>
      <c r="J13" s="138">
        <v>12</v>
      </c>
      <c r="K13" s="138">
        <v>2</v>
      </c>
      <c r="L13" s="138"/>
      <c r="M13" s="138">
        <v>1</v>
      </c>
      <c r="N13" s="138"/>
      <c r="O13" s="138">
        <v>1</v>
      </c>
      <c r="P13" s="138">
        <v>1</v>
      </c>
      <c r="Q13" s="138">
        <v>8</v>
      </c>
      <c r="R13" s="138">
        <v>9</v>
      </c>
      <c r="S13" s="138">
        <v>2</v>
      </c>
      <c r="T13" s="138">
        <v>2</v>
      </c>
      <c r="U13" s="138">
        <v>2</v>
      </c>
      <c r="V13" s="138">
        <v>3</v>
      </c>
      <c r="W13" s="138">
        <v>7</v>
      </c>
      <c r="X13" s="138"/>
      <c r="Y13" s="138">
        <v>1</v>
      </c>
      <c r="Z13" s="138">
        <v>1</v>
      </c>
      <c r="AA13" s="138"/>
      <c r="AB13" s="138"/>
      <c r="AC13" s="138"/>
      <c r="AD13" s="138"/>
      <c r="AE13" s="138">
        <v>2</v>
      </c>
      <c r="AF13" s="138"/>
      <c r="AG13" s="138">
        <v>10</v>
      </c>
      <c r="AH13" s="139">
        <f t="shared" si="0"/>
        <v>174</v>
      </c>
    </row>
    <row r="14" spans="1:34" ht="24.75" customHeight="1">
      <c r="A14" s="140">
        <v>11</v>
      </c>
      <c r="B14" s="137" t="s">
        <v>24</v>
      </c>
      <c r="C14" s="138">
        <v>28</v>
      </c>
      <c r="D14" s="138">
        <v>2</v>
      </c>
      <c r="E14" s="138">
        <v>1</v>
      </c>
      <c r="F14" s="138"/>
      <c r="G14" s="138">
        <v>1</v>
      </c>
      <c r="H14" s="138"/>
      <c r="I14" s="138">
        <v>3</v>
      </c>
      <c r="J14" s="138">
        <v>6</v>
      </c>
      <c r="K14" s="138">
        <v>2</v>
      </c>
      <c r="L14" s="138"/>
      <c r="M14" s="138">
        <v>1</v>
      </c>
      <c r="N14" s="138">
        <v>2</v>
      </c>
      <c r="O14" s="138"/>
      <c r="P14" s="138">
        <v>2</v>
      </c>
      <c r="Q14" s="138"/>
      <c r="R14" s="138">
        <v>2</v>
      </c>
      <c r="S14" s="138">
        <v>1</v>
      </c>
      <c r="T14" s="138">
        <v>1</v>
      </c>
      <c r="U14" s="138">
        <v>1</v>
      </c>
      <c r="V14" s="138"/>
      <c r="W14" s="138">
        <v>2</v>
      </c>
      <c r="X14" s="138"/>
      <c r="Y14" s="138"/>
      <c r="Z14" s="138">
        <v>1</v>
      </c>
      <c r="AA14" s="138"/>
      <c r="AB14" s="138"/>
      <c r="AC14" s="138"/>
      <c r="AD14" s="138"/>
      <c r="AE14" s="138"/>
      <c r="AF14" s="138"/>
      <c r="AG14" s="138">
        <v>2</v>
      </c>
      <c r="AH14" s="139">
        <f t="shared" si="0"/>
        <v>58</v>
      </c>
    </row>
    <row r="15" spans="1:34" ht="24.75" customHeight="1">
      <c r="A15" s="140">
        <v>12</v>
      </c>
      <c r="B15" s="137" t="s">
        <v>25</v>
      </c>
      <c r="C15" s="138">
        <v>899</v>
      </c>
      <c r="D15" s="138">
        <v>32</v>
      </c>
      <c r="E15" s="138">
        <v>15</v>
      </c>
      <c r="F15" s="138">
        <v>110</v>
      </c>
      <c r="G15" s="138">
        <v>87</v>
      </c>
      <c r="H15" s="138">
        <v>91</v>
      </c>
      <c r="I15" s="138">
        <v>217</v>
      </c>
      <c r="J15" s="138">
        <v>207</v>
      </c>
      <c r="K15" s="138">
        <v>4</v>
      </c>
      <c r="L15" s="138">
        <v>3</v>
      </c>
      <c r="M15" s="138">
        <v>3</v>
      </c>
      <c r="N15" s="138">
        <v>4</v>
      </c>
      <c r="O15" s="138">
        <v>1</v>
      </c>
      <c r="P15" s="138">
        <v>52</v>
      </c>
      <c r="Q15" s="138">
        <v>75</v>
      </c>
      <c r="R15" s="138">
        <v>21</v>
      </c>
      <c r="S15" s="138">
        <v>23</v>
      </c>
      <c r="T15" s="138">
        <v>9</v>
      </c>
      <c r="U15" s="138">
        <v>29</v>
      </c>
      <c r="V15" s="138">
        <v>10</v>
      </c>
      <c r="W15" s="138">
        <v>74</v>
      </c>
      <c r="X15" s="138"/>
      <c r="Y15" s="138">
        <v>11</v>
      </c>
      <c r="Z15" s="138">
        <v>51</v>
      </c>
      <c r="AA15" s="138">
        <v>45</v>
      </c>
      <c r="AB15" s="138">
        <v>21</v>
      </c>
      <c r="AC15" s="138">
        <v>107</v>
      </c>
      <c r="AD15" s="138">
        <v>7</v>
      </c>
      <c r="AE15" s="138">
        <v>3</v>
      </c>
      <c r="AF15" s="138">
        <v>6</v>
      </c>
      <c r="AG15" s="138">
        <v>41</v>
      </c>
      <c r="AH15" s="139">
        <f t="shared" si="0"/>
        <v>2258</v>
      </c>
    </row>
    <row r="16" spans="1:34" ht="24.75" customHeight="1">
      <c r="A16" s="140">
        <v>13</v>
      </c>
      <c r="B16" s="137" t="s">
        <v>26</v>
      </c>
      <c r="C16" s="138">
        <v>519</v>
      </c>
      <c r="D16" s="138">
        <v>4</v>
      </c>
      <c r="E16" s="138">
        <v>9</v>
      </c>
      <c r="F16" s="138">
        <v>3</v>
      </c>
      <c r="G16" s="138"/>
      <c r="H16" s="138">
        <v>4</v>
      </c>
      <c r="I16" s="138">
        <v>257</v>
      </c>
      <c r="J16" s="138">
        <v>82</v>
      </c>
      <c r="K16" s="138"/>
      <c r="L16" s="138"/>
      <c r="M16" s="138"/>
      <c r="N16" s="138">
        <v>1</v>
      </c>
      <c r="O16" s="138"/>
      <c r="P16" s="138">
        <v>16</v>
      </c>
      <c r="Q16" s="138">
        <v>20</v>
      </c>
      <c r="R16" s="138">
        <v>4</v>
      </c>
      <c r="S16" s="138">
        <v>7</v>
      </c>
      <c r="T16" s="138">
        <v>9</v>
      </c>
      <c r="U16" s="138">
        <v>1</v>
      </c>
      <c r="V16" s="138">
        <v>8</v>
      </c>
      <c r="W16" s="138">
        <v>31</v>
      </c>
      <c r="X16" s="138"/>
      <c r="Y16" s="138"/>
      <c r="Z16" s="138">
        <v>34</v>
      </c>
      <c r="AA16" s="138">
        <v>5</v>
      </c>
      <c r="AB16" s="138">
        <v>1</v>
      </c>
      <c r="AC16" s="138">
        <v>3</v>
      </c>
      <c r="AD16" s="138"/>
      <c r="AE16" s="138"/>
      <c r="AF16" s="138">
        <v>8</v>
      </c>
      <c r="AG16" s="138">
        <v>8</v>
      </c>
      <c r="AH16" s="139">
        <f t="shared" si="0"/>
        <v>1034</v>
      </c>
    </row>
    <row r="17" spans="1:34" ht="24.75" customHeight="1">
      <c r="A17" s="140">
        <v>14</v>
      </c>
      <c r="B17" s="137" t="s">
        <v>27</v>
      </c>
      <c r="C17" s="138">
        <v>197</v>
      </c>
      <c r="D17" s="138"/>
      <c r="E17" s="138"/>
      <c r="F17" s="138">
        <v>2</v>
      </c>
      <c r="G17" s="138"/>
      <c r="H17" s="138">
        <v>2</v>
      </c>
      <c r="I17" s="138">
        <v>39</v>
      </c>
      <c r="J17" s="138">
        <v>18</v>
      </c>
      <c r="K17" s="138">
        <v>1</v>
      </c>
      <c r="L17" s="138"/>
      <c r="M17" s="138"/>
      <c r="N17" s="138">
        <v>4</v>
      </c>
      <c r="O17" s="138"/>
      <c r="P17" s="138">
        <v>5</v>
      </c>
      <c r="Q17" s="138">
        <v>4</v>
      </c>
      <c r="R17" s="138">
        <v>5</v>
      </c>
      <c r="S17" s="138">
        <v>2</v>
      </c>
      <c r="T17" s="138">
        <v>5</v>
      </c>
      <c r="U17" s="138">
        <v>1</v>
      </c>
      <c r="V17" s="138">
        <v>2</v>
      </c>
      <c r="W17" s="138">
        <v>20</v>
      </c>
      <c r="X17" s="138">
        <v>1</v>
      </c>
      <c r="Y17" s="138"/>
      <c r="Z17" s="138">
        <v>16</v>
      </c>
      <c r="AA17" s="138"/>
      <c r="AB17" s="138">
        <v>16</v>
      </c>
      <c r="AC17" s="138">
        <v>1</v>
      </c>
      <c r="AD17" s="138"/>
      <c r="AE17" s="138">
        <v>1</v>
      </c>
      <c r="AF17" s="138"/>
      <c r="AG17" s="138">
        <v>2</v>
      </c>
      <c r="AH17" s="139">
        <f t="shared" si="0"/>
        <v>344</v>
      </c>
    </row>
    <row r="18" spans="1:34" ht="24.75" customHeight="1">
      <c r="A18" s="140">
        <v>15</v>
      </c>
      <c r="B18" s="137" t="s">
        <v>57</v>
      </c>
      <c r="C18" s="138">
        <v>188</v>
      </c>
      <c r="D18" s="138">
        <v>3</v>
      </c>
      <c r="E18" s="138">
        <v>1</v>
      </c>
      <c r="F18" s="138">
        <v>1</v>
      </c>
      <c r="G18" s="138">
        <v>1</v>
      </c>
      <c r="H18" s="138">
        <v>3</v>
      </c>
      <c r="I18" s="138">
        <v>70</v>
      </c>
      <c r="J18" s="138">
        <v>8</v>
      </c>
      <c r="K18" s="138"/>
      <c r="L18" s="138">
        <v>1</v>
      </c>
      <c r="M18" s="138"/>
      <c r="N18" s="138"/>
      <c r="O18" s="138"/>
      <c r="P18" s="138">
        <v>5</v>
      </c>
      <c r="Q18" s="138">
        <v>1</v>
      </c>
      <c r="R18" s="138">
        <v>6</v>
      </c>
      <c r="S18" s="138">
        <v>2</v>
      </c>
      <c r="T18" s="138">
        <v>3</v>
      </c>
      <c r="U18" s="138"/>
      <c r="V18" s="138">
        <v>3</v>
      </c>
      <c r="W18" s="138">
        <v>6</v>
      </c>
      <c r="X18" s="138">
        <v>3</v>
      </c>
      <c r="Y18" s="138">
        <v>2</v>
      </c>
      <c r="Z18" s="138"/>
      <c r="AA18" s="138">
        <v>1</v>
      </c>
      <c r="AB18" s="138"/>
      <c r="AC18" s="138"/>
      <c r="AD18" s="138"/>
      <c r="AE18" s="138">
        <v>1</v>
      </c>
      <c r="AF18" s="138">
        <v>1</v>
      </c>
      <c r="AG18" s="138">
        <v>3</v>
      </c>
      <c r="AH18" s="139">
        <f t="shared" si="0"/>
        <v>313</v>
      </c>
    </row>
    <row r="19" spans="1:34" ht="24.75" customHeight="1">
      <c r="A19" s="140">
        <v>16</v>
      </c>
      <c r="B19" s="137" t="s">
        <v>29</v>
      </c>
      <c r="C19" s="138">
        <v>181</v>
      </c>
      <c r="D19" s="138"/>
      <c r="E19" s="138"/>
      <c r="F19" s="138">
        <v>8</v>
      </c>
      <c r="G19" s="138">
        <v>1</v>
      </c>
      <c r="H19" s="138"/>
      <c r="I19" s="138">
        <v>80</v>
      </c>
      <c r="J19" s="138">
        <v>16</v>
      </c>
      <c r="K19" s="138"/>
      <c r="L19" s="138"/>
      <c r="M19" s="138"/>
      <c r="N19" s="138"/>
      <c r="O19" s="138"/>
      <c r="P19" s="138">
        <v>6</v>
      </c>
      <c r="Q19" s="138">
        <v>2</v>
      </c>
      <c r="R19" s="138">
        <v>2</v>
      </c>
      <c r="S19" s="138">
        <v>1</v>
      </c>
      <c r="T19" s="138">
        <v>3</v>
      </c>
      <c r="U19" s="138">
        <v>3</v>
      </c>
      <c r="V19" s="138">
        <v>4</v>
      </c>
      <c r="W19" s="138">
        <v>3</v>
      </c>
      <c r="X19" s="138"/>
      <c r="Y19" s="138"/>
      <c r="Z19" s="138">
        <v>1</v>
      </c>
      <c r="AA19" s="138"/>
      <c r="AB19" s="138">
        <v>4</v>
      </c>
      <c r="AC19" s="138"/>
      <c r="AD19" s="138"/>
      <c r="AE19" s="138">
        <v>1</v>
      </c>
      <c r="AF19" s="138"/>
      <c r="AG19" s="138">
        <v>1</v>
      </c>
      <c r="AH19" s="139">
        <f t="shared" si="0"/>
        <v>317</v>
      </c>
    </row>
    <row r="20" spans="1:34" ht="24.75" customHeight="1">
      <c r="A20" s="140">
        <v>17</v>
      </c>
      <c r="B20" s="137" t="s">
        <v>30</v>
      </c>
      <c r="C20" s="138">
        <v>2559</v>
      </c>
      <c r="D20" s="138">
        <v>20</v>
      </c>
      <c r="E20" s="138">
        <v>15</v>
      </c>
      <c r="F20" s="138">
        <v>73</v>
      </c>
      <c r="G20" s="138">
        <v>112</v>
      </c>
      <c r="H20" s="138">
        <v>23</v>
      </c>
      <c r="I20" s="138">
        <v>123</v>
      </c>
      <c r="J20" s="138">
        <v>178</v>
      </c>
      <c r="K20" s="138">
        <v>11</v>
      </c>
      <c r="L20" s="138">
        <v>1</v>
      </c>
      <c r="M20" s="138">
        <v>2</v>
      </c>
      <c r="N20" s="138">
        <v>10</v>
      </c>
      <c r="O20" s="138">
        <v>2</v>
      </c>
      <c r="P20" s="138">
        <v>70</v>
      </c>
      <c r="Q20" s="138">
        <v>66</v>
      </c>
      <c r="R20" s="138">
        <v>39</v>
      </c>
      <c r="S20" s="138">
        <v>69</v>
      </c>
      <c r="T20" s="138">
        <v>38</v>
      </c>
      <c r="U20" s="138">
        <v>13</v>
      </c>
      <c r="V20" s="138">
        <v>39</v>
      </c>
      <c r="W20" s="138">
        <v>256</v>
      </c>
      <c r="X20" s="138">
        <v>2</v>
      </c>
      <c r="Y20" s="138">
        <v>29</v>
      </c>
      <c r="Z20" s="138">
        <v>54</v>
      </c>
      <c r="AA20" s="138">
        <v>38</v>
      </c>
      <c r="AB20" s="138">
        <v>23</v>
      </c>
      <c r="AC20" s="138">
        <v>13</v>
      </c>
      <c r="AD20" s="138">
        <v>12</v>
      </c>
      <c r="AE20" s="138">
        <v>15</v>
      </c>
      <c r="AF20" s="138">
        <v>5</v>
      </c>
      <c r="AG20" s="138">
        <v>61</v>
      </c>
      <c r="AH20" s="139">
        <f t="shared" si="0"/>
        <v>3971</v>
      </c>
    </row>
    <row r="21" spans="1:34" ht="24.75" customHeight="1">
      <c r="A21" s="140">
        <v>18</v>
      </c>
      <c r="B21" s="137" t="s">
        <v>31</v>
      </c>
      <c r="C21" s="138">
        <v>712</v>
      </c>
      <c r="D21" s="138">
        <v>5</v>
      </c>
      <c r="E21" s="138">
        <v>19</v>
      </c>
      <c r="F21" s="138">
        <v>22</v>
      </c>
      <c r="G21" s="138">
        <v>2</v>
      </c>
      <c r="H21" s="138">
        <v>2</v>
      </c>
      <c r="I21" s="138">
        <v>106</v>
      </c>
      <c r="J21" s="138">
        <v>119</v>
      </c>
      <c r="K21" s="138">
        <v>6</v>
      </c>
      <c r="L21" s="138"/>
      <c r="M21" s="138">
        <v>1</v>
      </c>
      <c r="N21" s="138">
        <v>4</v>
      </c>
      <c r="O21" s="138"/>
      <c r="P21" s="138">
        <v>12</v>
      </c>
      <c r="Q21" s="138">
        <v>33</v>
      </c>
      <c r="R21" s="138">
        <v>18</v>
      </c>
      <c r="S21" s="138">
        <v>14</v>
      </c>
      <c r="T21" s="138">
        <v>21</v>
      </c>
      <c r="U21" s="138">
        <v>6</v>
      </c>
      <c r="V21" s="138">
        <v>14</v>
      </c>
      <c r="W21" s="138">
        <v>104</v>
      </c>
      <c r="X21" s="138">
        <v>7</v>
      </c>
      <c r="Y21" s="138">
        <v>26</v>
      </c>
      <c r="Z21" s="138">
        <v>32</v>
      </c>
      <c r="AA21" s="138">
        <v>2</v>
      </c>
      <c r="AB21" s="138">
        <v>3</v>
      </c>
      <c r="AC21" s="138">
        <v>2</v>
      </c>
      <c r="AD21" s="138"/>
      <c r="AE21" s="138">
        <v>2</v>
      </c>
      <c r="AF21" s="138">
        <v>2</v>
      </c>
      <c r="AG21" s="138">
        <v>17</v>
      </c>
      <c r="AH21" s="139">
        <f t="shared" si="0"/>
        <v>1313</v>
      </c>
    </row>
    <row r="22" spans="1:34" ht="24.75" customHeight="1">
      <c r="A22" s="140">
        <v>19</v>
      </c>
      <c r="B22" s="137" t="s">
        <v>761</v>
      </c>
      <c r="C22" s="138">
        <v>5</v>
      </c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9">
        <f t="shared" si="0"/>
        <v>5</v>
      </c>
    </row>
    <row r="23" spans="1:34" ht="24.75" customHeight="1">
      <c r="A23" s="140">
        <v>20</v>
      </c>
      <c r="B23" s="137" t="s">
        <v>32</v>
      </c>
      <c r="C23" s="138">
        <v>0</v>
      </c>
      <c r="D23" s="138">
        <v>0</v>
      </c>
      <c r="E23" s="138">
        <v>0</v>
      </c>
      <c r="F23" s="138">
        <v>0</v>
      </c>
      <c r="G23" s="138">
        <v>0</v>
      </c>
      <c r="H23" s="138">
        <v>0</v>
      </c>
      <c r="I23" s="138">
        <v>0</v>
      </c>
      <c r="J23" s="138">
        <v>0</v>
      </c>
      <c r="K23" s="138">
        <v>0</v>
      </c>
      <c r="L23" s="138">
        <v>0</v>
      </c>
      <c r="M23" s="138">
        <v>0</v>
      </c>
      <c r="N23" s="138">
        <v>0</v>
      </c>
      <c r="O23" s="138">
        <v>0</v>
      </c>
      <c r="P23" s="138">
        <v>0</v>
      </c>
      <c r="Q23" s="138">
        <v>0</v>
      </c>
      <c r="R23" s="138">
        <v>0</v>
      </c>
      <c r="S23" s="138">
        <v>0</v>
      </c>
      <c r="T23" s="138">
        <v>0</v>
      </c>
      <c r="U23" s="138">
        <v>0</v>
      </c>
      <c r="V23" s="138">
        <v>0</v>
      </c>
      <c r="W23" s="138">
        <v>0</v>
      </c>
      <c r="X23" s="138">
        <v>0</v>
      </c>
      <c r="Y23" s="138">
        <v>0</v>
      </c>
      <c r="Z23" s="138">
        <v>0</v>
      </c>
      <c r="AA23" s="138">
        <v>0</v>
      </c>
      <c r="AB23" s="138">
        <v>0</v>
      </c>
      <c r="AC23" s="138">
        <v>0</v>
      </c>
      <c r="AD23" s="138">
        <v>0</v>
      </c>
      <c r="AE23" s="138">
        <v>0</v>
      </c>
      <c r="AF23" s="138">
        <v>0</v>
      </c>
      <c r="AG23" s="138">
        <v>0</v>
      </c>
      <c r="AH23" s="139">
        <f t="shared" si="0"/>
        <v>0</v>
      </c>
    </row>
    <row r="24" spans="1:34" ht="24.75" customHeight="1">
      <c r="A24" s="140">
        <v>21</v>
      </c>
      <c r="B24" s="137" t="s">
        <v>33</v>
      </c>
      <c r="C24" s="138">
        <v>1317</v>
      </c>
      <c r="D24" s="138">
        <v>11</v>
      </c>
      <c r="E24" s="138">
        <v>1</v>
      </c>
      <c r="F24" s="138">
        <v>33</v>
      </c>
      <c r="G24" s="138">
        <v>9</v>
      </c>
      <c r="H24" s="138">
        <v>15</v>
      </c>
      <c r="I24" s="138">
        <v>145</v>
      </c>
      <c r="J24" s="138">
        <v>111</v>
      </c>
      <c r="K24" s="138">
        <v>18</v>
      </c>
      <c r="L24" s="138"/>
      <c r="M24" s="138">
        <v>1</v>
      </c>
      <c r="N24" s="138">
        <v>2</v>
      </c>
      <c r="O24" s="138"/>
      <c r="P24" s="138">
        <v>35</v>
      </c>
      <c r="Q24" s="138">
        <v>41</v>
      </c>
      <c r="R24" s="138">
        <v>7</v>
      </c>
      <c r="S24" s="138">
        <v>6</v>
      </c>
      <c r="T24" s="138">
        <v>5</v>
      </c>
      <c r="U24" s="138">
        <v>9</v>
      </c>
      <c r="V24" s="138">
        <v>8</v>
      </c>
      <c r="W24" s="138">
        <v>55</v>
      </c>
      <c r="X24" s="138">
        <v>3</v>
      </c>
      <c r="Y24" s="138">
        <v>11</v>
      </c>
      <c r="Z24" s="138">
        <v>70</v>
      </c>
      <c r="AA24" s="138"/>
      <c r="AB24" s="138">
        <v>6</v>
      </c>
      <c r="AC24" s="138">
        <v>12</v>
      </c>
      <c r="AD24" s="138">
        <v>1</v>
      </c>
      <c r="AE24" s="138">
        <v>2</v>
      </c>
      <c r="AF24" s="138">
        <v>2</v>
      </c>
      <c r="AG24" s="138">
        <v>10</v>
      </c>
      <c r="AH24" s="139">
        <f t="shared" si="0"/>
        <v>1946</v>
      </c>
    </row>
    <row r="25" spans="1:34" ht="24.75" customHeight="1">
      <c r="A25" s="140">
        <v>22</v>
      </c>
      <c r="B25" s="137" t="s">
        <v>34</v>
      </c>
      <c r="C25" s="138">
        <v>2744</v>
      </c>
      <c r="D25" s="138">
        <v>106</v>
      </c>
      <c r="E25" s="138">
        <v>57</v>
      </c>
      <c r="F25" s="138">
        <v>120</v>
      </c>
      <c r="G25" s="138">
        <v>65</v>
      </c>
      <c r="H25" s="138">
        <v>34</v>
      </c>
      <c r="I25" s="138">
        <v>172</v>
      </c>
      <c r="J25" s="138">
        <v>345</v>
      </c>
      <c r="K25" s="138">
        <v>23</v>
      </c>
      <c r="L25" s="138">
        <v>4</v>
      </c>
      <c r="M25" s="138">
        <v>11</v>
      </c>
      <c r="N25" s="138">
        <v>14</v>
      </c>
      <c r="O25" s="138">
        <v>5</v>
      </c>
      <c r="P25" s="138">
        <v>87</v>
      </c>
      <c r="Q25" s="138">
        <v>98</v>
      </c>
      <c r="R25" s="138">
        <v>38</v>
      </c>
      <c r="S25" s="138">
        <v>54</v>
      </c>
      <c r="T25" s="138">
        <v>25</v>
      </c>
      <c r="U25" s="138">
        <v>37</v>
      </c>
      <c r="V25" s="138">
        <v>26</v>
      </c>
      <c r="W25" s="138">
        <v>80</v>
      </c>
      <c r="X25" s="138"/>
      <c r="Y25" s="138">
        <v>3</v>
      </c>
      <c r="Z25" s="138">
        <v>144</v>
      </c>
      <c r="AA25" s="138">
        <v>28</v>
      </c>
      <c r="AB25" s="138">
        <v>3</v>
      </c>
      <c r="AC25" s="138">
        <v>52</v>
      </c>
      <c r="AD25" s="138">
        <v>36</v>
      </c>
      <c r="AE25" s="138">
        <v>16</v>
      </c>
      <c r="AF25" s="138">
        <v>7</v>
      </c>
      <c r="AG25" s="138">
        <v>60</v>
      </c>
      <c r="AH25" s="139">
        <f t="shared" si="0"/>
        <v>4494</v>
      </c>
    </row>
    <row r="26" spans="1:34" ht="24.75" customHeight="1">
      <c r="A26" s="140">
        <v>23</v>
      </c>
      <c r="B26" s="137" t="s">
        <v>35</v>
      </c>
      <c r="C26" s="138">
        <v>68</v>
      </c>
      <c r="D26" s="138">
        <v>4</v>
      </c>
      <c r="E26" s="138"/>
      <c r="F26" s="138">
        <v>1</v>
      </c>
      <c r="G26" s="138"/>
      <c r="H26" s="138"/>
      <c r="I26" s="138">
        <v>9</v>
      </c>
      <c r="J26" s="138">
        <v>4</v>
      </c>
      <c r="K26" s="138">
        <v>1</v>
      </c>
      <c r="L26" s="138"/>
      <c r="M26" s="138"/>
      <c r="N26" s="138"/>
      <c r="O26" s="138"/>
      <c r="P26" s="138">
        <v>1</v>
      </c>
      <c r="Q26" s="138">
        <v>2</v>
      </c>
      <c r="R26" s="138"/>
      <c r="S26" s="138"/>
      <c r="T26" s="138">
        <v>1</v>
      </c>
      <c r="U26" s="138"/>
      <c r="V26" s="138">
        <v>2</v>
      </c>
      <c r="W26" s="138">
        <v>5</v>
      </c>
      <c r="X26" s="138"/>
      <c r="Y26" s="138"/>
      <c r="Z26" s="138"/>
      <c r="AA26" s="138"/>
      <c r="AB26" s="138"/>
      <c r="AC26" s="138">
        <v>1</v>
      </c>
      <c r="AD26" s="138">
        <v>1</v>
      </c>
      <c r="AE26" s="138"/>
      <c r="AF26" s="138"/>
      <c r="AG26" s="138">
        <v>1</v>
      </c>
      <c r="AH26" s="139">
        <f t="shared" si="0"/>
        <v>101</v>
      </c>
    </row>
    <row r="27" spans="1:34" ht="24.75" customHeight="1">
      <c r="A27" s="140">
        <v>24</v>
      </c>
      <c r="B27" s="137" t="s">
        <v>36</v>
      </c>
      <c r="C27" s="138">
        <v>41</v>
      </c>
      <c r="D27" s="138">
        <v>1</v>
      </c>
      <c r="E27" s="138"/>
      <c r="F27" s="138">
        <v>6</v>
      </c>
      <c r="G27" s="138">
        <v>1</v>
      </c>
      <c r="H27" s="138"/>
      <c r="I27" s="138">
        <v>3</v>
      </c>
      <c r="J27" s="138">
        <v>2</v>
      </c>
      <c r="K27" s="138"/>
      <c r="L27" s="138"/>
      <c r="M27" s="138"/>
      <c r="N27" s="138"/>
      <c r="O27" s="138"/>
      <c r="P27" s="138">
        <v>1</v>
      </c>
      <c r="Q27" s="138"/>
      <c r="R27" s="138"/>
      <c r="S27" s="138"/>
      <c r="T27" s="138"/>
      <c r="U27" s="138"/>
      <c r="V27" s="138"/>
      <c r="W27" s="138">
        <v>1</v>
      </c>
      <c r="X27" s="138"/>
      <c r="Y27" s="138"/>
      <c r="Z27" s="138"/>
      <c r="AA27" s="138"/>
      <c r="AB27" s="138"/>
      <c r="AC27" s="138">
        <v>1</v>
      </c>
      <c r="AD27" s="138"/>
      <c r="AE27" s="138"/>
      <c r="AF27" s="138"/>
      <c r="AG27" s="138"/>
      <c r="AH27" s="139">
        <f t="shared" si="0"/>
        <v>57</v>
      </c>
    </row>
    <row r="28" spans="1:34" ht="24.75" customHeight="1">
      <c r="A28" s="140">
        <v>25</v>
      </c>
      <c r="B28" s="137" t="s">
        <v>37</v>
      </c>
      <c r="C28" s="138">
        <v>26</v>
      </c>
      <c r="D28" s="138">
        <v>1</v>
      </c>
      <c r="E28" s="138"/>
      <c r="F28" s="138"/>
      <c r="G28" s="138"/>
      <c r="H28" s="138"/>
      <c r="I28" s="138">
        <v>1</v>
      </c>
      <c r="J28" s="138">
        <v>1</v>
      </c>
      <c r="K28" s="138"/>
      <c r="L28" s="138"/>
      <c r="M28" s="138"/>
      <c r="N28" s="138"/>
      <c r="O28" s="138"/>
      <c r="P28" s="138">
        <v>1</v>
      </c>
      <c r="Q28" s="138"/>
      <c r="R28" s="138">
        <v>1</v>
      </c>
      <c r="S28" s="138"/>
      <c r="T28" s="138"/>
      <c r="U28" s="138"/>
      <c r="V28" s="138"/>
      <c r="W28" s="138">
        <v>1</v>
      </c>
      <c r="X28" s="138"/>
      <c r="Y28" s="138">
        <v>1</v>
      </c>
      <c r="Z28" s="138"/>
      <c r="AA28" s="138"/>
      <c r="AB28" s="138"/>
      <c r="AC28" s="138"/>
      <c r="AD28" s="138">
        <v>1</v>
      </c>
      <c r="AE28" s="138"/>
      <c r="AF28" s="138">
        <v>1</v>
      </c>
      <c r="AG28" s="138"/>
      <c r="AH28" s="139">
        <f t="shared" si="0"/>
        <v>35</v>
      </c>
    </row>
    <row r="29" spans="1:34" ht="24.75" customHeight="1">
      <c r="A29" s="140">
        <v>26</v>
      </c>
      <c r="B29" s="137" t="s">
        <v>38</v>
      </c>
      <c r="C29" s="138">
        <v>52</v>
      </c>
      <c r="D29" s="138"/>
      <c r="E29" s="138"/>
      <c r="F29" s="138">
        <v>2</v>
      </c>
      <c r="G29" s="138"/>
      <c r="H29" s="138"/>
      <c r="I29" s="138">
        <v>6</v>
      </c>
      <c r="J29" s="138">
        <v>1</v>
      </c>
      <c r="K29" s="138"/>
      <c r="L29" s="138"/>
      <c r="M29" s="138"/>
      <c r="N29" s="138"/>
      <c r="O29" s="138"/>
      <c r="P29" s="138">
        <v>3</v>
      </c>
      <c r="Q29" s="138"/>
      <c r="R29" s="138"/>
      <c r="S29" s="138"/>
      <c r="T29" s="138"/>
      <c r="U29" s="138"/>
      <c r="V29" s="138"/>
      <c r="W29" s="138">
        <v>1</v>
      </c>
      <c r="X29" s="138"/>
      <c r="Y29" s="138"/>
      <c r="Z29" s="138"/>
      <c r="AA29" s="138"/>
      <c r="AB29" s="138"/>
      <c r="AC29" s="138"/>
      <c r="AD29" s="138"/>
      <c r="AE29" s="138"/>
      <c r="AF29" s="138"/>
      <c r="AG29" s="138">
        <v>1</v>
      </c>
      <c r="AH29" s="139">
        <f t="shared" si="0"/>
        <v>66</v>
      </c>
    </row>
    <row r="30" spans="1:34" ht="24.75" customHeight="1">
      <c r="A30" s="140">
        <v>27</v>
      </c>
      <c r="B30" s="137" t="s">
        <v>39</v>
      </c>
      <c r="C30" s="138">
        <v>724</v>
      </c>
      <c r="D30" s="138"/>
      <c r="E30" s="138">
        <v>2</v>
      </c>
      <c r="F30" s="138">
        <v>48</v>
      </c>
      <c r="G30" s="138">
        <v>1</v>
      </c>
      <c r="H30" s="138">
        <v>9</v>
      </c>
      <c r="I30" s="138">
        <v>19</v>
      </c>
      <c r="J30" s="138">
        <v>79</v>
      </c>
      <c r="K30" s="138">
        <v>5</v>
      </c>
      <c r="L30" s="138"/>
      <c r="M30" s="138"/>
      <c r="N30" s="138">
        <v>10</v>
      </c>
      <c r="O30" s="138">
        <v>1</v>
      </c>
      <c r="P30" s="138">
        <v>17</v>
      </c>
      <c r="Q30" s="138">
        <v>27</v>
      </c>
      <c r="R30" s="138">
        <v>4</v>
      </c>
      <c r="S30" s="138">
        <v>3</v>
      </c>
      <c r="T30" s="138">
        <v>2</v>
      </c>
      <c r="U30" s="138">
        <v>5</v>
      </c>
      <c r="V30" s="138">
        <v>4</v>
      </c>
      <c r="W30" s="138">
        <v>12</v>
      </c>
      <c r="X30" s="138">
        <v>4</v>
      </c>
      <c r="Y30" s="138">
        <v>1</v>
      </c>
      <c r="Z30" s="138">
        <v>14</v>
      </c>
      <c r="AA30" s="138">
        <v>3</v>
      </c>
      <c r="AB30" s="138">
        <v>51</v>
      </c>
      <c r="AC30" s="138">
        <v>8</v>
      </c>
      <c r="AD30" s="138">
        <v>2</v>
      </c>
      <c r="AE30" s="138">
        <v>2</v>
      </c>
      <c r="AF30" s="138"/>
      <c r="AG30" s="138">
        <v>20</v>
      </c>
      <c r="AH30" s="139">
        <f t="shared" si="0"/>
        <v>1077</v>
      </c>
    </row>
    <row r="31" spans="1:34" ht="24.75" customHeight="1">
      <c r="A31" s="140">
        <v>28</v>
      </c>
      <c r="B31" s="137" t="s">
        <v>40</v>
      </c>
      <c r="C31" s="138">
        <v>21</v>
      </c>
      <c r="D31" s="138">
        <v>1</v>
      </c>
      <c r="E31" s="138"/>
      <c r="F31" s="138"/>
      <c r="G31" s="138"/>
      <c r="H31" s="138"/>
      <c r="I31" s="138">
        <v>14</v>
      </c>
      <c r="J31" s="138">
        <v>12</v>
      </c>
      <c r="K31" s="138">
        <v>1</v>
      </c>
      <c r="L31" s="138"/>
      <c r="M31" s="138"/>
      <c r="N31" s="138"/>
      <c r="O31" s="138"/>
      <c r="P31" s="138">
        <v>1</v>
      </c>
      <c r="Q31" s="138"/>
      <c r="R31" s="138">
        <v>4</v>
      </c>
      <c r="S31" s="138">
        <v>1</v>
      </c>
      <c r="T31" s="138">
        <v>2</v>
      </c>
      <c r="U31" s="138"/>
      <c r="V31" s="138">
        <v>1</v>
      </c>
      <c r="W31" s="138">
        <v>4</v>
      </c>
      <c r="X31" s="138"/>
      <c r="Y31" s="138">
        <v>3</v>
      </c>
      <c r="Z31" s="138">
        <v>1</v>
      </c>
      <c r="AA31" s="138"/>
      <c r="AB31" s="138"/>
      <c r="AC31" s="138"/>
      <c r="AD31" s="138"/>
      <c r="AE31" s="138"/>
      <c r="AF31" s="138">
        <v>1</v>
      </c>
      <c r="AG31" s="138">
        <v>2</v>
      </c>
      <c r="AH31" s="139">
        <f t="shared" si="0"/>
        <v>69</v>
      </c>
    </row>
    <row r="32" spans="1:34" ht="24.75" customHeight="1">
      <c r="A32" s="140">
        <v>29</v>
      </c>
      <c r="B32" s="137" t="s">
        <v>41</v>
      </c>
      <c r="C32" s="138">
        <v>463</v>
      </c>
      <c r="D32" s="138">
        <v>1</v>
      </c>
      <c r="E32" s="138">
        <v>2</v>
      </c>
      <c r="F32" s="138">
        <v>19</v>
      </c>
      <c r="G32" s="138">
        <v>5</v>
      </c>
      <c r="H32" s="138">
        <v>19</v>
      </c>
      <c r="I32" s="138">
        <v>161</v>
      </c>
      <c r="J32" s="138">
        <v>84</v>
      </c>
      <c r="K32" s="138">
        <v>1</v>
      </c>
      <c r="L32" s="138"/>
      <c r="M32" s="138"/>
      <c r="N32" s="138">
        <v>9</v>
      </c>
      <c r="O32" s="138"/>
      <c r="P32" s="138">
        <v>14</v>
      </c>
      <c r="Q32" s="138">
        <v>40</v>
      </c>
      <c r="R32" s="138">
        <v>5</v>
      </c>
      <c r="S32" s="138">
        <v>15</v>
      </c>
      <c r="T32" s="138">
        <v>12</v>
      </c>
      <c r="U32" s="138">
        <v>4</v>
      </c>
      <c r="V32" s="138">
        <v>2</v>
      </c>
      <c r="W32" s="138">
        <v>84</v>
      </c>
      <c r="X32" s="138"/>
      <c r="Y32" s="138">
        <v>2</v>
      </c>
      <c r="Z32" s="138">
        <v>30</v>
      </c>
      <c r="AA32" s="138">
        <v>4</v>
      </c>
      <c r="AB32" s="138"/>
      <c r="AC32" s="138">
        <v>2</v>
      </c>
      <c r="AD32" s="138"/>
      <c r="AE32" s="138">
        <v>9</v>
      </c>
      <c r="AF32" s="138">
        <v>2</v>
      </c>
      <c r="AG32" s="138">
        <v>17</v>
      </c>
      <c r="AH32" s="139">
        <f t="shared" si="0"/>
        <v>1006</v>
      </c>
    </row>
    <row r="33" spans="1:34" ht="24.75" customHeight="1">
      <c r="A33" s="140">
        <v>30</v>
      </c>
      <c r="B33" s="137" t="s">
        <v>42</v>
      </c>
      <c r="C33" s="138">
        <v>2137</v>
      </c>
      <c r="D33" s="138">
        <v>23</v>
      </c>
      <c r="E33" s="138">
        <v>3</v>
      </c>
      <c r="F33" s="138">
        <v>115</v>
      </c>
      <c r="G33" s="138">
        <v>4</v>
      </c>
      <c r="H33" s="138">
        <v>6</v>
      </c>
      <c r="I33" s="138">
        <v>358</v>
      </c>
      <c r="J33" s="138">
        <v>79</v>
      </c>
      <c r="K33" s="138">
        <v>2</v>
      </c>
      <c r="L33" s="138"/>
      <c r="M33" s="138">
        <v>1</v>
      </c>
      <c r="N33" s="138">
        <v>1</v>
      </c>
      <c r="O33" s="138"/>
      <c r="P33" s="138">
        <v>45</v>
      </c>
      <c r="Q33" s="138">
        <v>9</v>
      </c>
      <c r="R33" s="138">
        <v>9</v>
      </c>
      <c r="S33" s="138">
        <v>15</v>
      </c>
      <c r="T33" s="138">
        <v>6</v>
      </c>
      <c r="U33" s="138">
        <v>5</v>
      </c>
      <c r="V33" s="138">
        <v>7</v>
      </c>
      <c r="W33" s="138">
        <v>120</v>
      </c>
      <c r="X33" s="138"/>
      <c r="Y33" s="138">
        <v>1</v>
      </c>
      <c r="Z33" s="138">
        <v>61</v>
      </c>
      <c r="AA33" s="138">
        <v>6</v>
      </c>
      <c r="AB33" s="138">
        <v>45</v>
      </c>
      <c r="AC33" s="138">
        <v>13</v>
      </c>
      <c r="AD33" s="138"/>
      <c r="AE33" s="138">
        <v>6</v>
      </c>
      <c r="AF33" s="138">
        <v>9</v>
      </c>
      <c r="AG33" s="138">
        <v>15</v>
      </c>
      <c r="AH33" s="139">
        <f t="shared" si="0"/>
        <v>3101</v>
      </c>
    </row>
    <row r="34" spans="1:34" ht="24.75" customHeight="1">
      <c r="A34" s="140">
        <v>31</v>
      </c>
      <c r="B34" s="137" t="s">
        <v>43</v>
      </c>
      <c r="C34" s="138">
        <v>10</v>
      </c>
      <c r="D34" s="138"/>
      <c r="E34" s="138"/>
      <c r="F34" s="138"/>
      <c r="G34" s="138"/>
      <c r="H34" s="138"/>
      <c r="I34" s="138">
        <v>3</v>
      </c>
      <c r="J34" s="138">
        <v>2</v>
      </c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>
        <v>1</v>
      </c>
      <c r="X34" s="138"/>
      <c r="Y34" s="138"/>
      <c r="Z34" s="138">
        <v>1</v>
      </c>
      <c r="AA34" s="138"/>
      <c r="AB34" s="138">
        <v>1</v>
      </c>
      <c r="AC34" s="138">
        <v>1</v>
      </c>
      <c r="AD34" s="138"/>
      <c r="AE34" s="138"/>
      <c r="AF34" s="138"/>
      <c r="AG34" s="138"/>
      <c r="AH34" s="139">
        <f t="shared" si="0"/>
        <v>19</v>
      </c>
    </row>
    <row r="35" spans="1:34" ht="24.75" customHeight="1">
      <c r="A35" s="140">
        <v>32</v>
      </c>
      <c r="B35" s="137" t="s">
        <v>44</v>
      </c>
      <c r="C35" s="138">
        <v>1285</v>
      </c>
      <c r="D35" s="138">
        <v>34</v>
      </c>
      <c r="E35" s="138">
        <v>36</v>
      </c>
      <c r="F35" s="138">
        <v>59</v>
      </c>
      <c r="G35" s="138">
        <v>1</v>
      </c>
      <c r="H35" s="138">
        <v>6</v>
      </c>
      <c r="I35" s="138">
        <v>200</v>
      </c>
      <c r="J35" s="138">
        <v>455</v>
      </c>
      <c r="K35" s="138">
        <v>5</v>
      </c>
      <c r="L35" s="138">
        <v>6</v>
      </c>
      <c r="M35" s="138">
        <v>1</v>
      </c>
      <c r="N35" s="138"/>
      <c r="O35" s="138"/>
      <c r="P35" s="138">
        <v>12</v>
      </c>
      <c r="Q35" s="138">
        <v>44</v>
      </c>
      <c r="R35" s="138">
        <v>42</v>
      </c>
      <c r="S35" s="138">
        <v>6</v>
      </c>
      <c r="T35" s="138">
        <v>15</v>
      </c>
      <c r="U35" s="138">
        <v>10</v>
      </c>
      <c r="V35" s="138">
        <v>74</v>
      </c>
      <c r="W35" s="138">
        <v>132</v>
      </c>
      <c r="X35" s="138">
        <v>2</v>
      </c>
      <c r="Y35" s="138">
        <v>36</v>
      </c>
      <c r="Z35" s="138">
        <v>35</v>
      </c>
      <c r="AA35" s="138">
        <v>20</v>
      </c>
      <c r="AB35" s="138">
        <v>1</v>
      </c>
      <c r="AC35" s="138">
        <v>12</v>
      </c>
      <c r="AD35" s="138">
        <v>1</v>
      </c>
      <c r="AE35" s="138">
        <v>18</v>
      </c>
      <c r="AF35" s="138">
        <v>4</v>
      </c>
      <c r="AG35" s="138">
        <v>56</v>
      </c>
      <c r="AH35" s="139">
        <f t="shared" si="0"/>
        <v>2608</v>
      </c>
    </row>
    <row r="36" spans="1:34" ht="24.75" customHeight="1">
      <c r="A36" s="140">
        <v>33</v>
      </c>
      <c r="B36" s="137" t="s">
        <v>134</v>
      </c>
      <c r="C36" s="138">
        <v>1431</v>
      </c>
      <c r="D36" s="138"/>
      <c r="E36" s="138">
        <v>8</v>
      </c>
      <c r="F36" s="138">
        <v>4</v>
      </c>
      <c r="G36" s="138">
        <v>16</v>
      </c>
      <c r="H36" s="138">
        <v>1</v>
      </c>
      <c r="I36" s="138">
        <v>62</v>
      </c>
      <c r="J36" s="138">
        <v>191</v>
      </c>
      <c r="K36" s="138">
        <v>2</v>
      </c>
      <c r="L36" s="138"/>
      <c r="M36" s="138"/>
      <c r="N36" s="138">
        <v>19</v>
      </c>
      <c r="O36" s="138">
        <v>1</v>
      </c>
      <c r="P36" s="138">
        <v>11</v>
      </c>
      <c r="Q36" s="138">
        <v>61</v>
      </c>
      <c r="R36" s="138">
        <v>22</v>
      </c>
      <c r="S36" s="138">
        <v>3</v>
      </c>
      <c r="T36" s="138">
        <v>11</v>
      </c>
      <c r="U36" s="138">
        <v>4</v>
      </c>
      <c r="V36" s="138">
        <v>18</v>
      </c>
      <c r="W36" s="138">
        <v>44</v>
      </c>
      <c r="X36" s="138">
        <v>7</v>
      </c>
      <c r="Y36" s="138">
        <v>10</v>
      </c>
      <c r="Z36" s="138">
        <v>81</v>
      </c>
      <c r="AA36" s="138">
        <v>17</v>
      </c>
      <c r="AB36" s="138"/>
      <c r="AC36" s="138">
        <v>4</v>
      </c>
      <c r="AD36" s="138">
        <v>1</v>
      </c>
      <c r="AE36" s="138">
        <v>4</v>
      </c>
      <c r="AF36" s="138"/>
      <c r="AG36" s="138">
        <v>9</v>
      </c>
      <c r="AH36" s="139">
        <f t="shared" si="0"/>
        <v>2042</v>
      </c>
    </row>
    <row r="37" spans="1:34" ht="24.75" customHeight="1">
      <c r="A37" s="140">
        <v>34</v>
      </c>
      <c r="B37" s="137" t="s">
        <v>45</v>
      </c>
      <c r="C37" s="138">
        <v>26</v>
      </c>
      <c r="D37" s="138">
        <v>1</v>
      </c>
      <c r="E37" s="138"/>
      <c r="F37" s="138"/>
      <c r="G37" s="138"/>
      <c r="H37" s="138"/>
      <c r="I37" s="138">
        <v>2</v>
      </c>
      <c r="J37" s="138">
        <v>9</v>
      </c>
      <c r="K37" s="138">
        <v>1</v>
      </c>
      <c r="L37" s="138">
        <v>1</v>
      </c>
      <c r="M37" s="138"/>
      <c r="N37" s="138"/>
      <c r="O37" s="138"/>
      <c r="P37" s="138">
        <v>1</v>
      </c>
      <c r="Q37" s="138"/>
      <c r="R37" s="138">
        <v>2</v>
      </c>
      <c r="S37" s="138"/>
      <c r="T37" s="138"/>
      <c r="U37" s="138"/>
      <c r="V37" s="138"/>
      <c r="W37" s="138">
        <v>3</v>
      </c>
      <c r="X37" s="138"/>
      <c r="Y37" s="138">
        <v>1</v>
      </c>
      <c r="Z37" s="138">
        <v>2</v>
      </c>
      <c r="AA37" s="138"/>
      <c r="AB37" s="138"/>
      <c r="AC37" s="138"/>
      <c r="AD37" s="138"/>
      <c r="AE37" s="138">
        <v>1</v>
      </c>
      <c r="AF37" s="138">
        <v>1</v>
      </c>
      <c r="AG37" s="138">
        <v>2</v>
      </c>
      <c r="AH37" s="139">
        <f t="shared" si="0"/>
        <v>53</v>
      </c>
    </row>
    <row r="38" spans="1:34" ht="24.75" customHeight="1">
      <c r="A38" s="140">
        <v>35</v>
      </c>
      <c r="B38" s="137" t="s">
        <v>47</v>
      </c>
      <c r="C38" s="138">
        <v>5573</v>
      </c>
      <c r="D38" s="138">
        <v>13</v>
      </c>
      <c r="E38" s="138">
        <v>7</v>
      </c>
      <c r="F38" s="138">
        <v>200</v>
      </c>
      <c r="G38" s="138">
        <v>3</v>
      </c>
      <c r="H38" s="138">
        <v>7</v>
      </c>
      <c r="I38" s="138">
        <v>198</v>
      </c>
      <c r="J38" s="138">
        <v>158</v>
      </c>
      <c r="K38" s="138">
        <v>5</v>
      </c>
      <c r="L38" s="138"/>
      <c r="M38" s="138">
        <v>1</v>
      </c>
      <c r="N38" s="138">
        <v>3</v>
      </c>
      <c r="O38" s="138">
        <v>1</v>
      </c>
      <c r="P38" s="138">
        <v>134</v>
      </c>
      <c r="Q38" s="138">
        <v>83</v>
      </c>
      <c r="R38" s="138">
        <v>15</v>
      </c>
      <c r="S38" s="138">
        <v>23</v>
      </c>
      <c r="T38" s="138">
        <v>15</v>
      </c>
      <c r="U38" s="138">
        <v>8</v>
      </c>
      <c r="V38" s="138">
        <v>16</v>
      </c>
      <c r="W38" s="138">
        <v>22</v>
      </c>
      <c r="X38" s="138">
        <v>28</v>
      </c>
      <c r="Y38" s="138">
        <v>3</v>
      </c>
      <c r="Z38" s="138">
        <v>95</v>
      </c>
      <c r="AA38" s="138">
        <v>1</v>
      </c>
      <c r="AB38" s="138">
        <v>225</v>
      </c>
      <c r="AC38" s="138">
        <v>24</v>
      </c>
      <c r="AD38" s="138"/>
      <c r="AE38" s="138">
        <v>4</v>
      </c>
      <c r="AF38" s="138"/>
      <c r="AG38" s="138">
        <v>23</v>
      </c>
      <c r="AH38" s="139">
        <f t="shared" si="0"/>
        <v>6888</v>
      </c>
    </row>
    <row r="39" spans="1:34" ht="24.75" customHeight="1">
      <c r="A39" s="140">
        <v>36</v>
      </c>
      <c r="B39" s="137" t="s">
        <v>46</v>
      </c>
      <c r="C39" s="138">
        <v>245</v>
      </c>
      <c r="D39" s="138">
        <v>4</v>
      </c>
      <c r="E39" s="138">
        <v>1</v>
      </c>
      <c r="F39" s="138">
        <v>5</v>
      </c>
      <c r="G39" s="138"/>
      <c r="H39" s="138">
        <v>2</v>
      </c>
      <c r="I39" s="138">
        <v>21</v>
      </c>
      <c r="J39" s="138">
        <v>18</v>
      </c>
      <c r="K39" s="138"/>
      <c r="L39" s="138">
        <v>1</v>
      </c>
      <c r="M39" s="138">
        <v>1</v>
      </c>
      <c r="N39" s="138">
        <v>4</v>
      </c>
      <c r="O39" s="138"/>
      <c r="P39" s="138">
        <v>7</v>
      </c>
      <c r="Q39" s="138">
        <v>10</v>
      </c>
      <c r="R39" s="138">
        <v>2</v>
      </c>
      <c r="S39" s="138">
        <v>10</v>
      </c>
      <c r="T39" s="138">
        <v>2</v>
      </c>
      <c r="U39" s="138"/>
      <c r="V39" s="138">
        <v>5</v>
      </c>
      <c r="W39" s="138">
        <v>10</v>
      </c>
      <c r="X39" s="138">
        <v>4</v>
      </c>
      <c r="Y39" s="138">
        <v>4</v>
      </c>
      <c r="Z39" s="138">
        <v>12</v>
      </c>
      <c r="AA39" s="138"/>
      <c r="AB39" s="138">
        <v>28</v>
      </c>
      <c r="AC39" s="138">
        <v>2</v>
      </c>
      <c r="AD39" s="138"/>
      <c r="AE39" s="138">
        <v>3</v>
      </c>
      <c r="AF39" s="138">
        <v>1</v>
      </c>
      <c r="AG39" s="138">
        <v>2</v>
      </c>
      <c r="AH39" s="139">
        <f t="shared" si="0"/>
        <v>404</v>
      </c>
    </row>
    <row r="40" spans="1:34" ht="24.75" customHeight="1">
      <c r="A40" s="140">
        <v>37</v>
      </c>
      <c r="B40" s="137" t="s">
        <v>48</v>
      </c>
      <c r="C40" s="139">
        <v>757</v>
      </c>
      <c r="D40" s="139"/>
      <c r="E40" s="139"/>
      <c r="F40" s="139">
        <v>10</v>
      </c>
      <c r="G40" s="139">
        <v>1</v>
      </c>
      <c r="H40" s="139">
        <v>8</v>
      </c>
      <c r="I40" s="139">
        <v>360</v>
      </c>
      <c r="J40" s="139">
        <v>80</v>
      </c>
      <c r="K40" s="139">
        <v>7</v>
      </c>
      <c r="L40" s="139">
        <v>1</v>
      </c>
      <c r="M40" s="139"/>
      <c r="N40" s="139">
        <v>5</v>
      </c>
      <c r="O40" s="139"/>
      <c r="P40" s="139">
        <v>26</v>
      </c>
      <c r="Q40" s="139">
        <v>32</v>
      </c>
      <c r="R40" s="139">
        <v>27</v>
      </c>
      <c r="S40" s="139">
        <v>4</v>
      </c>
      <c r="T40" s="139">
        <v>5</v>
      </c>
      <c r="U40" s="139">
        <v>11</v>
      </c>
      <c r="V40" s="139">
        <v>10</v>
      </c>
      <c r="W40" s="139">
        <v>22</v>
      </c>
      <c r="X40" s="139"/>
      <c r="Y40" s="139">
        <v>4</v>
      </c>
      <c r="Z40" s="139">
        <v>13</v>
      </c>
      <c r="AA40" s="139">
        <v>3</v>
      </c>
      <c r="AB40" s="139">
        <v>2</v>
      </c>
      <c r="AC40" s="139">
        <v>1</v>
      </c>
      <c r="AD40" s="139"/>
      <c r="AE40" s="139">
        <v>2</v>
      </c>
      <c r="AF40" s="139"/>
      <c r="AG40" s="139">
        <v>18</v>
      </c>
      <c r="AH40" s="139">
        <f t="shared" si="0"/>
        <v>1409</v>
      </c>
    </row>
    <row r="41" spans="1:34" s="142" customFormat="1" ht="24.75" customHeight="1">
      <c r="A41" s="764" t="s">
        <v>49</v>
      </c>
      <c r="B41" s="764"/>
      <c r="C41" s="141">
        <f>SUM(C4:C40)</f>
        <v>25511</v>
      </c>
      <c r="D41" s="141">
        <f t="shared" ref="D41:AH41" si="1">SUM(D4:D40)</f>
        <v>328</v>
      </c>
      <c r="E41" s="141">
        <f t="shared" si="1"/>
        <v>186</v>
      </c>
      <c r="F41" s="141">
        <f t="shared" si="1"/>
        <v>897</v>
      </c>
      <c r="G41" s="141">
        <f t="shared" si="1"/>
        <v>330</v>
      </c>
      <c r="H41" s="141">
        <f t="shared" si="1"/>
        <v>256</v>
      </c>
      <c r="I41" s="141">
        <f t="shared" si="1"/>
        <v>3015</v>
      </c>
      <c r="J41" s="141">
        <f t="shared" si="1"/>
        <v>2678</v>
      </c>
      <c r="K41" s="141">
        <f t="shared" si="1"/>
        <v>104</v>
      </c>
      <c r="L41" s="141">
        <f t="shared" si="1"/>
        <v>21</v>
      </c>
      <c r="M41" s="141">
        <f t="shared" si="1"/>
        <v>26</v>
      </c>
      <c r="N41" s="141">
        <f t="shared" si="1"/>
        <v>99</v>
      </c>
      <c r="O41" s="141">
        <f t="shared" si="1"/>
        <v>12</v>
      </c>
      <c r="P41" s="141">
        <f t="shared" si="1"/>
        <v>626</v>
      </c>
      <c r="Q41" s="141">
        <f t="shared" si="1"/>
        <v>702</v>
      </c>
      <c r="R41" s="141">
        <f t="shared" si="1"/>
        <v>315</v>
      </c>
      <c r="S41" s="141">
        <f t="shared" si="1"/>
        <v>272</v>
      </c>
      <c r="T41" s="141">
        <f t="shared" si="1"/>
        <v>212</v>
      </c>
      <c r="U41" s="141">
        <f t="shared" si="1"/>
        <v>158</v>
      </c>
      <c r="V41" s="141">
        <f t="shared" si="1"/>
        <v>274</v>
      </c>
      <c r="W41" s="141">
        <f t="shared" si="1"/>
        <v>1266</v>
      </c>
      <c r="X41" s="141">
        <f t="shared" si="1"/>
        <v>65</v>
      </c>
      <c r="Y41" s="141">
        <f t="shared" si="1"/>
        <v>161</v>
      </c>
      <c r="Z41" s="141">
        <f t="shared" si="1"/>
        <v>848</v>
      </c>
      <c r="AA41" s="141">
        <f t="shared" si="1"/>
        <v>188</v>
      </c>
      <c r="AB41" s="141">
        <f t="shared" si="1"/>
        <v>486</v>
      </c>
      <c r="AC41" s="141">
        <f t="shared" si="1"/>
        <v>277</v>
      </c>
      <c r="AD41" s="141">
        <f t="shared" si="1"/>
        <v>63</v>
      </c>
      <c r="AE41" s="141">
        <f t="shared" si="1"/>
        <v>110</v>
      </c>
      <c r="AF41" s="141">
        <f t="shared" si="1"/>
        <v>63</v>
      </c>
      <c r="AG41" s="141">
        <f t="shared" si="1"/>
        <v>406</v>
      </c>
      <c r="AH41" s="141">
        <f t="shared" si="1"/>
        <v>39955</v>
      </c>
    </row>
  </sheetData>
  <mergeCells count="5">
    <mergeCell ref="C1:M1"/>
    <mergeCell ref="N1:W1"/>
    <mergeCell ref="X1:AH1"/>
    <mergeCell ref="A1:B1"/>
    <mergeCell ref="A41:B41"/>
  </mergeCells>
  <pageMargins left="0.90551181102362199" right="0.27559055118110198" top="0.74803149606299202" bottom="0.47244094488188998" header="0.31496062992126" footer="0.15748031496063"/>
  <pageSetup paperSize="9" scale="71" firstPageNumber="6" orientation="portrait" useFirstPageNumber="1" r:id="rId1"/>
  <headerFooter>
    <oddFooter>&amp;LAISHE 2019-20&amp;CT-4a</oddFooter>
  </headerFooter>
  <colBreaks count="2" manualBreakCount="2">
    <brk id="13" max="38" man="1"/>
    <brk id="23" max="38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</sheetPr>
  <dimension ref="A1:T42"/>
  <sheetViews>
    <sheetView showZeros="0" view="pageBreakPreview" zoomScaleSheetLayoutView="100" workbookViewId="0">
      <pane xSplit="2" ySplit="4" topLeftCell="L20" activePane="bottomRight" state="frozen"/>
      <selection activeCell="B4" sqref="B4"/>
      <selection pane="topRight" activeCell="B4" sqref="B4"/>
      <selection pane="bottomLeft" activeCell="B4" sqref="B4"/>
      <selection pane="bottomRight" activeCell="C1" sqref="C1:G1"/>
    </sheetView>
  </sheetViews>
  <sheetFormatPr defaultColWidth="9.140625" defaultRowHeight="14.25"/>
  <cols>
    <col min="1" max="1" width="6.42578125" style="101" bestFit="1" customWidth="1"/>
    <col min="2" max="2" width="26.42578125" style="101" customWidth="1"/>
    <col min="3" max="3" width="13.42578125" style="101" customWidth="1"/>
    <col min="4" max="5" width="11.28515625" style="101" customWidth="1"/>
    <col min="6" max="8" width="13.42578125" style="101" customWidth="1"/>
    <col min="9" max="9" width="12.42578125" style="101" customWidth="1"/>
    <col min="10" max="10" width="11.7109375" style="101" customWidth="1"/>
    <col min="11" max="12" width="13.42578125" style="101" customWidth="1"/>
    <col min="13" max="13" width="8" style="101" customWidth="1"/>
    <col min="14" max="14" width="10.28515625" style="101" customWidth="1"/>
    <col min="15" max="15" width="8" style="101" customWidth="1"/>
    <col min="16" max="16" width="10.28515625" style="101" customWidth="1"/>
    <col min="17" max="17" width="8.28515625" style="101" customWidth="1"/>
    <col min="18" max="18" width="10.140625" style="101" customWidth="1"/>
    <col min="19" max="19" width="8.28515625" style="101" customWidth="1"/>
    <col min="20" max="20" width="10.140625" style="101" customWidth="1"/>
    <col min="21" max="16384" width="9.140625" style="101"/>
  </cols>
  <sheetData>
    <row r="1" spans="1:20" s="111" customFormat="1" ht="45.75" customHeight="1">
      <c r="A1" s="769" t="s">
        <v>53</v>
      </c>
      <c r="B1" s="769"/>
      <c r="C1" s="772" t="s">
        <v>853</v>
      </c>
      <c r="D1" s="772"/>
      <c r="E1" s="772"/>
      <c r="F1" s="772"/>
      <c r="G1" s="772"/>
      <c r="H1" s="772" t="s">
        <v>905</v>
      </c>
      <c r="I1" s="772"/>
      <c r="J1" s="772"/>
      <c r="K1" s="772"/>
      <c r="L1" s="772"/>
      <c r="M1" s="772" t="s">
        <v>906</v>
      </c>
      <c r="N1" s="772"/>
      <c r="O1" s="772"/>
      <c r="P1" s="772"/>
      <c r="Q1" s="772"/>
      <c r="R1" s="772"/>
      <c r="S1" s="772"/>
      <c r="T1" s="772"/>
    </row>
    <row r="2" spans="1:20" s="143" customFormat="1" ht="21" customHeight="1">
      <c r="A2" s="770" t="s">
        <v>165</v>
      </c>
      <c r="B2" s="773" t="s">
        <v>713</v>
      </c>
      <c r="C2" s="765" t="s">
        <v>61</v>
      </c>
      <c r="D2" s="765" t="s">
        <v>62</v>
      </c>
      <c r="E2" s="765" t="s">
        <v>892</v>
      </c>
      <c r="F2" s="765" t="s">
        <v>64</v>
      </c>
      <c r="G2" s="765" t="s">
        <v>12</v>
      </c>
      <c r="H2" s="765" t="s">
        <v>61</v>
      </c>
      <c r="I2" s="765" t="s">
        <v>62</v>
      </c>
      <c r="J2" s="765" t="s">
        <v>892</v>
      </c>
      <c r="K2" s="765" t="s">
        <v>64</v>
      </c>
      <c r="L2" s="765" t="s">
        <v>12</v>
      </c>
      <c r="M2" s="767" t="s">
        <v>61</v>
      </c>
      <c r="N2" s="768"/>
      <c r="O2" s="767" t="s">
        <v>62</v>
      </c>
      <c r="P2" s="768"/>
      <c r="Q2" s="767" t="s">
        <v>64</v>
      </c>
      <c r="R2" s="768"/>
      <c r="S2" s="767" t="s">
        <v>12</v>
      </c>
      <c r="T2" s="768"/>
    </row>
    <row r="3" spans="1:20" s="143" customFormat="1" ht="21.75" customHeight="1">
      <c r="A3" s="770"/>
      <c r="B3" s="773"/>
      <c r="C3" s="766"/>
      <c r="D3" s="766"/>
      <c r="E3" s="766"/>
      <c r="F3" s="766"/>
      <c r="G3" s="766"/>
      <c r="H3" s="766"/>
      <c r="I3" s="766"/>
      <c r="J3" s="766"/>
      <c r="K3" s="766"/>
      <c r="L3" s="766"/>
      <c r="M3" s="462" t="s">
        <v>177</v>
      </c>
      <c r="N3" s="462" t="s">
        <v>105</v>
      </c>
      <c r="O3" s="462" t="s">
        <v>177</v>
      </c>
      <c r="P3" s="462" t="s">
        <v>105</v>
      </c>
      <c r="Q3" s="462" t="s">
        <v>177</v>
      </c>
      <c r="R3" s="462" t="s">
        <v>105</v>
      </c>
      <c r="S3" s="462" t="s">
        <v>177</v>
      </c>
      <c r="T3" s="462" t="s">
        <v>105</v>
      </c>
    </row>
    <row r="4" spans="1:20" s="143" customFormat="1">
      <c r="A4" s="144">
        <v>1</v>
      </c>
      <c r="B4" s="144">
        <v>2</v>
      </c>
      <c r="C4" s="144">
        <v>3</v>
      </c>
      <c r="D4" s="144">
        <v>4</v>
      </c>
      <c r="E4" s="144">
        <v>5</v>
      </c>
      <c r="F4" s="144">
        <v>6</v>
      </c>
      <c r="G4" s="144">
        <v>7</v>
      </c>
      <c r="H4" s="144">
        <v>3</v>
      </c>
      <c r="I4" s="144">
        <v>4</v>
      </c>
      <c r="J4" s="144">
        <v>5</v>
      </c>
      <c r="K4" s="144">
        <v>6</v>
      </c>
      <c r="L4" s="144">
        <v>7</v>
      </c>
      <c r="M4" s="144">
        <v>3</v>
      </c>
      <c r="N4" s="144">
        <v>4</v>
      </c>
      <c r="O4" s="144">
        <v>5</v>
      </c>
      <c r="P4" s="144">
        <v>6</v>
      </c>
      <c r="Q4" s="144">
        <v>7</v>
      </c>
      <c r="R4" s="144">
        <v>8</v>
      </c>
      <c r="S4" s="144">
        <v>9</v>
      </c>
      <c r="T4" s="144">
        <v>10</v>
      </c>
    </row>
    <row r="5" spans="1:20" s="103" customFormat="1" ht="30">
      <c r="A5" s="100">
        <v>1</v>
      </c>
      <c r="B5" s="145" t="s">
        <v>154</v>
      </c>
      <c r="C5" s="92">
        <v>0</v>
      </c>
      <c r="D5" s="92">
        <v>0</v>
      </c>
      <c r="E5" s="92">
        <f>C5+D5</f>
        <v>0</v>
      </c>
      <c r="F5" s="92">
        <v>8</v>
      </c>
      <c r="G5" s="120">
        <f>E5+F5</f>
        <v>8</v>
      </c>
      <c r="H5" s="146">
        <v>0</v>
      </c>
      <c r="I5" s="146">
        <v>0</v>
      </c>
      <c r="J5" s="146">
        <f>H5+I5</f>
        <v>0</v>
      </c>
      <c r="K5" s="146">
        <v>5908</v>
      </c>
      <c r="L5" s="147">
        <f>J5+K5</f>
        <v>5908</v>
      </c>
      <c r="M5" s="92">
        <v>0</v>
      </c>
      <c r="N5" s="92">
        <v>0</v>
      </c>
      <c r="O5" s="92">
        <v>0</v>
      </c>
      <c r="P5" s="92">
        <v>0</v>
      </c>
      <c r="Q5" s="92">
        <v>0</v>
      </c>
      <c r="R5" s="92">
        <v>0</v>
      </c>
      <c r="S5" s="92">
        <f>M5+O5+Q5</f>
        <v>0</v>
      </c>
      <c r="T5" s="92">
        <f>N5+P5+R5</f>
        <v>0</v>
      </c>
    </row>
    <row r="6" spans="1:20" s="103" customFormat="1" ht="19.5" customHeight="1">
      <c r="A6" s="100">
        <v>2</v>
      </c>
      <c r="B6" s="145" t="s">
        <v>15</v>
      </c>
      <c r="C6" s="92">
        <v>2027</v>
      </c>
      <c r="D6" s="92">
        <v>166</v>
      </c>
      <c r="E6" s="92">
        <f t="shared" ref="E6:E41" si="0">C6+D6</f>
        <v>2193</v>
      </c>
      <c r="F6" s="92">
        <v>308</v>
      </c>
      <c r="G6" s="120">
        <f t="shared" ref="G6:G41" si="1">E6+F6</f>
        <v>2501</v>
      </c>
      <c r="H6" s="146">
        <v>1046189</v>
      </c>
      <c r="I6" s="146">
        <v>143701</v>
      </c>
      <c r="J6" s="146">
        <f t="shared" ref="J6:J41" si="2">H6+I6</f>
        <v>1189890</v>
      </c>
      <c r="K6" s="146">
        <v>176975</v>
      </c>
      <c r="L6" s="147">
        <f t="shared" ref="L6:L41" si="3">J6+K6</f>
        <v>1366865</v>
      </c>
      <c r="M6" s="92">
        <v>2</v>
      </c>
      <c r="N6" s="92">
        <v>129</v>
      </c>
      <c r="O6" s="92">
        <v>0</v>
      </c>
      <c r="P6" s="92">
        <v>0</v>
      </c>
      <c r="Q6" s="92">
        <v>4</v>
      </c>
      <c r="R6" s="92">
        <v>455</v>
      </c>
      <c r="S6" s="92">
        <f t="shared" ref="S6:T41" si="4">M6+O6+Q6</f>
        <v>6</v>
      </c>
      <c r="T6" s="92">
        <f t="shared" si="4"/>
        <v>584</v>
      </c>
    </row>
    <row r="7" spans="1:20" s="103" customFormat="1" ht="19.5" customHeight="1">
      <c r="A7" s="100">
        <v>3</v>
      </c>
      <c r="B7" s="145" t="s">
        <v>16</v>
      </c>
      <c r="C7" s="92">
        <v>13</v>
      </c>
      <c r="D7" s="92">
        <v>1</v>
      </c>
      <c r="E7" s="92">
        <f t="shared" si="0"/>
        <v>14</v>
      </c>
      <c r="F7" s="92">
        <v>24</v>
      </c>
      <c r="G7" s="120">
        <f t="shared" si="1"/>
        <v>38</v>
      </c>
      <c r="H7" s="146">
        <v>4265</v>
      </c>
      <c r="I7" s="146">
        <v>673</v>
      </c>
      <c r="J7" s="146">
        <f t="shared" si="2"/>
        <v>4938</v>
      </c>
      <c r="K7" s="146">
        <v>16075</v>
      </c>
      <c r="L7" s="147">
        <f t="shared" si="3"/>
        <v>21013</v>
      </c>
      <c r="M7" s="92">
        <v>0</v>
      </c>
      <c r="N7" s="92">
        <v>0</v>
      </c>
      <c r="O7" s="92">
        <v>0</v>
      </c>
      <c r="P7" s="92">
        <v>0</v>
      </c>
      <c r="Q7" s="92">
        <v>0</v>
      </c>
      <c r="R7" s="92">
        <v>0</v>
      </c>
      <c r="S7" s="92">
        <f t="shared" si="4"/>
        <v>0</v>
      </c>
      <c r="T7" s="92">
        <f t="shared" si="4"/>
        <v>0</v>
      </c>
    </row>
    <row r="8" spans="1:20" s="103" customFormat="1" ht="19.5" customHeight="1">
      <c r="A8" s="100">
        <v>4</v>
      </c>
      <c r="B8" s="145" t="s">
        <v>17</v>
      </c>
      <c r="C8" s="92">
        <v>66</v>
      </c>
      <c r="D8" s="92">
        <v>23</v>
      </c>
      <c r="E8" s="92">
        <f t="shared" si="0"/>
        <v>89</v>
      </c>
      <c r="F8" s="92">
        <v>444</v>
      </c>
      <c r="G8" s="120">
        <f t="shared" si="1"/>
        <v>533</v>
      </c>
      <c r="H8" s="146">
        <v>20235</v>
      </c>
      <c r="I8" s="146">
        <v>5834</v>
      </c>
      <c r="J8" s="146">
        <f t="shared" si="2"/>
        <v>26069</v>
      </c>
      <c r="K8" s="146">
        <v>437650</v>
      </c>
      <c r="L8" s="147">
        <f t="shared" si="3"/>
        <v>463719</v>
      </c>
      <c r="M8" s="92">
        <v>1</v>
      </c>
      <c r="N8" s="92">
        <v>100</v>
      </c>
      <c r="O8" s="92">
        <v>0</v>
      </c>
      <c r="P8" s="92">
        <v>0</v>
      </c>
      <c r="Q8" s="92">
        <v>0</v>
      </c>
      <c r="R8" s="92">
        <v>0</v>
      </c>
      <c r="S8" s="92">
        <f t="shared" si="4"/>
        <v>1</v>
      </c>
      <c r="T8" s="92">
        <f t="shared" si="4"/>
        <v>100</v>
      </c>
    </row>
    <row r="9" spans="1:20" s="103" customFormat="1" ht="19.5" customHeight="1">
      <c r="A9" s="100">
        <v>5</v>
      </c>
      <c r="B9" s="145" t="s">
        <v>18</v>
      </c>
      <c r="C9" s="92">
        <v>245</v>
      </c>
      <c r="D9" s="92">
        <v>102</v>
      </c>
      <c r="E9" s="92">
        <f t="shared" si="0"/>
        <v>347</v>
      </c>
      <c r="F9" s="92">
        <v>516</v>
      </c>
      <c r="G9" s="120">
        <f t="shared" si="1"/>
        <v>863</v>
      </c>
      <c r="H9" s="146">
        <v>78541</v>
      </c>
      <c r="I9" s="146">
        <v>145518</v>
      </c>
      <c r="J9" s="146">
        <f t="shared" si="2"/>
        <v>224059</v>
      </c>
      <c r="K9" s="146">
        <v>1245674</v>
      </c>
      <c r="L9" s="147">
        <f t="shared" si="3"/>
        <v>1469733</v>
      </c>
      <c r="M9" s="92">
        <v>1</v>
      </c>
      <c r="N9" s="92">
        <v>60</v>
      </c>
      <c r="O9" s="92">
        <v>0</v>
      </c>
      <c r="P9" s="92">
        <v>0</v>
      </c>
      <c r="Q9" s="92">
        <v>17</v>
      </c>
      <c r="R9" s="92">
        <v>1693</v>
      </c>
      <c r="S9" s="92">
        <f t="shared" si="4"/>
        <v>18</v>
      </c>
      <c r="T9" s="92">
        <f t="shared" si="4"/>
        <v>1753</v>
      </c>
    </row>
    <row r="10" spans="1:20" s="103" customFormat="1" ht="19.5" customHeight="1">
      <c r="A10" s="100">
        <v>6</v>
      </c>
      <c r="B10" s="145" t="s">
        <v>19</v>
      </c>
      <c r="C10" s="92">
        <v>2</v>
      </c>
      <c r="D10" s="92">
        <v>7</v>
      </c>
      <c r="E10" s="92">
        <f t="shared" si="0"/>
        <v>9</v>
      </c>
      <c r="F10" s="92">
        <v>16</v>
      </c>
      <c r="G10" s="120">
        <f t="shared" si="1"/>
        <v>25</v>
      </c>
      <c r="H10" s="146">
        <v>307</v>
      </c>
      <c r="I10" s="146">
        <v>30002</v>
      </c>
      <c r="J10" s="146">
        <f t="shared" si="2"/>
        <v>30309</v>
      </c>
      <c r="K10" s="146">
        <v>20247</v>
      </c>
      <c r="L10" s="147">
        <f t="shared" si="3"/>
        <v>50556</v>
      </c>
      <c r="M10" s="92">
        <v>0</v>
      </c>
      <c r="N10" s="92">
        <v>0</v>
      </c>
      <c r="O10" s="92">
        <v>0</v>
      </c>
      <c r="P10" s="92">
        <v>0</v>
      </c>
      <c r="Q10" s="92">
        <v>0</v>
      </c>
      <c r="R10" s="92">
        <v>0</v>
      </c>
      <c r="S10" s="92">
        <f t="shared" si="4"/>
        <v>0</v>
      </c>
      <c r="T10" s="92">
        <f t="shared" si="4"/>
        <v>0</v>
      </c>
    </row>
    <row r="11" spans="1:20" s="103" customFormat="1" ht="19.5" customHeight="1">
      <c r="A11" s="100">
        <v>7</v>
      </c>
      <c r="B11" s="145" t="s">
        <v>20</v>
      </c>
      <c r="C11" s="92">
        <v>353</v>
      </c>
      <c r="D11" s="92">
        <v>81</v>
      </c>
      <c r="E11" s="92">
        <f t="shared" si="0"/>
        <v>434</v>
      </c>
      <c r="F11" s="92">
        <v>373</v>
      </c>
      <c r="G11" s="120">
        <f t="shared" si="1"/>
        <v>807</v>
      </c>
      <c r="H11" s="146">
        <v>120866</v>
      </c>
      <c r="I11" s="146">
        <v>38781</v>
      </c>
      <c r="J11" s="146">
        <f t="shared" si="2"/>
        <v>159647</v>
      </c>
      <c r="K11" s="146">
        <v>289869</v>
      </c>
      <c r="L11" s="147">
        <f t="shared" si="3"/>
        <v>449516</v>
      </c>
      <c r="M11" s="92">
        <v>17</v>
      </c>
      <c r="N11" s="92">
        <v>1153</v>
      </c>
      <c r="O11" s="92">
        <v>4</v>
      </c>
      <c r="P11" s="92">
        <v>219</v>
      </c>
      <c r="Q11" s="92">
        <v>3</v>
      </c>
      <c r="R11" s="92">
        <v>182</v>
      </c>
      <c r="S11" s="92">
        <f t="shared" si="4"/>
        <v>24</v>
      </c>
      <c r="T11" s="92">
        <f t="shared" si="4"/>
        <v>1554</v>
      </c>
    </row>
    <row r="12" spans="1:20" s="103" customFormat="1" ht="15">
      <c r="A12" s="100">
        <v>8</v>
      </c>
      <c r="B12" s="145" t="s">
        <v>155</v>
      </c>
      <c r="C12" s="92">
        <v>5</v>
      </c>
      <c r="D12" s="92">
        <v>0</v>
      </c>
      <c r="E12" s="92">
        <f t="shared" si="0"/>
        <v>5</v>
      </c>
      <c r="F12" s="92">
        <v>3</v>
      </c>
      <c r="G12" s="120">
        <f t="shared" si="1"/>
        <v>8</v>
      </c>
      <c r="H12" s="146">
        <v>3369</v>
      </c>
      <c r="I12" s="146">
        <v>0</v>
      </c>
      <c r="J12" s="146">
        <f t="shared" si="2"/>
        <v>3369</v>
      </c>
      <c r="K12" s="146">
        <v>2719</v>
      </c>
      <c r="L12" s="147">
        <f t="shared" si="3"/>
        <v>6088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2">
        <f t="shared" si="4"/>
        <v>0</v>
      </c>
      <c r="T12" s="92">
        <f t="shared" si="4"/>
        <v>0</v>
      </c>
    </row>
    <row r="13" spans="1:20" s="103" customFormat="1" ht="19.5" customHeight="1">
      <c r="A13" s="100">
        <v>9</v>
      </c>
      <c r="B13" s="145" t="s">
        <v>156</v>
      </c>
      <c r="C13" s="92">
        <v>3</v>
      </c>
      <c r="D13" s="92">
        <v>1</v>
      </c>
      <c r="E13" s="92">
        <f t="shared" si="0"/>
        <v>4</v>
      </c>
      <c r="F13" s="92">
        <v>6</v>
      </c>
      <c r="G13" s="120">
        <f t="shared" si="1"/>
        <v>10</v>
      </c>
      <c r="H13" s="146">
        <v>369</v>
      </c>
      <c r="I13" s="146">
        <v>104</v>
      </c>
      <c r="J13" s="146">
        <f t="shared" si="2"/>
        <v>473</v>
      </c>
      <c r="K13" s="146">
        <v>3459</v>
      </c>
      <c r="L13" s="147">
        <f t="shared" si="3"/>
        <v>3932</v>
      </c>
      <c r="M13" s="92">
        <v>0</v>
      </c>
      <c r="N13" s="92">
        <v>0</v>
      </c>
      <c r="O13" s="92">
        <v>0</v>
      </c>
      <c r="P13" s="92">
        <v>0</v>
      </c>
      <c r="Q13" s="92">
        <v>0</v>
      </c>
      <c r="R13" s="92">
        <v>0</v>
      </c>
      <c r="S13" s="92">
        <f t="shared" si="4"/>
        <v>0</v>
      </c>
      <c r="T13" s="92">
        <f t="shared" si="4"/>
        <v>0</v>
      </c>
    </row>
    <row r="14" spans="1:20" s="103" customFormat="1" ht="19.5" customHeight="1">
      <c r="A14" s="100">
        <v>10</v>
      </c>
      <c r="B14" s="145" t="s">
        <v>23</v>
      </c>
      <c r="C14" s="92">
        <v>63</v>
      </c>
      <c r="D14" s="92">
        <v>14</v>
      </c>
      <c r="E14" s="92">
        <f t="shared" si="0"/>
        <v>77</v>
      </c>
      <c r="F14" s="92">
        <v>97</v>
      </c>
      <c r="G14" s="120">
        <f t="shared" si="1"/>
        <v>174</v>
      </c>
      <c r="H14" s="146">
        <v>62339</v>
      </c>
      <c r="I14" s="146">
        <v>31720</v>
      </c>
      <c r="J14" s="146">
        <f t="shared" si="2"/>
        <v>94059</v>
      </c>
      <c r="K14" s="146">
        <v>187838</v>
      </c>
      <c r="L14" s="147">
        <f t="shared" si="3"/>
        <v>281897</v>
      </c>
      <c r="M14" s="92">
        <v>0</v>
      </c>
      <c r="N14" s="92">
        <v>0</v>
      </c>
      <c r="O14" s="92">
        <v>0</v>
      </c>
      <c r="P14" s="92">
        <v>0</v>
      </c>
      <c r="Q14" s="92">
        <v>0</v>
      </c>
      <c r="R14" s="92">
        <v>0</v>
      </c>
      <c r="S14" s="92">
        <f t="shared" si="4"/>
        <v>0</v>
      </c>
      <c r="T14" s="92">
        <f t="shared" si="4"/>
        <v>0</v>
      </c>
    </row>
    <row r="15" spans="1:20" s="103" customFormat="1" ht="19.5" customHeight="1">
      <c r="A15" s="100">
        <v>11</v>
      </c>
      <c r="B15" s="145" t="s">
        <v>24</v>
      </c>
      <c r="C15" s="92">
        <v>11</v>
      </c>
      <c r="D15" s="92">
        <v>25</v>
      </c>
      <c r="E15" s="92">
        <f t="shared" si="0"/>
        <v>36</v>
      </c>
      <c r="F15" s="92">
        <v>22</v>
      </c>
      <c r="G15" s="120">
        <f t="shared" si="1"/>
        <v>58</v>
      </c>
      <c r="H15" s="146">
        <v>3487</v>
      </c>
      <c r="I15" s="146">
        <v>20671</v>
      </c>
      <c r="J15" s="146">
        <f t="shared" si="2"/>
        <v>24158</v>
      </c>
      <c r="K15" s="146">
        <v>14721</v>
      </c>
      <c r="L15" s="147">
        <f t="shared" si="3"/>
        <v>38879</v>
      </c>
      <c r="M15" s="92">
        <v>0</v>
      </c>
      <c r="N15" s="92">
        <v>0</v>
      </c>
      <c r="O15" s="92">
        <v>0</v>
      </c>
      <c r="P15" s="92">
        <v>0</v>
      </c>
      <c r="Q15" s="92">
        <v>0</v>
      </c>
      <c r="R15" s="92">
        <v>0</v>
      </c>
      <c r="S15" s="92">
        <f t="shared" si="4"/>
        <v>0</v>
      </c>
      <c r="T15" s="92">
        <f t="shared" si="4"/>
        <v>0</v>
      </c>
    </row>
    <row r="16" spans="1:20" s="103" customFormat="1" ht="19.5" customHeight="1">
      <c r="A16" s="100">
        <v>12</v>
      </c>
      <c r="B16" s="145" t="s">
        <v>25</v>
      </c>
      <c r="C16" s="92">
        <v>1442</v>
      </c>
      <c r="D16" s="92">
        <v>486</v>
      </c>
      <c r="E16" s="92">
        <f t="shared" si="0"/>
        <v>1928</v>
      </c>
      <c r="F16" s="92">
        <v>330</v>
      </c>
      <c r="G16" s="120">
        <f t="shared" si="1"/>
        <v>2258</v>
      </c>
      <c r="H16" s="146">
        <v>496075</v>
      </c>
      <c r="I16" s="146">
        <v>476509</v>
      </c>
      <c r="J16" s="146">
        <f t="shared" si="2"/>
        <v>972584</v>
      </c>
      <c r="K16" s="146">
        <v>218935</v>
      </c>
      <c r="L16" s="147">
        <f t="shared" si="3"/>
        <v>1191519</v>
      </c>
      <c r="M16" s="92">
        <v>36</v>
      </c>
      <c r="N16" s="92">
        <v>3305</v>
      </c>
      <c r="O16" s="92">
        <v>8</v>
      </c>
      <c r="P16" s="92">
        <v>277</v>
      </c>
      <c r="Q16" s="92">
        <v>3</v>
      </c>
      <c r="R16" s="92">
        <v>203</v>
      </c>
      <c r="S16" s="92">
        <f t="shared" si="4"/>
        <v>47</v>
      </c>
      <c r="T16" s="92">
        <f t="shared" si="4"/>
        <v>3785</v>
      </c>
    </row>
    <row r="17" spans="1:20" s="103" customFormat="1" ht="19.5" customHeight="1">
      <c r="A17" s="100">
        <v>13</v>
      </c>
      <c r="B17" s="145" t="s">
        <v>26</v>
      </c>
      <c r="C17" s="92">
        <v>673</v>
      </c>
      <c r="D17" s="92">
        <v>127</v>
      </c>
      <c r="E17" s="92">
        <f t="shared" si="0"/>
        <v>800</v>
      </c>
      <c r="F17" s="92">
        <v>234</v>
      </c>
      <c r="G17" s="120">
        <f t="shared" si="1"/>
        <v>1034</v>
      </c>
      <c r="H17" s="146">
        <v>210358</v>
      </c>
      <c r="I17" s="146">
        <v>161739</v>
      </c>
      <c r="J17" s="146">
        <f t="shared" si="2"/>
        <v>372097</v>
      </c>
      <c r="K17" s="146">
        <v>238276</v>
      </c>
      <c r="L17" s="147">
        <f t="shared" si="3"/>
        <v>610373</v>
      </c>
      <c r="M17" s="92">
        <v>5</v>
      </c>
      <c r="N17" s="92">
        <v>395</v>
      </c>
      <c r="O17" s="92">
        <v>1</v>
      </c>
      <c r="P17" s="92">
        <v>106</v>
      </c>
      <c r="Q17" s="92">
        <v>1</v>
      </c>
      <c r="R17" s="92">
        <v>128</v>
      </c>
      <c r="S17" s="92">
        <f t="shared" si="4"/>
        <v>7</v>
      </c>
      <c r="T17" s="92">
        <f t="shared" si="4"/>
        <v>629</v>
      </c>
    </row>
    <row r="18" spans="1:20" s="103" customFormat="1" ht="19.5" customHeight="1">
      <c r="A18" s="100">
        <v>14</v>
      </c>
      <c r="B18" s="145" t="s">
        <v>27</v>
      </c>
      <c r="C18" s="92">
        <v>175</v>
      </c>
      <c r="D18" s="92">
        <v>9</v>
      </c>
      <c r="E18" s="92">
        <f t="shared" si="0"/>
        <v>184</v>
      </c>
      <c r="F18" s="92">
        <v>160</v>
      </c>
      <c r="G18" s="120">
        <f t="shared" si="1"/>
        <v>344</v>
      </c>
      <c r="H18" s="146">
        <v>35195</v>
      </c>
      <c r="I18" s="146">
        <v>8945</v>
      </c>
      <c r="J18" s="146">
        <f t="shared" si="2"/>
        <v>44140</v>
      </c>
      <c r="K18" s="146">
        <v>141820</v>
      </c>
      <c r="L18" s="147">
        <f t="shared" si="3"/>
        <v>185960</v>
      </c>
      <c r="M18" s="92">
        <v>10</v>
      </c>
      <c r="N18" s="92">
        <v>252</v>
      </c>
      <c r="O18" s="92">
        <v>0</v>
      </c>
      <c r="P18" s="92">
        <v>0</v>
      </c>
      <c r="Q18" s="92">
        <v>2</v>
      </c>
      <c r="R18" s="92">
        <v>114</v>
      </c>
      <c r="S18" s="92">
        <f t="shared" si="4"/>
        <v>12</v>
      </c>
      <c r="T18" s="92">
        <f t="shared" si="4"/>
        <v>366</v>
      </c>
    </row>
    <row r="19" spans="1:20" s="103" customFormat="1" ht="15">
      <c r="A19" s="100">
        <v>15</v>
      </c>
      <c r="B19" s="145" t="s">
        <v>57</v>
      </c>
      <c r="C19" s="92">
        <v>126</v>
      </c>
      <c r="D19" s="92">
        <v>21</v>
      </c>
      <c r="E19" s="92">
        <f t="shared" si="0"/>
        <v>147</v>
      </c>
      <c r="F19" s="92">
        <v>166</v>
      </c>
      <c r="G19" s="120">
        <f t="shared" si="1"/>
        <v>313</v>
      </c>
      <c r="H19" s="146">
        <v>28975</v>
      </c>
      <c r="I19" s="146">
        <v>3083</v>
      </c>
      <c r="J19" s="146">
        <f t="shared" si="2"/>
        <v>32058</v>
      </c>
      <c r="K19" s="146">
        <v>193713</v>
      </c>
      <c r="L19" s="147">
        <f t="shared" si="3"/>
        <v>225771</v>
      </c>
      <c r="M19" s="92">
        <v>0</v>
      </c>
      <c r="N19" s="92">
        <v>0</v>
      </c>
      <c r="O19" s="92">
        <v>1</v>
      </c>
      <c r="P19" s="92">
        <v>65</v>
      </c>
      <c r="Q19" s="92">
        <v>23</v>
      </c>
      <c r="R19" s="92">
        <v>2853</v>
      </c>
      <c r="S19" s="92">
        <f t="shared" si="4"/>
        <v>24</v>
      </c>
      <c r="T19" s="92">
        <f t="shared" si="4"/>
        <v>2918</v>
      </c>
    </row>
    <row r="20" spans="1:20" s="103" customFormat="1" ht="19.5" customHeight="1">
      <c r="A20" s="100">
        <v>16</v>
      </c>
      <c r="B20" s="145" t="s">
        <v>29</v>
      </c>
      <c r="C20" s="92">
        <v>135</v>
      </c>
      <c r="D20" s="92">
        <v>28</v>
      </c>
      <c r="E20" s="92">
        <f t="shared" si="0"/>
        <v>163</v>
      </c>
      <c r="F20" s="92">
        <v>154</v>
      </c>
      <c r="G20" s="120">
        <f t="shared" si="1"/>
        <v>317</v>
      </c>
      <c r="H20" s="146">
        <v>55804</v>
      </c>
      <c r="I20" s="146">
        <v>70641</v>
      </c>
      <c r="J20" s="146">
        <f t="shared" si="2"/>
        <v>126445</v>
      </c>
      <c r="K20" s="146">
        <v>487936</v>
      </c>
      <c r="L20" s="147">
        <f t="shared" si="3"/>
        <v>614381</v>
      </c>
      <c r="M20" s="92">
        <v>2</v>
      </c>
      <c r="N20" s="92">
        <v>218</v>
      </c>
      <c r="O20" s="92">
        <v>0</v>
      </c>
      <c r="P20" s="92">
        <v>0</v>
      </c>
      <c r="Q20" s="92">
        <v>0</v>
      </c>
      <c r="R20" s="92">
        <v>0</v>
      </c>
      <c r="S20" s="92">
        <f t="shared" si="4"/>
        <v>2</v>
      </c>
      <c r="T20" s="92">
        <f t="shared" si="4"/>
        <v>218</v>
      </c>
    </row>
    <row r="21" spans="1:20" s="103" customFormat="1" ht="19.5" customHeight="1">
      <c r="A21" s="100">
        <v>17</v>
      </c>
      <c r="B21" s="145" t="s">
        <v>30</v>
      </c>
      <c r="C21" s="92">
        <v>2793</v>
      </c>
      <c r="D21" s="92">
        <v>471</v>
      </c>
      <c r="E21" s="92">
        <f t="shared" si="0"/>
        <v>3264</v>
      </c>
      <c r="F21" s="92">
        <v>707</v>
      </c>
      <c r="G21" s="120">
        <f t="shared" si="1"/>
        <v>3971</v>
      </c>
      <c r="H21" s="146">
        <v>841863</v>
      </c>
      <c r="I21" s="146">
        <v>341636</v>
      </c>
      <c r="J21" s="146">
        <f t="shared" si="2"/>
        <v>1183499</v>
      </c>
      <c r="K21" s="146">
        <v>462790</v>
      </c>
      <c r="L21" s="147">
        <f t="shared" si="3"/>
        <v>1646289</v>
      </c>
      <c r="M21" s="92">
        <v>153</v>
      </c>
      <c r="N21" s="92">
        <v>6193</v>
      </c>
      <c r="O21" s="92">
        <v>10</v>
      </c>
      <c r="P21" s="92">
        <v>627</v>
      </c>
      <c r="Q21" s="92">
        <v>18</v>
      </c>
      <c r="R21" s="92">
        <v>1095</v>
      </c>
      <c r="S21" s="92">
        <f t="shared" si="4"/>
        <v>181</v>
      </c>
      <c r="T21" s="92">
        <f t="shared" si="4"/>
        <v>7915</v>
      </c>
    </row>
    <row r="22" spans="1:20" s="103" customFormat="1" ht="19.5" customHeight="1">
      <c r="A22" s="100">
        <v>18</v>
      </c>
      <c r="B22" s="145" t="s">
        <v>31</v>
      </c>
      <c r="C22" s="92">
        <v>840</v>
      </c>
      <c r="D22" s="92">
        <v>211</v>
      </c>
      <c r="E22" s="92">
        <f t="shared" si="0"/>
        <v>1051</v>
      </c>
      <c r="F22" s="92">
        <v>262</v>
      </c>
      <c r="G22" s="120">
        <f t="shared" si="1"/>
        <v>1313</v>
      </c>
      <c r="H22" s="146">
        <v>358292</v>
      </c>
      <c r="I22" s="146">
        <v>266320</v>
      </c>
      <c r="J22" s="146">
        <f t="shared" si="2"/>
        <v>624612</v>
      </c>
      <c r="K22" s="146">
        <v>130012</v>
      </c>
      <c r="L22" s="147">
        <f t="shared" si="3"/>
        <v>754624</v>
      </c>
      <c r="M22" s="92">
        <v>3</v>
      </c>
      <c r="N22" s="92">
        <v>160</v>
      </c>
      <c r="O22" s="92">
        <v>0</v>
      </c>
      <c r="P22" s="92">
        <v>0</v>
      </c>
      <c r="Q22" s="92">
        <v>0</v>
      </c>
      <c r="R22" s="92">
        <v>0</v>
      </c>
      <c r="S22" s="92">
        <f t="shared" si="4"/>
        <v>3</v>
      </c>
      <c r="T22" s="92">
        <f t="shared" si="4"/>
        <v>160</v>
      </c>
    </row>
    <row r="23" spans="1:20" s="103" customFormat="1" ht="19.5" customHeight="1">
      <c r="A23" s="100">
        <v>19</v>
      </c>
      <c r="B23" s="145" t="s">
        <v>761</v>
      </c>
      <c r="C23" s="92">
        <v>0</v>
      </c>
      <c r="D23" s="92">
        <v>0</v>
      </c>
      <c r="E23" s="92"/>
      <c r="F23" s="92">
        <v>5</v>
      </c>
      <c r="G23" s="120">
        <f t="shared" si="1"/>
        <v>5</v>
      </c>
      <c r="H23" s="146">
        <v>0</v>
      </c>
      <c r="I23" s="146">
        <v>0</v>
      </c>
      <c r="J23" s="146"/>
      <c r="K23" s="146">
        <v>2398</v>
      </c>
      <c r="L23" s="147">
        <f t="shared" si="3"/>
        <v>2398</v>
      </c>
      <c r="M23" s="92">
        <v>0</v>
      </c>
      <c r="N23" s="92">
        <v>0</v>
      </c>
      <c r="O23" s="92">
        <v>0</v>
      </c>
      <c r="P23" s="92">
        <v>0</v>
      </c>
      <c r="Q23" s="92">
        <v>0</v>
      </c>
      <c r="R23" s="92">
        <v>0</v>
      </c>
      <c r="S23" s="92"/>
      <c r="T23" s="92"/>
    </row>
    <row r="24" spans="1:20" s="103" customFormat="1" ht="19.5" customHeight="1">
      <c r="A24" s="100">
        <v>20</v>
      </c>
      <c r="B24" s="145" t="s">
        <v>32</v>
      </c>
      <c r="C24" s="92">
        <v>0</v>
      </c>
      <c r="D24" s="92">
        <v>0</v>
      </c>
      <c r="E24" s="92">
        <f t="shared" si="0"/>
        <v>0</v>
      </c>
      <c r="F24" s="92">
        <v>0</v>
      </c>
      <c r="G24" s="120">
        <f t="shared" si="1"/>
        <v>0</v>
      </c>
      <c r="H24" s="146">
        <v>0</v>
      </c>
      <c r="I24" s="146">
        <v>0</v>
      </c>
      <c r="J24" s="146">
        <f t="shared" si="2"/>
        <v>0</v>
      </c>
      <c r="K24" s="146">
        <v>0</v>
      </c>
      <c r="L24" s="147">
        <f t="shared" si="3"/>
        <v>0</v>
      </c>
      <c r="M24" s="92">
        <v>0</v>
      </c>
      <c r="N24" s="92">
        <v>0</v>
      </c>
      <c r="O24" s="92">
        <v>0</v>
      </c>
      <c r="P24" s="92">
        <v>0</v>
      </c>
      <c r="Q24" s="92">
        <v>0</v>
      </c>
      <c r="R24" s="92">
        <v>0</v>
      </c>
      <c r="S24" s="92">
        <f t="shared" si="4"/>
        <v>0</v>
      </c>
      <c r="T24" s="92">
        <f t="shared" si="4"/>
        <v>0</v>
      </c>
    </row>
    <row r="25" spans="1:20" s="103" customFormat="1" ht="19.5" customHeight="1">
      <c r="A25" s="100">
        <v>21</v>
      </c>
      <c r="B25" s="145" t="s">
        <v>33</v>
      </c>
      <c r="C25" s="92">
        <v>1128</v>
      </c>
      <c r="D25" s="92">
        <v>198</v>
      </c>
      <c r="E25" s="92">
        <f t="shared" si="0"/>
        <v>1326</v>
      </c>
      <c r="F25" s="92">
        <v>620</v>
      </c>
      <c r="G25" s="120">
        <f t="shared" si="1"/>
        <v>1946</v>
      </c>
      <c r="H25" s="146">
        <v>511707</v>
      </c>
      <c r="I25" s="146">
        <v>122673</v>
      </c>
      <c r="J25" s="146">
        <f t="shared" si="2"/>
        <v>634380</v>
      </c>
      <c r="K25" s="146">
        <v>866856</v>
      </c>
      <c r="L25" s="147">
        <f t="shared" si="3"/>
        <v>1501236</v>
      </c>
      <c r="M25" s="92">
        <v>27</v>
      </c>
      <c r="N25" s="92">
        <v>2717</v>
      </c>
      <c r="O25" s="92">
        <v>0</v>
      </c>
      <c r="P25" s="92">
        <v>0</v>
      </c>
      <c r="Q25" s="92">
        <v>3</v>
      </c>
      <c r="R25" s="92">
        <v>521</v>
      </c>
      <c r="S25" s="92">
        <f t="shared" si="4"/>
        <v>30</v>
      </c>
      <c r="T25" s="92">
        <f t="shared" si="4"/>
        <v>3238</v>
      </c>
    </row>
    <row r="26" spans="1:20" s="103" customFormat="1" ht="19.5" customHeight="1">
      <c r="A26" s="100">
        <v>22</v>
      </c>
      <c r="B26" s="145" t="s">
        <v>34</v>
      </c>
      <c r="C26" s="92">
        <v>2801</v>
      </c>
      <c r="D26" s="92">
        <v>1158</v>
      </c>
      <c r="E26" s="92">
        <f t="shared" si="0"/>
        <v>3959</v>
      </c>
      <c r="F26" s="92">
        <v>535</v>
      </c>
      <c r="G26" s="120">
        <f t="shared" si="1"/>
        <v>4494</v>
      </c>
      <c r="H26" s="146">
        <v>1219087</v>
      </c>
      <c r="I26" s="146">
        <v>1534501</v>
      </c>
      <c r="J26" s="146">
        <f t="shared" si="2"/>
        <v>2753588</v>
      </c>
      <c r="K26" s="146">
        <v>255831</v>
      </c>
      <c r="L26" s="147">
        <f t="shared" si="3"/>
        <v>3009419</v>
      </c>
      <c r="M26" s="92">
        <v>143</v>
      </c>
      <c r="N26" s="92">
        <v>13250</v>
      </c>
      <c r="O26" s="92">
        <v>5</v>
      </c>
      <c r="P26" s="92">
        <v>306</v>
      </c>
      <c r="Q26" s="92">
        <v>11</v>
      </c>
      <c r="R26" s="92">
        <v>880</v>
      </c>
      <c r="S26" s="92">
        <f t="shared" si="4"/>
        <v>159</v>
      </c>
      <c r="T26" s="92">
        <f t="shared" si="4"/>
        <v>14436</v>
      </c>
    </row>
    <row r="27" spans="1:20" s="103" customFormat="1" ht="19.5" customHeight="1">
      <c r="A27" s="100">
        <v>23</v>
      </c>
      <c r="B27" s="145" t="s">
        <v>35</v>
      </c>
      <c r="C27" s="92">
        <v>29</v>
      </c>
      <c r="D27" s="92">
        <v>12</v>
      </c>
      <c r="E27" s="92">
        <f t="shared" si="0"/>
        <v>41</v>
      </c>
      <c r="F27" s="92">
        <v>60</v>
      </c>
      <c r="G27" s="120">
        <f t="shared" si="1"/>
        <v>101</v>
      </c>
      <c r="H27" s="146">
        <v>8719</v>
      </c>
      <c r="I27" s="146">
        <v>19515</v>
      </c>
      <c r="J27" s="146">
        <f t="shared" si="2"/>
        <v>28234</v>
      </c>
      <c r="K27" s="146">
        <v>78464</v>
      </c>
      <c r="L27" s="147">
        <f t="shared" si="3"/>
        <v>106698</v>
      </c>
      <c r="M27" s="92">
        <v>3</v>
      </c>
      <c r="N27" s="92">
        <v>98</v>
      </c>
      <c r="O27" s="92">
        <v>1</v>
      </c>
      <c r="P27" s="92">
        <v>135</v>
      </c>
      <c r="Q27" s="92">
        <v>1</v>
      </c>
      <c r="R27" s="92">
        <v>7</v>
      </c>
      <c r="S27" s="92">
        <f t="shared" si="4"/>
        <v>5</v>
      </c>
      <c r="T27" s="92">
        <f t="shared" si="4"/>
        <v>240</v>
      </c>
    </row>
    <row r="28" spans="1:20" s="103" customFormat="1" ht="19.5" customHeight="1">
      <c r="A28" s="100">
        <v>24</v>
      </c>
      <c r="B28" s="145" t="s">
        <v>36</v>
      </c>
      <c r="C28" s="92">
        <v>16</v>
      </c>
      <c r="D28" s="92">
        <v>15</v>
      </c>
      <c r="E28" s="92">
        <f t="shared" si="0"/>
        <v>31</v>
      </c>
      <c r="F28" s="92">
        <v>26</v>
      </c>
      <c r="G28" s="120">
        <f t="shared" si="1"/>
        <v>57</v>
      </c>
      <c r="H28" s="146">
        <v>9440</v>
      </c>
      <c r="I28" s="146">
        <v>18539</v>
      </c>
      <c r="J28" s="146">
        <f t="shared" si="2"/>
        <v>27979</v>
      </c>
      <c r="K28" s="146">
        <v>35028</v>
      </c>
      <c r="L28" s="147">
        <f t="shared" si="3"/>
        <v>63007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f t="shared" si="4"/>
        <v>0</v>
      </c>
      <c r="T28" s="92">
        <f t="shared" si="4"/>
        <v>0</v>
      </c>
    </row>
    <row r="29" spans="1:20" s="103" customFormat="1" ht="19.5" customHeight="1">
      <c r="A29" s="100">
        <v>25</v>
      </c>
      <c r="B29" s="145" t="s">
        <v>37</v>
      </c>
      <c r="C29" s="92">
        <v>3</v>
      </c>
      <c r="D29" s="92">
        <v>1</v>
      </c>
      <c r="E29" s="92">
        <f t="shared" si="0"/>
        <v>4</v>
      </c>
      <c r="F29" s="92">
        <v>31</v>
      </c>
      <c r="G29" s="120">
        <f t="shared" si="1"/>
        <v>35</v>
      </c>
      <c r="H29" s="146">
        <v>446</v>
      </c>
      <c r="I29" s="146">
        <v>37</v>
      </c>
      <c r="J29" s="146">
        <f t="shared" si="2"/>
        <v>483</v>
      </c>
      <c r="K29" s="146">
        <v>19097</v>
      </c>
      <c r="L29" s="147">
        <f t="shared" si="3"/>
        <v>19580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f t="shared" si="4"/>
        <v>0</v>
      </c>
      <c r="T29" s="92">
        <f t="shared" si="4"/>
        <v>0</v>
      </c>
    </row>
    <row r="30" spans="1:20" s="103" customFormat="1" ht="19.5" customHeight="1">
      <c r="A30" s="100">
        <v>26</v>
      </c>
      <c r="B30" s="145" t="s">
        <v>38</v>
      </c>
      <c r="C30" s="92">
        <v>12</v>
      </c>
      <c r="D30" s="92">
        <v>34</v>
      </c>
      <c r="E30" s="92">
        <f t="shared" si="0"/>
        <v>46</v>
      </c>
      <c r="F30" s="92">
        <v>20</v>
      </c>
      <c r="G30" s="120">
        <f t="shared" si="1"/>
        <v>66</v>
      </c>
      <c r="H30" s="146">
        <v>3001</v>
      </c>
      <c r="I30" s="146">
        <v>19348</v>
      </c>
      <c r="J30" s="146">
        <f t="shared" si="2"/>
        <v>22349</v>
      </c>
      <c r="K30" s="146">
        <v>11115</v>
      </c>
      <c r="L30" s="147">
        <f t="shared" si="3"/>
        <v>33464</v>
      </c>
      <c r="M30" s="92">
        <v>0</v>
      </c>
      <c r="N30" s="92">
        <v>0</v>
      </c>
      <c r="O30" s="92">
        <v>0</v>
      </c>
      <c r="P30" s="92">
        <v>0</v>
      </c>
      <c r="Q30" s="92">
        <v>0</v>
      </c>
      <c r="R30" s="92">
        <v>0</v>
      </c>
      <c r="S30" s="92">
        <f t="shared" si="4"/>
        <v>0</v>
      </c>
      <c r="T30" s="92">
        <f t="shared" si="4"/>
        <v>0</v>
      </c>
    </row>
    <row r="31" spans="1:20" s="103" customFormat="1" ht="19.5" customHeight="1">
      <c r="A31" s="100">
        <v>27</v>
      </c>
      <c r="B31" s="145" t="s">
        <v>39</v>
      </c>
      <c r="C31" s="92">
        <v>282</v>
      </c>
      <c r="D31" s="92">
        <v>432</v>
      </c>
      <c r="E31" s="92">
        <f t="shared" si="0"/>
        <v>714</v>
      </c>
      <c r="F31" s="92">
        <v>363</v>
      </c>
      <c r="G31" s="120">
        <f t="shared" si="1"/>
        <v>1077</v>
      </c>
      <c r="H31" s="146">
        <v>139451</v>
      </c>
      <c r="I31" s="146">
        <v>300937</v>
      </c>
      <c r="J31" s="146">
        <f t="shared" si="2"/>
        <v>440388</v>
      </c>
      <c r="K31" s="146">
        <v>268975</v>
      </c>
      <c r="L31" s="147">
        <f t="shared" si="3"/>
        <v>709363</v>
      </c>
      <c r="M31" s="92">
        <v>1</v>
      </c>
      <c r="N31" s="92">
        <v>15</v>
      </c>
      <c r="O31" s="92">
        <v>0</v>
      </c>
      <c r="P31" s="92">
        <v>0</v>
      </c>
      <c r="Q31" s="92">
        <v>0</v>
      </c>
      <c r="R31" s="92">
        <v>0</v>
      </c>
      <c r="S31" s="92">
        <f t="shared" si="4"/>
        <v>1</v>
      </c>
      <c r="T31" s="92">
        <f t="shared" si="4"/>
        <v>15</v>
      </c>
    </row>
    <row r="32" spans="1:20" s="103" customFormat="1" ht="19.5" customHeight="1">
      <c r="A32" s="100">
        <v>28</v>
      </c>
      <c r="B32" s="145" t="s">
        <v>40</v>
      </c>
      <c r="C32" s="92">
        <v>43</v>
      </c>
      <c r="D32" s="92">
        <v>1</v>
      </c>
      <c r="E32" s="92">
        <f t="shared" si="0"/>
        <v>44</v>
      </c>
      <c r="F32" s="92">
        <v>25</v>
      </c>
      <c r="G32" s="120">
        <f t="shared" si="1"/>
        <v>69</v>
      </c>
      <c r="H32" s="146">
        <v>22637</v>
      </c>
      <c r="I32" s="146">
        <v>66</v>
      </c>
      <c r="J32" s="146">
        <f t="shared" si="2"/>
        <v>22703</v>
      </c>
      <c r="K32" s="146">
        <v>23367</v>
      </c>
      <c r="L32" s="147">
        <f t="shared" si="3"/>
        <v>46070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f t="shared" si="4"/>
        <v>0</v>
      </c>
      <c r="T32" s="92">
        <f t="shared" si="4"/>
        <v>0</v>
      </c>
    </row>
    <row r="33" spans="1:20" s="103" customFormat="1" ht="19.5" customHeight="1">
      <c r="A33" s="100">
        <v>29</v>
      </c>
      <c r="B33" s="145" t="s">
        <v>41</v>
      </c>
      <c r="C33" s="92">
        <v>636</v>
      </c>
      <c r="D33" s="92">
        <v>171</v>
      </c>
      <c r="E33" s="92">
        <f t="shared" si="0"/>
        <v>807</v>
      </c>
      <c r="F33" s="92">
        <v>199</v>
      </c>
      <c r="G33" s="120">
        <f t="shared" si="1"/>
        <v>1006</v>
      </c>
      <c r="H33" s="146">
        <v>206818</v>
      </c>
      <c r="I33" s="146">
        <v>158503</v>
      </c>
      <c r="J33" s="146">
        <f t="shared" si="2"/>
        <v>365321</v>
      </c>
      <c r="K33" s="146">
        <v>159156</v>
      </c>
      <c r="L33" s="147">
        <f t="shared" si="3"/>
        <v>524477</v>
      </c>
      <c r="M33" s="92">
        <v>6</v>
      </c>
      <c r="N33" s="92">
        <v>285</v>
      </c>
      <c r="O33" s="92">
        <v>0</v>
      </c>
      <c r="P33" s="92">
        <v>0</v>
      </c>
      <c r="Q33" s="92">
        <v>1</v>
      </c>
      <c r="R33" s="92">
        <v>39</v>
      </c>
      <c r="S33" s="92">
        <f t="shared" si="4"/>
        <v>7</v>
      </c>
      <c r="T33" s="92">
        <f t="shared" si="4"/>
        <v>324</v>
      </c>
    </row>
    <row r="34" spans="1:20" s="103" customFormat="1" ht="19.5" customHeight="1">
      <c r="A34" s="100">
        <v>30</v>
      </c>
      <c r="B34" s="145" t="s">
        <v>42</v>
      </c>
      <c r="C34" s="92">
        <v>2204</v>
      </c>
      <c r="D34" s="92">
        <v>229</v>
      </c>
      <c r="E34" s="92">
        <f t="shared" si="0"/>
        <v>2433</v>
      </c>
      <c r="F34" s="92">
        <v>668</v>
      </c>
      <c r="G34" s="120">
        <f t="shared" si="1"/>
        <v>3101</v>
      </c>
      <c r="H34" s="146">
        <v>845714</v>
      </c>
      <c r="I34" s="146">
        <v>84052</v>
      </c>
      <c r="J34" s="146">
        <f t="shared" si="2"/>
        <v>929766</v>
      </c>
      <c r="K34" s="146">
        <v>674165</v>
      </c>
      <c r="L34" s="147">
        <f t="shared" si="3"/>
        <v>1603931</v>
      </c>
      <c r="M34" s="92">
        <v>61</v>
      </c>
      <c r="N34" s="92">
        <v>3780</v>
      </c>
      <c r="O34" s="92">
        <v>10</v>
      </c>
      <c r="P34" s="92">
        <v>530</v>
      </c>
      <c r="Q34" s="92">
        <v>45</v>
      </c>
      <c r="R34" s="92">
        <v>9222</v>
      </c>
      <c r="S34" s="92">
        <f t="shared" si="4"/>
        <v>116</v>
      </c>
      <c r="T34" s="92">
        <f t="shared" si="4"/>
        <v>13532</v>
      </c>
    </row>
    <row r="35" spans="1:20" s="103" customFormat="1" ht="19.5" customHeight="1">
      <c r="A35" s="100">
        <v>31</v>
      </c>
      <c r="B35" s="145" t="s">
        <v>43</v>
      </c>
      <c r="C35" s="92">
        <v>5</v>
      </c>
      <c r="D35" s="92">
        <v>0</v>
      </c>
      <c r="E35" s="92">
        <f t="shared" si="0"/>
        <v>5</v>
      </c>
      <c r="F35" s="92">
        <v>14</v>
      </c>
      <c r="G35" s="120">
        <f t="shared" si="1"/>
        <v>19</v>
      </c>
      <c r="H35" s="146">
        <v>1216</v>
      </c>
      <c r="I35" s="146">
        <v>0</v>
      </c>
      <c r="J35" s="146">
        <f t="shared" si="2"/>
        <v>1216</v>
      </c>
      <c r="K35" s="146">
        <v>10828</v>
      </c>
      <c r="L35" s="147">
        <f t="shared" si="3"/>
        <v>12044</v>
      </c>
      <c r="M35" s="92">
        <v>0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f t="shared" si="4"/>
        <v>0</v>
      </c>
      <c r="T35" s="92">
        <f t="shared" si="4"/>
        <v>0</v>
      </c>
    </row>
    <row r="36" spans="1:20" s="103" customFormat="1" ht="19.5" customHeight="1">
      <c r="A36" s="100">
        <v>32</v>
      </c>
      <c r="B36" s="145" t="s">
        <v>44</v>
      </c>
      <c r="C36" s="92">
        <v>2000</v>
      </c>
      <c r="D36" s="92">
        <v>251</v>
      </c>
      <c r="E36" s="92">
        <f t="shared" si="0"/>
        <v>2251</v>
      </c>
      <c r="F36" s="92">
        <v>357</v>
      </c>
      <c r="G36" s="120">
        <f t="shared" si="1"/>
        <v>2608</v>
      </c>
      <c r="H36" s="146">
        <v>1329622</v>
      </c>
      <c r="I36" s="146">
        <v>482160</v>
      </c>
      <c r="J36" s="146">
        <f t="shared" si="2"/>
        <v>1811782</v>
      </c>
      <c r="K36" s="146">
        <v>463508</v>
      </c>
      <c r="L36" s="147">
        <f t="shared" si="3"/>
        <v>2275290</v>
      </c>
      <c r="M36" s="92">
        <v>36</v>
      </c>
      <c r="N36" s="92">
        <v>2668</v>
      </c>
      <c r="O36" s="92">
        <v>1</v>
      </c>
      <c r="P36" s="92">
        <v>224</v>
      </c>
      <c r="Q36" s="92">
        <v>4</v>
      </c>
      <c r="R36" s="92">
        <v>380</v>
      </c>
      <c r="S36" s="92">
        <f t="shared" si="4"/>
        <v>41</v>
      </c>
      <c r="T36" s="92">
        <f t="shared" si="4"/>
        <v>3272</v>
      </c>
    </row>
    <row r="37" spans="1:20" s="103" customFormat="1" ht="19.5" customHeight="1">
      <c r="A37" s="100">
        <v>33</v>
      </c>
      <c r="B37" s="145" t="s">
        <v>134</v>
      </c>
      <c r="C37" s="92">
        <v>1634</v>
      </c>
      <c r="D37" s="92">
        <v>116</v>
      </c>
      <c r="E37" s="92">
        <f t="shared" si="0"/>
        <v>1750</v>
      </c>
      <c r="F37" s="92">
        <v>292</v>
      </c>
      <c r="G37" s="120">
        <f t="shared" si="1"/>
        <v>2042</v>
      </c>
      <c r="H37" s="146">
        <v>855415</v>
      </c>
      <c r="I37" s="146">
        <v>71530</v>
      </c>
      <c r="J37" s="146">
        <f t="shared" si="2"/>
        <v>926945</v>
      </c>
      <c r="K37" s="146">
        <v>186272</v>
      </c>
      <c r="L37" s="147">
        <f t="shared" si="3"/>
        <v>1113217</v>
      </c>
      <c r="M37" s="92">
        <v>7</v>
      </c>
      <c r="N37" s="92">
        <v>784</v>
      </c>
      <c r="O37" s="92">
        <v>0</v>
      </c>
      <c r="P37" s="92">
        <v>0</v>
      </c>
      <c r="Q37" s="92">
        <v>2</v>
      </c>
      <c r="R37" s="92">
        <v>288</v>
      </c>
      <c r="S37" s="92">
        <f t="shared" si="4"/>
        <v>9</v>
      </c>
      <c r="T37" s="92">
        <f t="shared" si="4"/>
        <v>1072</v>
      </c>
    </row>
    <row r="38" spans="1:20" s="103" customFormat="1" ht="19.5" customHeight="1">
      <c r="A38" s="100">
        <v>34</v>
      </c>
      <c r="B38" s="145" t="s">
        <v>45</v>
      </c>
      <c r="C38" s="92">
        <v>7</v>
      </c>
      <c r="D38" s="92">
        <v>2</v>
      </c>
      <c r="E38" s="92">
        <f t="shared" si="0"/>
        <v>9</v>
      </c>
      <c r="F38" s="92">
        <v>44</v>
      </c>
      <c r="G38" s="120">
        <f t="shared" si="1"/>
        <v>53</v>
      </c>
      <c r="H38" s="146">
        <v>2917</v>
      </c>
      <c r="I38" s="146">
        <v>1835</v>
      </c>
      <c r="J38" s="146">
        <f t="shared" si="2"/>
        <v>4752</v>
      </c>
      <c r="K38" s="146">
        <v>57505</v>
      </c>
      <c r="L38" s="147">
        <f t="shared" si="3"/>
        <v>62257</v>
      </c>
      <c r="M38" s="92">
        <v>1</v>
      </c>
      <c r="N38" s="92">
        <v>84</v>
      </c>
      <c r="O38" s="92">
        <v>0</v>
      </c>
      <c r="P38" s="92">
        <v>0</v>
      </c>
      <c r="Q38" s="92">
        <v>0</v>
      </c>
      <c r="R38" s="92">
        <v>0</v>
      </c>
      <c r="S38" s="92">
        <f t="shared" si="4"/>
        <v>1</v>
      </c>
      <c r="T38" s="92">
        <f t="shared" si="4"/>
        <v>84</v>
      </c>
    </row>
    <row r="39" spans="1:20" s="103" customFormat="1" ht="19.5" customHeight="1">
      <c r="A39" s="100">
        <v>35</v>
      </c>
      <c r="B39" s="145" t="s">
        <v>47</v>
      </c>
      <c r="C39" s="92">
        <v>5404</v>
      </c>
      <c r="D39" s="92">
        <v>657</v>
      </c>
      <c r="E39" s="92">
        <f t="shared" si="0"/>
        <v>6061</v>
      </c>
      <c r="F39" s="92">
        <v>827</v>
      </c>
      <c r="G39" s="120">
        <f t="shared" si="1"/>
        <v>6888</v>
      </c>
      <c r="H39" s="146">
        <v>3316148</v>
      </c>
      <c r="I39" s="146">
        <v>848708</v>
      </c>
      <c r="J39" s="146">
        <f t="shared" si="2"/>
        <v>4164856</v>
      </c>
      <c r="K39" s="146">
        <v>601583</v>
      </c>
      <c r="L39" s="147">
        <f t="shared" si="3"/>
        <v>4766439</v>
      </c>
      <c r="M39" s="92">
        <v>88</v>
      </c>
      <c r="N39" s="92">
        <v>8416</v>
      </c>
      <c r="O39" s="92">
        <v>6</v>
      </c>
      <c r="P39" s="92">
        <v>877</v>
      </c>
      <c r="Q39" s="92">
        <v>11</v>
      </c>
      <c r="R39" s="92">
        <v>829</v>
      </c>
      <c r="S39" s="92">
        <f t="shared" si="4"/>
        <v>105</v>
      </c>
      <c r="T39" s="92">
        <f t="shared" si="4"/>
        <v>10122</v>
      </c>
    </row>
    <row r="40" spans="1:20" s="103" customFormat="1" ht="19.5" customHeight="1">
      <c r="A40" s="100">
        <v>36</v>
      </c>
      <c r="B40" s="145" t="s">
        <v>46</v>
      </c>
      <c r="C40" s="92">
        <v>196</v>
      </c>
      <c r="D40" s="92">
        <v>55</v>
      </c>
      <c r="E40" s="92">
        <f t="shared" si="0"/>
        <v>251</v>
      </c>
      <c r="F40" s="92">
        <v>153</v>
      </c>
      <c r="G40" s="120">
        <f t="shared" si="1"/>
        <v>404</v>
      </c>
      <c r="H40" s="146">
        <v>82240</v>
      </c>
      <c r="I40" s="146">
        <v>46352</v>
      </c>
      <c r="J40" s="146">
        <f t="shared" si="2"/>
        <v>128592</v>
      </c>
      <c r="K40" s="146">
        <v>127506</v>
      </c>
      <c r="L40" s="147">
        <f t="shared" si="3"/>
        <v>256098</v>
      </c>
      <c r="M40" s="92">
        <v>5</v>
      </c>
      <c r="N40" s="92">
        <v>321</v>
      </c>
      <c r="O40" s="92">
        <v>0</v>
      </c>
      <c r="P40" s="92">
        <v>0</v>
      </c>
      <c r="Q40" s="92">
        <v>1</v>
      </c>
      <c r="R40" s="92">
        <v>134</v>
      </c>
      <c r="S40" s="92">
        <f t="shared" si="4"/>
        <v>6</v>
      </c>
      <c r="T40" s="92">
        <f t="shared" si="4"/>
        <v>455</v>
      </c>
    </row>
    <row r="41" spans="1:20" s="103" customFormat="1" ht="19.5" customHeight="1">
      <c r="A41" s="100">
        <v>37</v>
      </c>
      <c r="B41" s="145" t="s">
        <v>48</v>
      </c>
      <c r="C41" s="92">
        <v>682</v>
      </c>
      <c r="D41" s="92">
        <v>231</v>
      </c>
      <c r="E41" s="92">
        <f t="shared" si="0"/>
        <v>913</v>
      </c>
      <c r="F41" s="92">
        <v>496</v>
      </c>
      <c r="G41" s="120">
        <f t="shared" si="1"/>
        <v>1409</v>
      </c>
      <c r="H41" s="146">
        <v>277972</v>
      </c>
      <c r="I41" s="146">
        <v>362692</v>
      </c>
      <c r="J41" s="146">
        <f t="shared" si="2"/>
        <v>640664</v>
      </c>
      <c r="K41" s="146">
        <v>1021064</v>
      </c>
      <c r="L41" s="147">
        <f t="shared" si="3"/>
        <v>1661728</v>
      </c>
      <c r="M41" s="92">
        <v>9</v>
      </c>
      <c r="N41" s="92">
        <v>1088</v>
      </c>
      <c r="O41" s="92">
        <v>1</v>
      </c>
      <c r="P41" s="92">
        <v>50</v>
      </c>
      <c r="Q41" s="92">
        <v>2</v>
      </c>
      <c r="R41" s="92">
        <v>200</v>
      </c>
      <c r="S41" s="92">
        <f t="shared" si="4"/>
        <v>12</v>
      </c>
      <c r="T41" s="92">
        <f t="shared" si="4"/>
        <v>1338</v>
      </c>
    </row>
    <row r="42" spans="1:20" s="148" customFormat="1" ht="19.5" customHeight="1">
      <c r="A42" s="771" t="s">
        <v>49</v>
      </c>
      <c r="B42" s="771"/>
      <c r="C42" s="93">
        <f>SUM(C5:C41)</f>
        <v>26054</v>
      </c>
      <c r="D42" s="93">
        <f t="shared" ref="D42:T42" si="5">SUM(D5:D41)</f>
        <v>5336</v>
      </c>
      <c r="E42" s="93">
        <f t="shared" si="5"/>
        <v>31390</v>
      </c>
      <c r="F42" s="93">
        <f t="shared" si="5"/>
        <v>8565</v>
      </c>
      <c r="G42" s="93">
        <f t="shared" si="5"/>
        <v>39955</v>
      </c>
      <c r="H42" s="93">
        <f t="shared" si="5"/>
        <v>12199079</v>
      </c>
      <c r="I42" s="93">
        <f t="shared" si="5"/>
        <v>5817325</v>
      </c>
      <c r="J42" s="93">
        <f t="shared" si="5"/>
        <v>18016404</v>
      </c>
      <c r="K42" s="93">
        <f t="shared" si="5"/>
        <v>9137335</v>
      </c>
      <c r="L42" s="93">
        <f t="shared" si="5"/>
        <v>27153739</v>
      </c>
      <c r="M42" s="93">
        <f t="shared" si="5"/>
        <v>617</v>
      </c>
      <c r="N42" s="93">
        <f t="shared" si="5"/>
        <v>45471</v>
      </c>
      <c r="O42" s="93">
        <f t="shared" si="5"/>
        <v>48</v>
      </c>
      <c r="P42" s="93">
        <f t="shared" si="5"/>
        <v>3416</v>
      </c>
      <c r="Q42" s="93">
        <f t="shared" si="5"/>
        <v>152</v>
      </c>
      <c r="R42" s="93">
        <f t="shared" si="5"/>
        <v>19223</v>
      </c>
      <c r="S42" s="93">
        <f t="shared" si="5"/>
        <v>817</v>
      </c>
      <c r="T42" s="93">
        <f t="shared" si="5"/>
        <v>68110</v>
      </c>
    </row>
  </sheetData>
  <mergeCells count="21">
    <mergeCell ref="Q2:R2"/>
    <mergeCell ref="S2:T2"/>
    <mergeCell ref="A1:B1"/>
    <mergeCell ref="A2:A3"/>
    <mergeCell ref="A42:B42"/>
    <mergeCell ref="I2:I3"/>
    <mergeCell ref="J2:J3"/>
    <mergeCell ref="K2:K3"/>
    <mergeCell ref="L2:L3"/>
    <mergeCell ref="M2:N2"/>
    <mergeCell ref="O2:P2"/>
    <mergeCell ref="C1:G1"/>
    <mergeCell ref="H1:L1"/>
    <mergeCell ref="M1:T1"/>
    <mergeCell ref="B2:B3"/>
    <mergeCell ref="C2:C3"/>
    <mergeCell ref="D2:D3"/>
    <mergeCell ref="E2:E3"/>
    <mergeCell ref="F2:F3"/>
    <mergeCell ref="G2:G3"/>
    <mergeCell ref="H2:H3"/>
  </mergeCells>
  <printOptions horizontalCentered="1"/>
  <pageMargins left="0.70866141732283505" right="0.196850393700787" top="0.511811023622047" bottom="0.59055118110236204" header="0.31496062992126" footer="0.31496062992126"/>
  <pageSetup paperSize="9" scale="90" firstPageNumber="9" pageOrder="overThenDown" orientation="portrait" useFirstPageNumber="1" r:id="rId1"/>
  <headerFooter>
    <oddFooter>&amp;LAISHE 2019-20&amp;CT-5</oddFooter>
  </headerFooter>
  <colBreaks count="2" manualBreakCount="2">
    <brk id="7" max="40" man="1"/>
    <brk id="12" max="4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</sheetPr>
  <dimension ref="A1:AC42"/>
  <sheetViews>
    <sheetView view="pageBreakPreview" zoomScaleSheetLayoutView="100" workbookViewId="0">
      <pane xSplit="2" ySplit="3" topLeftCell="T32" activePane="bottomRight" state="frozen"/>
      <selection activeCell="B4" sqref="B4"/>
      <selection pane="topRight" activeCell="B4" sqref="B4"/>
      <selection pane="bottomLeft" activeCell="B4" sqref="B4"/>
      <selection pane="bottomRight" activeCell="C1" sqref="C1"/>
    </sheetView>
  </sheetViews>
  <sheetFormatPr defaultColWidth="9.140625" defaultRowHeight="15"/>
  <cols>
    <col min="1" max="1" width="5.140625" style="114" customWidth="1"/>
    <col min="2" max="2" width="25.28515625" style="114" customWidth="1"/>
    <col min="3" max="3" width="8.140625" style="114" customWidth="1"/>
    <col min="4" max="4" width="8.7109375" style="114" customWidth="1"/>
    <col min="5" max="5" width="9" style="114" customWidth="1"/>
    <col min="6" max="6" width="7.28515625" style="114" customWidth="1"/>
    <col min="7" max="7" width="8.140625" style="114" customWidth="1"/>
    <col min="8" max="8" width="7.42578125" style="114" customWidth="1"/>
    <col min="9" max="11" width="9.28515625" style="114" customWidth="1"/>
    <col min="12" max="12" width="10.140625" style="114" customWidth="1"/>
    <col min="13" max="14" width="10.7109375" style="114" customWidth="1"/>
    <col min="15" max="15" width="8.42578125" style="114" customWidth="1"/>
    <col min="16" max="16" width="8.5703125" style="114" customWidth="1"/>
    <col min="17" max="17" width="8.7109375" style="114" customWidth="1"/>
    <col min="18" max="18" width="9.5703125" style="114" customWidth="1"/>
    <col min="19" max="19" width="8.7109375" style="114" customWidth="1"/>
    <col min="20" max="20" width="10" style="114" customWidth="1"/>
    <col min="21" max="21" width="6.85546875" style="114" customWidth="1"/>
    <col min="22" max="22" width="8.42578125" style="114" customWidth="1"/>
    <col min="23" max="23" width="9" style="114" customWidth="1"/>
    <col min="24" max="24" width="8.28515625" style="114" customWidth="1"/>
    <col min="25" max="25" width="8.85546875" style="114" customWidth="1"/>
    <col min="26" max="26" width="8.28515625" style="114" customWidth="1"/>
    <col min="27" max="27" width="11.42578125" style="114" customWidth="1"/>
    <col min="28" max="29" width="10.85546875" style="114" customWidth="1"/>
    <col min="30" max="16384" width="9.140625" style="114"/>
  </cols>
  <sheetData>
    <row r="1" spans="1:29" s="203" customFormat="1" ht="27" customHeight="1">
      <c r="B1" s="204" t="s">
        <v>53</v>
      </c>
      <c r="C1" s="205" t="s">
        <v>874</v>
      </c>
      <c r="L1" s="205" t="str">
        <f>C1</f>
        <v>6. State-wise Estimated Enrolment at various levels</v>
      </c>
      <c r="U1" s="205" t="str">
        <f>L1</f>
        <v>6. State-wise Estimated Enrolment at various levels</v>
      </c>
    </row>
    <row r="2" spans="1:29" s="151" customFormat="1" ht="24.75" customHeight="1">
      <c r="A2" s="777" t="s">
        <v>165</v>
      </c>
      <c r="B2" s="755" t="s">
        <v>713</v>
      </c>
      <c r="C2" s="774" t="s">
        <v>89</v>
      </c>
      <c r="D2" s="775"/>
      <c r="E2" s="776"/>
      <c r="F2" s="774" t="s">
        <v>90</v>
      </c>
      <c r="G2" s="775"/>
      <c r="H2" s="776"/>
      <c r="I2" s="774" t="s">
        <v>85</v>
      </c>
      <c r="J2" s="775"/>
      <c r="K2" s="776"/>
      <c r="L2" s="774" t="s">
        <v>86</v>
      </c>
      <c r="M2" s="775"/>
      <c r="N2" s="776"/>
      <c r="O2" s="774" t="s">
        <v>91</v>
      </c>
      <c r="P2" s="775"/>
      <c r="Q2" s="776"/>
      <c r="R2" s="774" t="s">
        <v>92</v>
      </c>
      <c r="S2" s="775"/>
      <c r="T2" s="776"/>
      <c r="U2" s="774" t="s">
        <v>93</v>
      </c>
      <c r="V2" s="775"/>
      <c r="W2" s="776"/>
      <c r="X2" s="774" t="s">
        <v>94</v>
      </c>
      <c r="Y2" s="775"/>
      <c r="Z2" s="776"/>
      <c r="AA2" s="774" t="s">
        <v>60</v>
      </c>
      <c r="AB2" s="775"/>
      <c r="AC2" s="776"/>
    </row>
    <row r="3" spans="1:29" s="97" customFormat="1" ht="24.75" customHeight="1">
      <c r="A3" s="778"/>
      <c r="B3" s="755"/>
      <c r="C3" s="463" t="s">
        <v>87</v>
      </c>
      <c r="D3" s="463" t="s">
        <v>88</v>
      </c>
      <c r="E3" s="463" t="s">
        <v>12</v>
      </c>
      <c r="F3" s="463" t="s">
        <v>87</v>
      </c>
      <c r="G3" s="463" t="s">
        <v>88</v>
      </c>
      <c r="H3" s="463" t="s">
        <v>12</v>
      </c>
      <c r="I3" s="463" t="s">
        <v>87</v>
      </c>
      <c r="J3" s="463" t="s">
        <v>88</v>
      </c>
      <c r="K3" s="463" t="s">
        <v>12</v>
      </c>
      <c r="L3" s="463" t="s">
        <v>87</v>
      </c>
      <c r="M3" s="463" t="s">
        <v>88</v>
      </c>
      <c r="N3" s="463" t="s">
        <v>12</v>
      </c>
      <c r="O3" s="463" t="s">
        <v>87</v>
      </c>
      <c r="P3" s="463" t="s">
        <v>88</v>
      </c>
      <c r="Q3" s="463" t="s">
        <v>12</v>
      </c>
      <c r="R3" s="463" t="s">
        <v>87</v>
      </c>
      <c r="S3" s="463" t="s">
        <v>88</v>
      </c>
      <c r="T3" s="463" t="s">
        <v>12</v>
      </c>
      <c r="U3" s="463" t="s">
        <v>87</v>
      </c>
      <c r="V3" s="463" t="s">
        <v>88</v>
      </c>
      <c r="W3" s="463" t="s">
        <v>12</v>
      </c>
      <c r="X3" s="463" t="s">
        <v>87</v>
      </c>
      <c r="Y3" s="463" t="s">
        <v>88</v>
      </c>
      <c r="Z3" s="463" t="s">
        <v>12</v>
      </c>
      <c r="AA3" s="463" t="s">
        <v>87</v>
      </c>
      <c r="AB3" s="463" t="s">
        <v>88</v>
      </c>
      <c r="AC3" s="463" t="s">
        <v>12</v>
      </c>
    </row>
    <row r="4" spans="1:29" s="153" customFormat="1" ht="15" customHeight="1">
      <c r="A4" s="152">
        <v>1</v>
      </c>
      <c r="B4" s="152">
        <v>2</v>
      </c>
      <c r="C4" s="152">
        <v>3</v>
      </c>
      <c r="D4" s="152">
        <v>4</v>
      </c>
      <c r="E4" s="152">
        <v>5</v>
      </c>
      <c r="F4" s="152">
        <v>6</v>
      </c>
      <c r="G4" s="152">
        <v>7</v>
      </c>
      <c r="H4" s="152">
        <v>8</v>
      </c>
      <c r="I4" s="152">
        <v>9</v>
      </c>
      <c r="J4" s="152">
        <v>10</v>
      </c>
      <c r="K4" s="152">
        <v>11</v>
      </c>
      <c r="L4" s="152">
        <v>12</v>
      </c>
      <c r="M4" s="152">
        <v>13</v>
      </c>
      <c r="N4" s="152">
        <v>14</v>
      </c>
      <c r="O4" s="152">
        <v>15</v>
      </c>
      <c r="P4" s="152">
        <v>16</v>
      </c>
      <c r="Q4" s="152">
        <v>17</v>
      </c>
      <c r="R4" s="152">
        <v>18</v>
      </c>
      <c r="S4" s="152">
        <v>19</v>
      </c>
      <c r="T4" s="152">
        <v>20</v>
      </c>
      <c r="U4" s="152">
        <v>21</v>
      </c>
      <c r="V4" s="152">
        <v>22</v>
      </c>
      <c r="W4" s="152">
        <v>23</v>
      </c>
      <c r="X4" s="152">
        <v>24</v>
      </c>
      <c r="Y4" s="152">
        <v>25</v>
      </c>
      <c r="Z4" s="152">
        <v>26</v>
      </c>
      <c r="AA4" s="152">
        <v>27</v>
      </c>
      <c r="AB4" s="152">
        <v>28</v>
      </c>
      <c r="AC4" s="152">
        <v>29</v>
      </c>
    </row>
    <row r="5" spans="1:29" s="97" customFormat="1" ht="30.75" customHeight="1">
      <c r="A5" s="84">
        <v>1</v>
      </c>
      <c r="B5" s="160" t="s">
        <v>154</v>
      </c>
      <c r="C5" s="154">
        <v>5</v>
      </c>
      <c r="D5" s="154">
        <v>9</v>
      </c>
      <c r="E5" s="154">
        <v>14</v>
      </c>
      <c r="F5" s="154">
        <v>0</v>
      </c>
      <c r="G5" s="154">
        <v>0</v>
      </c>
      <c r="H5" s="154">
        <v>0</v>
      </c>
      <c r="I5" s="154">
        <v>571</v>
      </c>
      <c r="J5" s="154">
        <v>969</v>
      </c>
      <c r="K5" s="154">
        <v>1540</v>
      </c>
      <c r="L5" s="154">
        <v>3397</v>
      </c>
      <c r="M5" s="154">
        <v>4059</v>
      </c>
      <c r="N5" s="154">
        <v>7456</v>
      </c>
      <c r="O5" s="154">
        <v>58</v>
      </c>
      <c r="P5" s="154">
        <v>40</v>
      </c>
      <c r="Q5" s="154">
        <v>98</v>
      </c>
      <c r="R5" s="154">
        <v>310</v>
      </c>
      <c r="S5" s="154">
        <v>262</v>
      </c>
      <c r="T5" s="154">
        <v>572</v>
      </c>
      <c r="U5" s="154">
        <v>46</v>
      </c>
      <c r="V5" s="154">
        <v>36</v>
      </c>
      <c r="W5" s="154">
        <v>82</v>
      </c>
      <c r="X5" s="154">
        <v>145</v>
      </c>
      <c r="Y5" s="154">
        <v>224</v>
      </c>
      <c r="Z5" s="154">
        <v>369</v>
      </c>
      <c r="AA5" s="155">
        <v>4532</v>
      </c>
      <c r="AB5" s="155">
        <v>5599</v>
      </c>
      <c r="AC5" s="644">
        <f>AA5+AB5</f>
        <v>10131</v>
      </c>
    </row>
    <row r="6" spans="1:29" s="97" customFormat="1" ht="21.75" customHeight="1">
      <c r="A6" s="84">
        <v>2</v>
      </c>
      <c r="B6" s="156" t="s">
        <v>15</v>
      </c>
      <c r="C6" s="154">
        <v>3837</v>
      </c>
      <c r="D6" s="154">
        <v>2879</v>
      </c>
      <c r="E6" s="154">
        <v>6716</v>
      </c>
      <c r="F6" s="154">
        <v>175</v>
      </c>
      <c r="G6" s="154">
        <v>102</v>
      </c>
      <c r="H6" s="154">
        <v>277</v>
      </c>
      <c r="I6" s="154">
        <v>112024</v>
      </c>
      <c r="J6" s="154">
        <v>105816</v>
      </c>
      <c r="K6" s="154">
        <v>217840</v>
      </c>
      <c r="L6" s="154">
        <v>798084</v>
      </c>
      <c r="M6" s="154">
        <v>694983</v>
      </c>
      <c r="N6" s="154">
        <v>1493067</v>
      </c>
      <c r="O6" s="154">
        <v>1402</v>
      </c>
      <c r="P6" s="154">
        <v>879</v>
      </c>
      <c r="Q6" s="154">
        <v>2281</v>
      </c>
      <c r="R6" s="154">
        <v>93033</v>
      </c>
      <c r="S6" s="154">
        <v>60085</v>
      </c>
      <c r="T6" s="154">
        <v>153118</v>
      </c>
      <c r="U6" s="154">
        <v>3921</v>
      </c>
      <c r="V6" s="154">
        <v>6917</v>
      </c>
      <c r="W6" s="154">
        <v>10838</v>
      </c>
      <c r="X6" s="154">
        <v>8650</v>
      </c>
      <c r="Y6" s="154">
        <v>4362</v>
      </c>
      <c r="Z6" s="154">
        <v>13012</v>
      </c>
      <c r="AA6" s="155">
        <v>1021126</v>
      </c>
      <c r="AB6" s="155">
        <v>876023</v>
      </c>
      <c r="AC6" s="644">
        <f t="shared" ref="AC6:AC41" si="0">AA6+AB6</f>
        <v>1897149</v>
      </c>
    </row>
    <row r="7" spans="1:29" s="97" customFormat="1" ht="21.75" customHeight="1">
      <c r="A7" s="84">
        <v>3</v>
      </c>
      <c r="B7" s="156" t="s">
        <v>16</v>
      </c>
      <c r="C7" s="154">
        <v>597</v>
      </c>
      <c r="D7" s="154">
        <v>469</v>
      </c>
      <c r="E7" s="154">
        <v>1066</v>
      </c>
      <c r="F7" s="154">
        <v>77</v>
      </c>
      <c r="G7" s="154">
        <v>113</v>
      </c>
      <c r="H7" s="154">
        <v>190</v>
      </c>
      <c r="I7" s="154">
        <v>4960</v>
      </c>
      <c r="J7" s="154">
        <v>5880</v>
      </c>
      <c r="K7" s="154">
        <v>10840</v>
      </c>
      <c r="L7" s="154">
        <v>20418</v>
      </c>
      <c r="M7" s="154">
        <v>19017</v>
      </c>
      <c r="N7" s="154">
        <v>39435</v>
      </c>
      <c r="O7" s="154">
        <v>127</v>
      </c>
      <c r="P7" s="154">
        <v>144</v>
      </c>
      <c r="Q7" s="154">
        <v>271</v>
      </c>
      <c r="R7" s="154">
        <v>1308</v>
      </c>
      <c r="S7" s="154">
        <v>645</v>
      </c>
      <c r="T7" s="154">
        <v>1953</v>
      </c>
      <c r="U7" s="154">
        <v>299</v>
      </c>
      <c r="V7" s="154">
        <v>119</v>
      </c>
      <c r="W7" s="154">
        <v>418</v>
      </c>
      <c r="X7" s="154">
        <v>1015</v>
      </c>
      <c r="Y7" s="154">
        <v>628</v>
      </c>
      <c r="Z7" s="154">
        <v>1643</v>
      </c>
      <c r="AA7" s="155">
        <v>28801</v>
      </c>
      <c r="AB7" s="155">
        <v>27015</v>
      </c>
      <c r="AC7" s="644">
        <f t="shared" si="0"/>
        <v>55816</v>
      </c>
    </row>
    <row r="8" spans="1:29" s="97" customFormat="1" ht="21.75" customHeight="1">
      <c r="A8" s="84">
        <v>4</v>
      </c>
      <c r="B8" s="156" t="s">
        <v>17</v>
      </c>
      <c r="C8" s="154">
        <v>3214</v>
      </c>
      <c r="D8" s="154">
        <v>2413</v>
      </c>
      <c r="E8" s="154">
        <v>5627</v>
      </c>
      <c r="F8" s="154">
        <v>245</v>
      </c>
      <c r="G8" s="154">
        <v>371</v>
      </c>
      <c r="H8" s="154">
        <v>616</v>
      </c>
      <c r="I8" s="154">
        <v>27523</v>
      </c>
      <c r="J8" s="154">
        <v>39800</v>
      </c>
      <c r="K8" s="154">
        <v>67323</v>
      </c>
      <c r="L8" s="154">
        <v>269915</v>
      </c>
      <c r="M8" s="154">
        <v>278078</v>
      </c>
      <c r="N8" s="154">
        <v>547993</v>
      </c>
      <c r="O8" s="154">
        <v>1683</v>
      </c>
      <c r="P8" s="154">
        <v>1530</v>
      </c>
      <c r="Q8" s="154">
        <v>3213</v>
      </c>
      <c r="R8" s="154">
        <v>11139</v>
      </c>
      <c r="S8" s="154">
        <v>8078</v>
      </c>
      <c r="T8" s="154">
        <v>19217</v>
      </c>
      <c r="U8" s="154">
        <v>743</v>
      </c>
      <c r="V8" s="154">
        <v>1176</v>
      </c>
      <c r="W8" s="154">
        <v>1919</v>
      </c>
      <c r="X8" s="154">
        <v>2446</v>
      </c>
      <c r="Y8" s="154">
        <v>2247</v>
      </c>
      <c r="Z8" s="154">
        <v>4693</v>
      </c>
      <c r="AA8" s="155">
        <v>316908</v>
      </c>
      <c r="AB8" s="155">
        <v>333693</v>
      </c>
      <c r="AC8" s="644">
        <f t="shared" si="0"/>
        <v>650601</v>
      </c>
    </row>
    <row r="9" spans="1:29" s="97" customFormat="1" ht="21.75" customHeight="1">
      <c r="A9" s="84">
        <v>5</v>
      </c>
      <c r="B9" s="156" t="s">
        <v>18</v>
      </c>
      <c r="C9" s="154">
        <v>1665</v>
      </c>
      <c r="D9" s="154">
        <v>1034</v>
      </c>
      <c r="E9" s="154">
        <v>2699</v>
      </c>
      <c r="F9" s="154">
        <v>55</v>
      </c>
      <c r="G9" s="154">
        <v>15</v>
      </c>
      <c r="H9" s="154">
        <v>70</v>
      </c>
      <c r="I9" s="154">
        <v>61287</v>
      </c>
      <c r="J9" s="154">
        <v>59654</v>
      </c>
      <c r="K9" s="154">
        <v>120941</v>
      </c>
      <c r="L9" s="154">
        <v>855740</v>
      </c>
      <c r="M9" s="154">
        <v>677529</v>
      </c>
      <c r="N9" s="154">
        <v>1533269</v>
      </c>
      <c r="O9" s="154">
        <v>1814</v>
      </c>
      <c r="P9" s="154">
        <v>801</v>
      </c>
      <c r="Q9" s="154">
        <v>2615</v>
      </c>
      <c r="R9" s="154">
        <v>43054</v>
      </c>
      <c r="S9" s="154">
        <v>25907</v>
      </c>
      <c r="T9" s="154">
        <v>68961</v>
      </c>
      <c r="U9" s="154">
        <v>4029</v>
      </c>
      <c r="V9" s="154">
        <v>2564</v>
      </c>
      <c r="W9" s="154">
        <v>6593</v>
      </c>
      <c r="X9" s="154">
        <v>2258</v>
      </c>
      <c r="Y9" s="154">
        <v>1026</v>
      </c>
      <c r="Z9" s="154">
        <v>3284</v>
      </c>
      <c r="AA9" s="155">
        <v>969902</v>
      </c>
      <c r="AB9" s="155">
        <v>768530</v>
      </c>
      <c r="AC9" s="644">
        <f t="shared" si="0"/>
        <v>1738432</v>
      </c>
    </row>
    <row r="10" spans="1:29" s="97" customFormat="1" ht="21.75" customHeight="1">
      <c r="A10" s="84">
        <v>6</v>
      </c>
      <c r="B10" s="156" t="s">
        <v>19</v>
      </c>
      <c r="C10" s="154">
        <v>409</v>
      </c>
      <c r="D10" s="154">
        <v>550</v>
      </c>
      <c r="E10" s="154">
        <v>959</v>
      </c>
      <c r="F10" s="154">
        <v>140</v>
      </c>
      <c r="G10" s="154">
        <v>48</v>
      </c>
      <c r="H10" s="154">
        <v>188</v>
      </c>
      <c r="I10" s="154">
        <v>8560</v>
      </c>
      <c r="J10" s="154">
        <v>13854</v>
      </c>
      <c r="K10" s="154">
        <v>22414</v>
      </c>
      <c r="L10" s="154">
        <v>39098</v>
      </c>
      <c r="M10" s="154">
        <v>34415</v>
      </c>
      <c r="N10" s="154">
        <v>73513</v>
      </c>
      <c r="O10" s="154">
        <v>1065</v>
      </c>
      <c r="P10" s="154">
        <v>1115</v>
      </c>
      <c r="Q10" s="154">
        <v>2180</v>
      </c>
      <c r="R10" s="154">
        <v>2340</v>
      </c>
      <c r="S10" s="154">
        <v>1944</v>
      </c>
      <c r="T10" s="154">
        <v>4284</v>
      </c>
      <c r="U10" s="154">
        <v>419</v>
      </c>
      <c r="V10" s="154">
        <v>281</v>
      </c>
      <c r="W10" s="154">
        <v>700</v>
      </c>
      <c r="X10" s="154">
        <v>1139</v>
      </c>
      <c r="Y10" s="154">
        <v>1290</v>
      </c>
      <c r="Z10" s="154">
        <v>2429</v>
      </c>
      <c r="AA10" s="155">
        <v>53170</v>
      </c>
      <c r="AB10" s="155">
        <v>53497</v>
      </c>
      <c r="AC10" s="644">
        <f t="shared" si="0"/>
        <v>106667</v>
      </c>
    </row>
    <row r="11" spans="1:29" s="97" customFormat="1" ht="21.75" customHeight="1">
      <c r="A11" s="84">
        <v>7</v>
      </c>
      <c r="B11" s="156" t="s">
        <v>20</v>
      </c>
      <c r="C11" s="154">
        <v>824</v>
      </c>
      <c r="D11" s="154">
        <v>691</v>
      </c>
      <c r="E11" s="154">
        <v>1515</v>
      </c>
      <c r="F11" s="154">
        <v>109</v>
      </c>
      <c r="G11" s="154">
        <v>89</v>
      </c>
      <c r="H11" s="154">
        <v>198</v>
      </c>
      <c r="I11" s="154">
        <v>30137</v>
      </c>
      <c r="J11" s="154">
        <v>40444</v>
      </c>
      <c r="K11" s="154">
        <v>70581</v>
      </c>
      <c r="L11" s="154">
        <v>187304</v>
      </c>
      <c r="M11" s="154">
        <v>228077</v>
      </c>
      <c r="N11" s="154">
        <v>415381</v>
      </c>
      <c r="O11" s="154">
        <v>13986</v>
      </c>
      <c r="P11" s="154">
        <v>14396</v>
      </c>
      <c r="Q11" s="154">
        <v>28382</v>
      </c>
      <c r="R11" s="154">
        <v>38361</v>
      </c>
      <c r="S11" s="154">
        <v>27702</v>
      </c>
      <c r="T11" s="154">
        <v>66063</v>
      </c>
      <c r="U11" s="154">
        <v>210</v>
      </c>
      <c r="V11" s="154">
        <v>335</v>
      </c>
      <c r="W11" s="154">
        <v>545</v>
      </c>
      <c r="X11" s="154">
        <v>1882</v>
      </c>
      <c r="Y11" s="154">
        <v>1848</v>
      </c>
      <c r="Z11" s="154">
        <v>3730</v>
      </c>
      <c r="AA11" s="155">
        <v>272813</v>
      </c>
      <c r="AB11" s="155">
        <v>313582</v>
      </c>
      <c r="AC11" s="644">
        <f t="shared" si="0"/>
        <v>586395</v>
      </c>
    </row>
    <row r="12" spans="1:29" s="97" customFormat="1" ht="21.75" customHeight="1">
      <c r="A12" s="84">
        <v>8</v>
      </c>
      <c r="B12" s="156" t="s">
        <v>155</v>
      </c>
      <c r="C12" s="154">
        <v>0</v>
      </c>
      <c r="D12" s="154">
        <v>0</v>
      </c>
      <c r="E12" s="154">
        <v>0</v>
      </c>
      <c r="F12" s="154">
        <v>0</v>
      </c>
      <c r="G12" s="154">
        <v>0</v>
      </c>
      <c r="H12" s="154">
        <v>0</v>
      </c>
      <c r="I12" s="154">
        <v>122</v>
      </c>
      <c r="J12" s="154">
        <v>247</v>
      </c>
      <c r="K12" s="154">
        <v>369</v>
      </c>
      <c r="L12" s="154">
        <v>2401</v>
      </c>
      <c r="M12" s="154">
        <v>2855</v>
      </c>
      <c r="N12" s="154">
        <v>5256</v>
      </c>
      <c r="O12" s="154">
        <v>0</v>
      </c>
      <c r="P12" s="154">
        <v>0</v>
      </c>
      <c r="Q12" s="154">
        <v>0</v>
      </c>
      <c r="R12" s="154">
        <v>596</v>
      </c>
      <c r="S12" s="154">
        <v>135</v>
      </c>
      <c r="T12" s="154">
        <v>731</v>
      </c>
      <c r="U12" s="154">
        <v>0</v>
      </c>
      <c r="V12" s="154">
        <v>0</v>
      </c>
      <c r="W12" s="154">
        <v>0</v>
      </c>
      <c r="X12" s="154">
        <v>11</v>
      </c>
      <c r="Y12" s="154">
        <v>26</v>
      </c>
      <c r="Z12" s="154">
        <v>37</v>
      </c>
      <c r="AA12" s="155">
        <v>3130</v>
      </c>
      <c r="AB12" s="155">
        <v>3263</v>
      </c>
      <c r="AC12" s="644">
        <f t="shared" si="0"/>
        <v>6393</v>
      </c>
    </row>
    <row r="13" spans="1:29" s="97" customFormat="1" ht="21.75" customHeight="1">
      <c r="A13" s="84">
        <v>9</v>
      </c>
      <c r="B13" s="156" t="s">
        <v>156</v>
      </c>
      <c r="C13" s="154">
        <v>0</v>
      </c>
      <c r="D13" s="154">
        <v>0</v>
      </c>
      <c r="E13" s="154">
        <v>0</v>
      </c>
      <c r="F13" s="154">
        <v>0</v>
      </c>
      <c r="G13" s="154">
        <v>0</v>
      </c>
      <c r="H13" s="154">
        <v>0</v>
      </c>
      <c r="I13" s="154">
        <v>66</v>
      </c>
      <c r="J13" s="154">
        <v>186</v>
      </c>
      <c r="K13" s="154">
        <v>252</v>
      </c>
      <c r="L13" s="154">
        <v>1035</v>
      </c>
      <c r="M13" s="154">
        <v>1310</v>
      </c>
      <c r="N13" s="154">
        <v>2345</v>
      </c>
      <c r="O13" s="154">
        <v>0</v>
      </c>
      <c r="P13" s="154">
        <v>0</v>
      </c>
      <c r="Q13" s="154">
        <v>0</v>
      </c>
      <c r="R13" s="154">
        <v>1089</v>
      </c>
      <c r="S13" s="154">
        <v>246</v>
      </c>
      <c r="T13" s="154">
        <v>1335</v>
      </c>
      <c r="U13" s="154">
        <v>0</v>
      </c>
      <c r="V13" s="154">
        <v>0</v>
      </c>
      <c r="W13" s="154">
        <v>0</v>
      </c>
      <c r="X13" s="154">
        <v>0</v>
      </c>
      <c r="Y13" s="154">
        <v>0</v>
      </c>
      <c r="Z13" s="154">
        <v>0</v>
      </c>
      <c r="AA13" s="155">
        <v>2190</v>
      </c>
      <c r="AB13" s="155">
        <v>1742</v>
      </c>
      <c r="AC13" s="644">
        <f t="shared" si="0"/>
        <v>3932</v>
      </c>
    </row>
    <row r="14" spans="1:29" s="97" customFormat="1" ht="21.75" customHeight="1">
      <c r="A14" s="84">
        <v>10</v>
      </c>
      <c r="B14" s="156" t="s">
        <v>23</v>
      </c>
      <c r="C14" s="154">
        <v>8812</v>
      </c>
      <c r="D14" s="154">
        <v>7458</v>
      </c>
      <c r="E14" s="154">
        <v>16270</v>
      </c>
      <c r="F14" s="154">
        <v>650</v>
      </c>
      <c r="G14" s="154">
        <v>672</v>
      </c>
      <c r="H14" s="154">
        <v>1322</v>
      </c>
      <c r="I14" s="154">
        <v>71734</v>
      </c>
      <c r="J14" s="154">
        <v>103717</v>
      </c>
      <c r="K14" s="154">
        <v>175451</v>
      </c>
      <c r="L14" s="154">
        <v>467104</v>
      </c>
      <c r="M14" s="154">
        <v>419284</v>
      </c>
      <c r="N14" s="154">
        <v>886388</v>
      </c>
      <c r="O14" s="154">
        <v>6054</v>
      </c>
      <c r="P14" s="154">
        <v>4758</v>
      </c>
      <c r="Q14" s="154">
        <v>10812</v>
      </c>
      <c r="R14" s="154">
        <v>18927</v>
      </c>
      <c r="S14" s="154">
        <v>15039</v>
      </c>
      <c r="T14" s="154">
        <v>33966</v>
      </c>
      <c r="U14" s="154">
        <v>2467</v>
      </c>
      <c r="V14" s="154">
        <v>1684</v>
      </c>
      <c r="W14" s="154">
        <v>4151</v>
      </c>
      <c r="X14" s="154">
        <v>2999</v>
      </c>
      <c r="Y14" s="154">
        <v>1497</v>
      </c>
      <c r="Z14" s="154">
        <v>4496</v>
      </c>
      <c r="AA14" s="155">
        <v>578747</v>
      </c>
      <c r="AB14" s="155">
        <v>554109</v>
      </c>
      <c r="AC14" s="644">
        <f t="shared" si="0"/>
        <v>1132856</v>
      </c>
    </row>
    <row r="15" spans="1:29" s="97" customFormat="1" ht="21.75" customHeight="1">
      <c r="A15" s="84">
        <v>11</v>
      </c>
      <c r="B15" s="156" t="s">
        <v>24</v>
      </c>
      <c r="C15" s="154">
        <v>217</v>
      </c>
      <c r="D15" s="154">
        <v>216</v>
      </c>
      <c r="E15" s="154">
        <v>433</v>
      </c>
      <c r="F15" s="154">
        <v>1</v>
      </c>
      <c r="G15" s="154">
        <v>4</v>
      </c>
      <c r="H15" s="154">
        <v>5</v>
      </c>
      <c r="I15" s="154">
        <v>2534</v>
      </c>
      <c r="J15" s="154">
        <v>4183</v>
      </c>
      <c r="K15" s="154">
        <v>6717</v>
      </c>
      <c r="L15" s="154">
        <v>17543</v>
      </c>
      <c r="M15" s="154">
        <v>21755</v>
      </c>
      <c r="N15" s="154">
        <v>39298</v>
      </c>
      <c r="O15" s="154">
        <v>105</v>
      </c>
      <c r="P15" s="154">
        <v>107</v>
      </c>
      <c r="Q15" s="154">
        <v>212</v>
      </c>
      <c r="R15" s="154">
        <v>4439</v>
      </c>
      <c r="S15" s="154">
        <v>930</v>
      </c>
      <c r="T15" s="154">
        <v>5369</v>
      </c>
      <c r="U15" s="154">
        <v>20</v>
      </c>
      <c r="V15" s="154">
        <v>4</v>
      </c>
      <c r="W15" s="154">
        <v>24</v>
      </c>
      <c r="X15" s="154">
        <v>196</v>
      </c>
      <c r="Y15" s="154">
        <v>528</v>
      </c>
      <c r="Z15" s="154">
        <v>724</v>
      </c>
      <c r="AA15" s="155">
        <v>25055</v>
      </c>
      <c r="AB15" s="155">
        <v>27727</v>
      </c>
      <c r="AC15" s="644">
        <f t="shared" si="0"/>
        <v>52782</v>
      </c>
    </row>
    <row r="16" spans="1:29" s="97" customFormat="1" ht="21.75" customHeight="1">
      <c r="A16" s="84">
        <v>12</v>
      </c>
      <c r="B16" s="156" t="s">
        <v>25</v>
      </c>
      <c r="C16" s="154">
        <v>4380</v>
      </c>
      <c r="D16" s="154">
        <v>3050</v>
      </c>
      <c r="E16" s="154">
        <v>7430</v>
      </c>
      <c r="F16" s="154">
        <v>468</v>
      </c>
      <c r="G16" s="154">
        <v>469</v>
      </c>
      <c r="H16" s="154">
        <v>937</v>
      </c>
      <c r="I16" s="154">
        <v>67586</v>
      </c>
      <c r="J16" s="154">
        <v>87425</v>
      </c>
      <c r="K16" s="154">
        <v>155011</v>
      </c>
      <c r="L16" s="154">
        <v>681018</v>
      </c>
      <c r="M16" s="154">
        <v>526227</v>
      </c>
      <c r="N16" s="154">
        <v>1207245</v>
      </c>
      <c r="O16" s="154">
        <v>3780</v>
      </c>
      <c r="P16" s="154">
        <v>3456</v>
      </c>
      <c r="Q16" s="154">
        <v>7236</v>
      </c>
      <c r="R16" s="154">
        <v>94560</v>
      </c>
      <c r="S16" s="154">
        <v>45181</v>
      </c>
      <c r="T16" s="154">
        <v>139741</v>
      </c>
      <c r="U16" s="154">
        <v>5540</v>
      </c>
      <c r="V16" s="154">
        <v>7185</v>
      </c>
      <c r="W16" s="154">
        <v>12725</v>
      </c>
      <c r="X16" s="154">
        <v>7635</v>
      </c>
      <c r="Y16" s="154">
        <v>6880</v>
      </c>
      <c r="Z16" s="154">
        <v>14515</v>
      </c>
      <c r="AA16" s="155">
        <v>864967</v>
      </c>
      <c r="AB16" s="155">
        <v>679873</v>
      </c>
      <c r="AC16" s="644">
        <f t="shared" si="0"/>
        <v>1544840</v>
      </c>
    </row>
    <row r="17" spans="1:29" s="97" customFormat="1" ht="21.75" customHeight="1">
      <c r="A17" s="84">
        <v>13</v>
      </c>
      <c r="B17" s="156" t="s">
        <v>26</v>
      </c>
      <c r="C17" s="154">
        <v>1810</v>
      </c>
      <c r="D17" s="154">
        <v>2356</v>
      </c>
      <c r="E17" s="154">
        <v>4166</v>
      </c>
      <c r="F17" s="154">
        <v>80</v>
      </c>
      <c r="G17" s="154">
        <v>230</v>
      </c>
      <c r="H17" s="154">
        <v>310</v>
      </c>
      <c r="I17" s="154">
        <v>41587</v>
      </c>
      <c r="J17" s="154">
        <v>69928</v>
      </c>
      <c r="K17" s="154">
        <v>111515</v>
      </c>
      <c r="L17" s="154">
        <v>354321</v>
      </c>
      <c r="M17" s="154">
        <v>368329</v>
      </c>
      <c r="N17" s="154">
        <v>722650</v>
      </c>
      <c r="O17" s="154">
        <v>2059</v>
      </c>
      <c r="P17" s="154">
        <v>1672</v>
      </c>
      <c r="Q17" s="154">
        <v>3731</v>
      </c>
      <c r="R17" s="154">
        <v>49706</v>
      </c>
      <c r="S17" s="154">
        <v>21579</v>
      </c>
      <c r="T17" s="154">
        <v>71285</v>
      </c>
      <c r="U17" s="154">
        <v>1621</v>
      </c>
      <c r="V17" s="154">
        <v>1778</v>
      </c>
      <c r="W17" s="154">
        <v>3399</v>
      </c>
      <c r="X17" s="154">
        <v>9303</v>
      </c>
      <c r="Y17" s="154">
        <v>7182</v>
      </c>
      <c r="Z17" s="154">
        <v>16485</v>
      </c>
      <c r="AA17" s="155">
        <v>460487</v>
      </c>
      <c r="AB17" s="155">
        <v>473054</v>
      </c>
      <c r="AC17" s="644">
        <f t="shared" si="0"/>
        <v>933541</v>
      </c>
    </row>
    <row r="18" spans="1:29" s="97" customFormat="1" ht="21.75" customHeight="1">
      <c r="A18" s="84">
        <v>14</v>
      </c>
      <c r="B18" s="156" t="s">
        <v>27</v>
      </c>
      <c r="C18" s="154">
        <v>1027</v>
      </c>
      <c r="D18" s="154">
        <v>897</v>
      </c>
      <c r="E18" s="154">
        <v>1924</v>
      </c>
      <c r="F18" s="154">
        <v>118</v>
      </c>
      <c r="G18" s="154">
        <v>214</v>
      </c>
      <c r="H18" s="154">
        <v>332</v>
      </c>
      <c r="I18" s="154">
        <v>12488</v>
      </c>
      <c r="J18" s="154">
        <v>16079</v>
      </c>
      <c r="K18" s="154">
        <v>28567</v>
      </c>
      <c r="L18" s="154">
        <v>107453</v>
      </c>
      <c r="M18" s="154">
        <v>129428</v>
      </c>
      <c r="N18" s="154">
        <v>236881</v>
      </c>
      <c r="O18" s="154">
        <v>1049</v>
      </c>
      <c r="P18" s="154">
        <v>1240</v>
      </c>
      <c r="Q18" s="154">
        <v>2289</v>
      </c>
      <c r="R18" s="154">
        <v>8515</v>
      </c>
      <c r="S18" s="154">
        <v>8198</v>
      </c>
      <c r="T18" s="154">
        <v>16713</v>
      </c>
      <c r="U18" s="154">
        <v>591</v>
      </c>
      <c r="V18" s="154">
        <v>678</v>
      </c>
      <c r="W18" s="154">
        <v>1269</v>
      </c>
      <c r="X18" s="154">
        <v>990</v>
      </c>
      <c r="Y18" s="154">
        <v>523</v>
      </c>
      <c r="Z18" s="154">
        <v>1513</v>
      </c>
      <c r="AA18" s="155">
        <v>132231</v>
      </c>
      <c r="AB18" s="155">
        <v>157257</v>
      </c>
      <c r="AC18" s="644">
        <f t="shared" si="0"/>
        <v>289488</v>
      </c>
    </row>
    <row r="19" spans="1:29" s="97" customFormat="1" ht="21.75" customHeight="1">
      <c r="A19" s="84">
        <v>15</v>
      </c>
      <c r="B19" s="156" t="s">
        <v>57</v>
      </c>
      <c r="C19" s="154">
        <v>2080</v>
      </c>
      <c r="D19" s="154">
        <v>1909</v>
      </c>
      <c r="E19" s="154">
        <v>3989</v>
      </c>
      <c r="F19" s="154">
        <v>94</v>
      </c>
      <c r="G19" s="154">
        <v>156</v>
      </c>
      <c r="H19" s="154">
        <v>250</v>
      </c>
      <c r="I19" s="154">
        <v>28673</v>
      </c>
      <c r="J19" s="154">
        <v>34950</v>
      </c>
      <c r="K19" s="154">
        <v>63623</v>
      </c>
      <c r="L19" s="154">
        <v>154680</v>
      </c>
      <c r="M19" s="154">
        <v>147209</v>
      </c>
      <c r="N19" s="154">
        <v>301889</v>
      </c>
      <c r="O19" s="154">
        <v>931</v>
      </c>
      <c r="P19" s="154">
        <v>620</v>
      </c>
      <c r="Q19" s="154">
        <v>1551</v>
      </c>
      <c r="R19" s="154">
        <v>8951</v>
      </c>
      <c r="S19" s="154">
        <v>6660</v>
      </c>
      <c r="T19" s="154">
        <v>15611</v>
      </c>
      <c r="U19" s="154">
        <v>994</v>
      </c>
      <c r="V19" s="154">
        <v>1123</v>
      </c>
      <c r="W19" s="154">
        <v>2117</v>
      </c>
      <c r="X19" s="154">
        <v>2846</v>
      </c>
      <c r="Y19" s="154">
        <v>3540</v>
      </c>
      <c r="Z19" s="154">
        <v>6386</v>
      </c>
      <c r="AA19" s="155">
        <v>199249</v>
      </c>
      <c r="AB19" s="155">
        <v>196167</v>
      </c>
      <c r="AC19" s="644">
        <f t="shared" si="0"/>
        <v>395416</v>
      </c>
    </row>
    <row r="20" spans="1:29" s="97" customFormat="1" ht="21.75" customHeight="1">
      <c r="A20" s="84">
        <v>16</v>
      </c>
      <c r="B20" s="156" t="s">
        <v>29</v>
      </c>
      <c r="C20" s="154">
        <v>2469</v>
      </c>
      <c r="D20" s="154">
        <v>1020</v>
      </c>
      <c r="E20" s="154">
        <v>3489</v>
      </c>
      <c r="F20" s="154">
        <v>33</v>
      </c>
      <c r="G20" s="154">
        <v>74</v>
      </c>
      <c r="H20" s="154">
        <v>107</v>
      </c>
      <c r="I20" s="154">
        <v>42783</v>
      </c>
      <c r="J20" s="154">
        <v>63051</v>
      </c>
      <c r="K20" s="154">
        <v>105834</v>
      </c>
      <c r="L20" s="154">
        <v>330828</v>
      </c>
      <c r="M20" s="154">
        <v>329263</v>
      </c>
      <c r="N20" s="154">
        <v>660091</v>
      </c>
      <c r="O20" s="154">
        <v>3061</v>
      </c>
      <c r="P20" s="154">
        <v>1602</v>
      </c>
      <c r="Q20" s="154">
        <v>4663</v>
      </c>
      <c r="R20" s="154">
        <v>26918</v>
      </c>
      <c r="S20" s="154">
        <v>11213</v>
      </c>
      <c r="T20" s="154">
        <v>38131</v>
      </c>
      <c r="U20" s="154">
        <v>672</v>
      </c>
      <c r="V20" s="154">
        <v>1256</v>
      </c>
      <c r="W20" s="154">
        <v>1928</v>
      </c>
      <c r="X20" s="154">
        <v>2095</v>
      </c>
      <c r="Y20" s="154">
        <v>1222</v>
      </c>
      <c r="Z20" s="154">
        <v>3317</v>
      </c>
      <c r="AA20" s="155">
        <v>408859</v>
      </c>
      <c r="AB20" s="155">
        <v>408701</v>
      </c>
      <c r="AC20" s="644">
        <f t="shared" si="0"/>
        <v>817560</v>
      </c>
    </row>
    <row r="21" spans="1:29" s="97" customFormat="1" ht="21.75" customHeight="1">
      <c r="A21" s="84">
        <v>17</v>
      </c>
      <c r="B21" s="156" t="s">
        <v>30</v>
      </c>
      <c r="C21" s="154">
        <v>8422</v>
      </c>
      <c r="D21" s="154">
        <v>6566</v>
      </c>
      <c r="E21" s="154">
        <v>14988</v>
      </c>
      <c r="F21" s="154">
        <v>160</v>
      </c>
      <c r="G21" s="154">
        <v>368</v>
      </c>
      <c r="H21" s="154">
        <v>528</v>
      </c>
      <c r="I21" s="154">
        <v>104832</v>
      </c>
      <c r="J21" s="154">
        <v>134324</v>
      </c>
      <c r="K21" s="154">
        <v>239156</v>
      </c>
      <c r="L21" s="154">
        <v>848754</v>
      </c>
      <c r="M21" s="154">
        <v>865942</v>
      </c>
      <c r="N21" s="154">
        <v>1714696</v>
      </c>
      <c r="O21" s="154">
        <v>5429</v>
      </c>
      <c r="P21" s="154">
        <v>4444</v>
      </c>
      <c r="Q21" s="154">
        <v>9873</v>
      </c>
      <c r="R21" s="154">
        <v>113722</v>
      </c>
      <c r="S21" s="154">
        <v>80771</v>
      </c>
      <c r="T21" s="154">
        <v>194493</v>
      </c>
      <c r="U21" s="154">
        <v>1182</v>
      </c>
      <c r="V21" s="154">
        <v>1520</v>
      </c>
      <c r="W21" s="154">
        <v>2702</v>
      </c>
      <c r="X21" s="154">
        <v>6382</v>
      </c>
      <c r="Y21" s="154">
        <v>5074</v>
      </c>
      <c r="Z21" s="154">
        <v>11456</v>
      </c>
      <c r="AA21" s="155">
        <v>1088883</v>
      </c>
      <c r="AB21" s="155">
        <v>1099009</v>
      </c>
      <c r="AC21" s="644">
        <f t="shared" si="0"/>
        <v>2187892</v>
      </c>
    </row>
    <row r="22" spans="1:29" s="97" customFormat="1" ht="21.75" customHeight="1">
      <c r="A22" s="84">
        <v>18</v>
      </c>
      <c r="B22" s="156" t="s">
        <v>31</v>
      </c>
      <c r="C22" s="154">
        <v>2817</v>
      </c>
      <c r="D22" s="154">
        <v>4687</v>
      </c>
      <c r="E22" s="154">
        <v>7504</v>
      </c>
      <c r="F22" s="154">
        <v>197</v>
      </c>
      <c r="G22" s="154">
        <v>676</v>
      </c>
      <c r="H22" s="154">
        <v>873</v>
      </c>
      <c r="I22" s="154">
        <v>40871</v>
      </c>
      <c r="J22" s="154">
        <v>97643</v>
      </c>
      <c r="K22" s="154">
        <v>138514</v>
      </c>
      <c r="L22" s="154">
        <v>393073</v>
      </c>
      <c r="M22" s="154">
        <v>509484</v>
      </c>
      <c r="N22" s="154">
        <v>902557</v>
      </c>
      <c r="O22" s="154">
        <v>1269</v>
      </c>
      <c r="P22" s="154">
        <v>1221</v>
      </c>
      <c r="Q22" s="154">
        <v>2490</v>
      </c>
      <c r="R22" s="154">
        <v>41613</v>
      </c>
      <c r="S22" s="154">
        <v>30834</v>
      </c>
      <c r="T22" s="154">
        <v>72447</v>
      </c>
      <c r="U22" s="154">
        <v>1308</v>
      </c>
      <c r="V22" s="154">
        <v>4365</v>
      </c>
      <c r="W22" s="154">
        <v>5673</v>
      </c>
      <c r="X22" s="154">
        <v>3701</v>
      </c>
      <c r="Y22" s="154">
        <v>4094</v>
      </c>
      <c r="Z22" s="154">
        <v>7795</v>
      </c>
      <c r="AA22" s="155">
        <v>484849</v>
      </c>
      <c r="AB22" s="155">
        <v>653004</v>
      </c>
      <c r="AC22" s="644">
        <f t="shared" si="0"/>
        <v>1137853</v>
      </c>
    </row>
    <row r="23" spans="1:29" s="97" customFormat="1" ht="21.75" customHeight="1">
      <c r="A23" s="84">
        <v>19</v>
      </c>
      <c r="B23" s="161" t="s">
        <v>761</v>
      </c>
      <c r="C23" s="154">
        <v>6</v>
      </c>
      <c r="D23" s="154">
        <v>2</v>
      </c>
      <c r="E23" s="154">
        <v>8</v>
      </c>
      <c r="F23" s="154">
        <v>0</v>
      </c>
      <c r="G23" s="154">
        <v>0</v>
      </c>
      <c r="H23" s="154">
        <v>0</v>
      </c>
      <c r="I23" s="154">
        <v>26</v>
      </c>
      <c r="J23" s="154">
        <v>28</v>
      </c>
      <c r="K23" s="154">
        <v>54</v>
      </c>
      <c r="L23" s="154">
        <v>798</v>
      </c>
      <c r="M23" s="154">
        <v>1746</v>
      </c>
      <c r="N23" s="154">
        <v>2544</v>
      </c>
      <c r="O23" s="154">
        <v>0</v>
      </c>
      <c r="P23" s="154">
        <v>0</v>
      </c>
      <c r="Q23" s="154">
        <v>0</v>
      </c>
      <c r="R23" s="154">
        <v>112</v>
      </c>
      <c r="S23" s="154">
        <v>24</v>
      </c>
      <c r="T23" s="154">
        <v>136</v>
      </c>
      <c r="U23" s="154">
        <v>0</v>
      </c>
      <c r="V23" s="154">
        <v>0</v>
      </c>
      <c r="W23" s="154">
        <v>0</v>
      </c>
      <c r="X23" s="154">
        <v>57</v>
      </c>
      <c r="Y23" s="154">
        <v>98</v>
      </c>
      <c r="Z23" s="154">
        <v>155</v>
      </c>
      <c r="AA23" s="155">
        <v>999</v>
      </c>
      <c r="AB23" s="155">
        <v>1898</v>
      </c>
      <c r="AC23" s="644">
        <f t="shared" si="0"/>
        <v>2897</v>
      </c>
    </row>
    <row r="24" spans="1:29" s="97" customFormat="1" ht="21.75" customHeight="1">
      <c r="A24" s="84">
        <v>20</v>
      </c>
      <c r="B24" s="156" t="s">
        <v>32</v>
      </c>
      <c r="C24" s="154">
        <v>0</v>
      </c>
      <c r="D24" s="154">
        <v>0</v>
      </c>
      <c r="E24" s="154">
        <v>0</v>
      </c>
      <c r="F24" s="154">
        <v>0</v>
      </c>
      <c r="G24" s="154">
        <v>0</v>
      </c>
      <c r="H24" s="154">
        <v>0</v>
      </c>
      <c r="I24" s="154">
        <v>0</v>
      </c>
      <c r="J24" s="154">
        <v>26</v>
      </c>
      <c r="K24" s="154">
        <v>26</v>
      </c>
      <c r="L24" s="154">
        <v>133</v>
      </c>
      <c r="M24" s="154">
        <v>401</v>
      </c>
      <c r="N24" s="154">
        <v>534</v>
      </c>
      <c r="O24" s="154">
        <v>0</v>
      </c>
      <c r="P24" s="154">
        <v>0</v>
      </c>
      <c r="Q24" s="154">
        <v>0</v>
      </c>
      <c r="R24" s="154">
        <v>0</v>
      </c>
      <c r="S24" s="154">
        <v>0</v>
      </c>
      <c r="T24" s="154">
        <v>0</v>
      </c>
      <c r="U24" s="154">
        <v>0</v>
      </c>
      <c r="V24" s="154">
        <v>0</v>
      </c>
      <c r="W24" s="154">
        <v>0</v>
      </c>
      <c r="X24" s="154">
        <v>0</v>
      </c>
      <c r="Y24" s="154">
        <v>0</v>
      </c>
      <c r="Z24" s="154">
        <v>0</v>
      </c>
      <c r="AA24" s="155">
        <v>133</v>
      </c>
      <c r="AB24" s="155">
        <v>427</v>
      </c>
      <c r="AC24" s="644">
        <f t="shared" si="0"/>
        <v>560</v>
      </c>
    </row>
    <row r="25" spans="1:29" s="97" customFormat="1" ht="21.75" customHeight="1">
      <c r="A25" s="84">
        <v>21</v>
      </c>
      <c r="B25" s="156" t="s">
        <v>33</v>
      </c>
      <c r="C25" s="154">
        <v>3006</v>
      </c>
      <c r="D25" s="154">
        <v>2441</v>
      </c>
      <c r="E25" s="154">
        <v>5447</v>
      </c>
      <c r="F25" s="154">
        <v>427</v>
      </c>
      <c r="G25" s="154">
        <v>449</v>
      </c>
      <c r="H25" s="154">
        <v>876</v>
      </c>
      <c r="I25" s="154">
        <v>125638</v>
      </c>
      <c r="J25" s="154">
        <v>159465</v>
      </c>
      <c r="K25" s="154">
        <v>285103</v>
      </c>
      <c r="L25" s="154">
        <v>908857</v>
      </c>
      <c r="M25" s="154">
        <v>802319</v>
      </c>
      <c r="N25" s="154">
        <v>1711176</v>
      </c>
      <c r="O25" s="154">
        <v>18338</v>
      </c>
      <c r="P25" s="154">
        <v>20012</v>
      </c>
      <c r="Q25" s="154">
        <v>38350</v>
      </c>
      <c r="R25" s="154">
        <v>75946</v>
      </c>
      <c r="S25" s="154">
        <v>43555</v>
      </c>
      <c r="T25" s="154">
        <v>119501</v>
      </c>
      <c r="U25" s="154">
        <v>1866</v>
      </c>
      <c r="V25" s="154">
        <v>1011</v>
      </c>
      <c r="W25" s="154">
        <v>2877</v>
      </c>
      <c r="X25" s="154">
        <v>10498</v>
      </c>
      <c r="Y25" s="154">
        <v>8326</v>
      </c>
      <c r="Z25" s="154">
        <v>18824</v>
      </c>
      <c r="AA25" s="155">
        <v>1144576</v>
      </c>
      <c r="AB25" s="155">
        <v>1037578</v>
      </c>
      <c r="AC25" s="644">
        <f t="shared" si="0"/>
        <v>2182154</v>
      </c>
    </row>
    <row r="26" spans="1:29" s="97" customFormat="1" ht="21.75" customHeight="1">
      <c r="A26" s="84">
        <v>22</v>
      </c>
      <c r="B26" s="156" t="s">
        <v>34</v>
      </c>
      <c r="C26" s="154">
        <v>7122</v>
      </c>
      <c r="D26" s="154">
        <v>4861</v>
      </c>
      <c r="E26" s="154">
        <v>11983</v>
      </c>
      <c r="F26" s="154">
        <v>760</v>
      </c>
      <c r="G26" s="154">
        <v>716</v>
      </c>
      <c r="H26" s="154">
        <v>1476</v>
      </c>
      <c r="I26" s="154">
        <v>225266</v>
      </c>
      <c r="J26" s="154">
        <v>253236</v>
      </c>
      <c r="K26" s="154">
        <v>478502</v>
      </c>
      <c r="L26" s="154">
        <v>1866422</v>
      </c>
      <c r="M26" s="154">
        <v>1526553</v>
      </c>
      <c r="N26" s="154">
        <v>3392975</v>
      </c>
      <c r="O26" s="154">
        <v>13295</v>
      </c>
      <c r="P26" s="154">
        <v>10337</v>
      </c>
      <c r="Q26" s="154">
        <v>23632</v>
      </c>
      <c r="R26" s="154">
        <v>183077</v>
      </c>
      <c r="S26" s="154">
        <v>140057</v>
      </c>
      <c r="T26" s="154">
        <v>323134</v>
      </c>
      <c r="U26" s="154">
        <v>9835</v>
      </c>
      <c r="V26" s="154">
        <v>8013</v>
      </c>
      <c r="W26" s="154">
        <v>17848</v>
      </c>
      <c r="X26" s="154">
        <v>8085</v>
      </c>
      <c r="Y26" s="154">
        <v>7837</v>
      </c>
      <c r="Z26" s="154">
        <v>15922</v>
      </c>
      <c r="AA26" s="155">
        <v>2313862</v>
      </c>
      <c r="AB26" s="155">
        <v>1951610</v>
      </c>
      <c r="AC26" s="644">
        <f t="shared" si="0"/>
        <v>4265472</v>
      </c>
    </row>
    <row r="27" spans="1:29" s="97" customFormat="1" ht="21.75" customHeight="1">
      <c r="A27" s="84">
        <v>23</v>
      </c>
      <c r="B27" s="156" t="s">
        <v>35</v>
      </c>
      <c r="C27" s="154">
        <v>538</v>
      </c>
      <c r="D27" s="154">
        <v>507</v>
      </c>
      <c r="E27" s="154">
        <v>1045</v>
      </c>
      <c r="F27" s="154">
        <v>2</v>
      </c>
      <c r="G27" s="154">
        <v>10</v>
      </c>
      <c r="H27" s="154">
        <v>12</v>
      </c>
      <c r="I27" s="154">
        <v>4689</v>
      </c>
      <c r="J27" s="154">
        <v>5087</v>
      </c>
      <c r="K27" s="154">
        <v>9776</v>
      </c>
      <c r="L27" s="154">
        <v>54042</v>
      </c>
      <c r="M27" s="154">
        <v>55248</v>
      </c>
      <c r="N27" s="154">
        <v>109290</v>
      </c>
      <c r="O27" s="154">
        <v>187</v>
      </c>
      <c r="P27" s="154">
        <v>90</v>
      </c>
      <c r="Q27" s="154">
        <v>277</v>
      </c>
      <c r="R27" s="154">
        <v>1383</v>
      </c>
      <c r="S27" s="154">
        <v>2573</v>
      </c>
      <c r="T27" s="154">
        <v>3956</v>
      </c>
      <c r="U27" s="154">
        <v>77</v>
      </c>
      <c r="V27" s="154">
        <v>105</v>
      </c>
      <c r="W27" s="154">
        <v>182</v>
      </c>
      <c r="X27" s="154">
        <v>0</v>
      </c>
      <c r="Y27" s="154">
        <v>0</v>
      </c>
      <c r="Z27" s="154">
        <v>0</v>
      </c>
      <c r="AA27" s="155">
        <v>60918</v>
      </c>
      <c r="AB27" s="155">
        <v>63620</v>
      </c>
      <c r="AC27" s="644">
        <f t="shared" si="0"/>
        <v>124538</v>
      </c>
    </row>
    <row r="28" spans="1:29" s="97" customFormat="1" ht="21.75" customHeight="1">
      <c r="A28" s="84">
        <v>24</v>
      </c>
      <c r="B28" s="156" t="s">
        <v>36</v>
      </c>
      <c r="C28" s="154">
        <v>492</v>
      </c>
      <c r="D28" s="154">
        <v>378</v>
      </c>
      <c r="E28" s="154">
        <v>870</v>
      </c>
      <c r="F28" s="154">
        <v>10</v>
      </c>
      <c r="G28" s="154">
        <v>23</v>
      </c>
      <c r="H28" s="154">
        <v>33</v>
      </c>
      <c r="I28" s="154">
        <v>4146</v>
      </c>
      <c r="J28" s="154">
        <v>6139</v>
      </c>
      <c r="K28" s="154">
        <v>10285</v>
      </c>
      <c r="L28" s="154">
        <v>33881</v>
      </c>
      <c r="M28" s="154">
        <v>39321</v>
      </c>
      <c r="N28" s="154">
        <v>73202</v>
      </c>
      <c r="O28" s="154">
        <v>114</v>
      </c>
      <c r="P28" s="154">
        <v>70</v>
      </c>
      <c r="Q28" s="154">
        <v>184</v>
      </c>
      <c r="R28" s="154">
        <v>1083</v>
      </c>
      <c r="S28" s="154">
        <v>1666</v>
      </c>
      <c r="T28" s="154">
        <v>2749</v>
      </c>
      <c r="U28" s="154">
        <v>48</v>
      </c>
      <c r="V28" s="154">
        <v>48</v>
      </c>
      <c r="W28" s="154">
        <v>96</v>
      </c>
      <c r="X28" s="154">
        <v>70</v>
      </c>
      <c r="Y28" s="154">
        <v>52</v>
      </c>
      <c r="Z28" s="154">
        <v>122</v>
      </c>
      <c r="AA28" s="155">
        <v>39844</v>
      </c>
      <c r="AB28" s="155">
        <v>47697</v>
      </c>
      <c r="AC28" s="644">
        <f t="shared" si="0"/>
        <v>87541</v>
      </c>
    </row>
    <row r="29" spans="1:29" s="97" customFormat="1" ht="21.75" customHeight="1">
      <c r="A29" s="84">
        <v>25</v>
      </c>
      <c r="B29" s="156" t="s">
        <v>37</v>
      </c>
      <c r="C29" s="154">
        <v>479</v>
      </c>
      <c r="D29" s="154">
        <v>388</v>
      </c>
      <c r="E29" s="154">
        <v>867</v>
      </c>
      <c r="F29" s="154">
        <v>75</v>
      </c>
      <c r="G29" s="154">
        <v>77</v>
      </c>
      <c r="H29" s="154">
        <v>152</v>
      </c>
      <c r="I29" s="154">
        <v>1982</v>
      </c>
      <c r="J29" s="154">
        <v>2239</v>
      </c>
      <c r="K29" s="154">
        <v>4221</v>
      </c>
      <c r="L29" s="154">
        <v>13503</v>
      </c>
      <c r="M29" s="154">
        <v>11793</v>
      </c>
      <c r="N29" s="154">
        <v>25296</v>
      </c>
      <c r="O29" s="154">
        <v>90</v>
      </c>
      <c r="P29" s="154">
        <v>113</v>
      </c>
      <c r="Q29" s="154">
        <v>203</v>
      </c>
      <c r="R29" s="154">
        <v>676</v>
      </c>
      <c r="S29" s="154">
        <v>1285</v>
      </c>
      <c r="T29" s="154">
        <v>1961</v>
      </c>
      <c r="U29" s="154">
        <v>304</v>
      </c>
      <c r="V29" s="154">
        <v>159</v>
      </c>
      <c r="W29" s="154">
        <v>463</v>
      </c>
      <c r="X29" s="154">
        <v>47</v>
      </c>
      <c r="Y29" s="154">
        <v>26</v>
      </c>
      <c r="Z29" s="154">
        <v>73</v>
      </c>
      <c r="AA29" s="155">
        <v>17156</v>
      </c>
      <c r="AB29" s="155">
        <v>16080</v>
      </c>
      <c r="AC29" s="644">
        <f t="shared" si="0"/>
        <v>33236</v>
      </c>
    </row>
    <row r="30" spans="1:29" s="97" customFormat="1" ht="21.75" customHeight="1">
      <c r="A30" s="84">
        <v>26</v>
      </c>
      <c r="B30" s="156" t="s">
        <v>38</v>
      </c>
      <c r="C30" s="154">
        <v>270</v>
      </c>
      <c r="D30" s="154">
        <v>307</v>
      </c>
      <c r="E30" s="154">
        <v>577</v>
      </c>
      <c r="F30" s="154">
        <v>10</v>
      </c>
      <c r="G30" s="154">
        <v>28</v>
      </c>
      <c r="H30" s="154">
        <v>38</v>
      </c>
      <c r="I30" s="154">
        <v>2063</v>
      </c>
      <c r="J30" s="154">
        <v>3503</v>
      </c>
      <c r="K30" s="154">
        <v>5566</v>
      </c>
      <c r="L30" s="154">
        <v>16982</v>
      </c>
      <c r="M30" s="154">
        <v>19252</v>
      </c>
      <c r="N30" s="154">
        <v>36234</v>
      </c>
      <c r="O30" s="154">
        <v>65</v>
      </c>
      <c r="P30" s="154">
        <v>168</v>
      </c>
      <c r="Q30" s="154">
        <v>233</v>
      </c>
      <c r="R30" s="154">
        <v>842</v>
      </c>
      <c r="S30" s="154">
        <v>1027</v>
      </c>
      <c r="T30" s="154">
        <v>1869</v>
      </c>
      <c r="U30" s="154">
        <v>17</v>
      </c>
      <c r="V30" s="154">
        <v>21</v>
      </c>
      <c r="W30" s="154">
        <v>38</v>
      </c>
      <c r="X30" s="154">
        <v>6</v>
      </c>
      <c r="Y30" s="154">
        <v>0</v>
      </c>
      <c r="Z30" s="154">
        <v>6</v>
      </c>
      <c r="AA30" s="155">
        <v>20255</v>
      </c>
      <c r="AB30" s="155">
        <v>24306</v>
      </c>
      <c r="AC30" s="644">
        <f t="shared" si="0"/>
        <v>44561</v>
      </c>
    </row>
    <row r="31" spans="1:29" s="97" customFormat="1" ht="21.75" customHeight="1">
      <c r="A31" s="84">
        <v>27</v>
      </c>
      <c r="B31" s="156" t="s">
        <v>39</v>
      </c>
      <c r="C31" s="154">
        <v>1923</v>
      </c>
      <c r="D31" s="154">
        <v>1423</v>
      </c>
      <c r="E31" s="154">
        <v>3346</v>
      </c>
      <c r="F31" s="154">
        <v>419</v>
      </c>
      <c r="G31" s="154">
        <v>584</v>
      </c>
      <c r="H31" s="154">
        <v>1003</v>
      </c>
      <c r="I31" s="154">
        <v>47838</v>
      </c>
      <c r="J31" s="154">
        <v>50717</v>
      </c>
      <c r="K31" s="154">
        <v>98555</v>
      </c>
      <c r="L31" s="154">
        <v>379994</v>
      </c>
      <c r="M31" s="154">
        <v>367114</v>
      </c>
      <c r="N31" s="154">
        <v>747108</v>
      </c>
      <c r="O31" s="154">
        <v>1786</v>
      </c>
      <c r="P31" s="154">
        <v>947</v>
      </c>
      <c r="Q31" s="154">
        <v>2733</v>
      </c>
      <c r="R31" s="154">
        <v>89412</v>
      </c>
      <c r="S31" s="154">
        <v>34712</v>
      </c>
      <c r="T31" s="154">
        <v>124124</v>
      </c>
      <c r="U31" s="154">
        <v>3402</v>
      </c>
      <c r="V31" s="154">
        <v>5748</v>
      </c>
      <c r="W31" s="154">
        <v>9150</v>
      </c>
      <c r="X31" s="154">
        <v>4452</v>
      </c>
      <c r="Y31" s="154">
        <v>4458</v>
      </c>
      <c r="Z31" s="154">
        <v>8910</v>
      </c>
      <c r="AA31" s="155">
        <v>529226</v>
      </c>
      <c r="AB31" s="155">
        <v>465703</v>
      </c>
      <c r="AC31" s="644">
        <f t="shared" si="0"/>
        <v>994929</v>
      </c>
    </row>
    <row r="32" spans="1:29" s="97" customFormat="1" ht="21.75" customHeight="1">
      <c r="A32" s="84">
        <v>28</v>
      </c>
      <c r="B32" s="156" t="s">
        <v>40</v>
      </c>
      <c r="C32" s="154">
        <v>291</v>
      </c>
      <c r="D32" s="154">
        <v>217</v>
      </c>
      <c r="E32" s="154">
        <v>508</v>
      </c>
      <c r="F32" s="154">
        <v>21</v>
      </c>
      <c r="G32" s="154">
        <v>46</v>
      </c>
      <c r="H32" s="154">
        <v>67</v>
      </c>
      <c r="I32" s="154">
        <v>11531</v>
      </c>
      <c r="J32" s="154">
        <v>11728</v>
      </c>
      <c r="K32" s="154">
        <v>23259</v>
      </c>
      <c r="L32" s="154">
        <v>22863</v>
      </c>
      <c r="M32" s="154">
        <v>28309</v>
      </c>
      <c r="N32" s="154">
        <v>51172</v>
      </c>
      <c r="O32" s="154">
        <v>52</v>
      </c>
      <c r="P32" s="154">
        <v>54</v>
      </c>
      <c r="Q32" s="154">
        <v>106</v>
      </c>
      <c r="R32" s="154">
        <v>2866</v>
      </c>
      <c r="S32" s="154">
        <v>1122</v>
      </c>
      <c r="T32" s="154">
        <v>3988</v>
      </c>
      <c r="U32" s="154">
        <v>0</v>
      </c>
      <c r="V32" s="154">
        <v>0</v>
      </c>
      <c r="W32" s="154">
        <v>0</v>
      </c>
      <c r="X32" s="154">
        <v>532</v>
      </c>
      <c r="Y32" s="154">
        <v>492</v>
      </c>
      <c r="Z32" s="154">
        <v>1024</v>
      </c>
      <c r="AA32" s="155">
        <v>38156</v>
      </c>
      <c r="AB32" s="155">
        <v>41968</v>
      </c>
      <c r="AC32" s="644">
        <f t="shared" si="0"/>
        <v>80124</v>
      </c>
    </row>
    <row r="33" spans="1:29" s="97" customFormat="1" ht="21.75" customHeight="1">
      <c r="A33" s="84">
        <v>29</v>
      </c>
      <c r="B33" s="156" t="s">
        <v>41</v>
      </c>
      <c r="C33" s="154">
        <v>4111</v>
      </c>
      <c r="D33" s="154">
        <v>4888</v>
      </c>
      <c r="E33" s="154">
        <v>8999</v>
      </c>
      <c r="F33" s="154">
        <v>307</v>
      </c>
      <c r="G33" s="154">
        <v>315</v>
      </c>
      <c r="H33" s="154">
        <v>622</v>
      </c>
      <c r="I33" s="154">
        <v>39950</v>
      </c>
      <c r="J33" s="154">
        <v>68143</v>
      </c>
      <c r="K33" s="154">
        <v>108093</v>
      </c>
      <c r="L33" s="154">
        <v>308617</v>
      </c>
      <c r="M33" s="154">
        <v>312191</v>
      </c>
      <c r="N33" s="154">
        <v>620808</v>
      </c>
      <c r="O33" s="154">
        <v>2866</v>
      </c>
      <c r="P33" s="154">
        <v>3692</v>
      </c>
      <c r="Q33" s="154">
        <v>6558</v>
      </c>
      <c r="R33" s="154">
        <v>62421</v>
      </c>
      <c r="S33" s="154">
        <v>46930</v>
      </c>
      <c r="T33" s="154">
        <v>109351</v>
      </c>
      <c r="U33" s="154">
        <v>600</v>
      </c>
      <c r="V33" s="154">
        <v>948</v>
      </c>
      <c r="W33" s="154">
        <v>1548</v>
      </c>
      <c r="X33" s="154">
        <v>6459</v>
      </c>
      <c r="Y33" s="154">
        <v>7025</v>
      </c>
      <c r="Z33" s="154">
        <v>13484</v>
      </c>
      <c r="AA33" s="155">
        <v>425331</v>
      </c>
      <c r="AB33" s="155">
        <v>444132</v>
      </c>
      <c r="AC33" s="644">
        <f t="shared" si="0"/>
        <v>869463</v>
      </c>
    </row>
    <row r="34" spans="1:29" s="97" customFormat="1" ht="21.75" customHeight="1">
      <c r="A34" s="84">
        <v>30</v>
      </c>
      <c r="B34" s="156" t="s">
        <v>42</v>
      </c>
      <c r="C34" s="154">
        <v>5478</v>
      </c>
      <c r="D34" s="154">
        <v>5372</v>
      </c>
      <c r="E34" s="154">
        <v>10850</v>
      </c>
      <c r="F34" s="154">
        <v>261</v>
      </c>
      <c r="G34" s="154">
        <v>203</v>
      </c>
      <c r="H34" s="154">
        <v>464</v>
      </c>
      <c r="I34" s="154">
        <v>115851</v>
      </c>
      <c r="J34" s="154">
        <v>130222</v>
      </c>
      <c r="K34" s="154">
        <v>246073</v>
      </c>
      <c r="L34" s="154">
        <v>907391</v>
      </c>
      <c r="M34" s="154">
        <v>853674</v>
      </c>
      <c r="N34" s="154">
        <v>1761065</v>
      </c>
      <c r="O34" s="154">
        <v>5382</v>
      </c>
      <c r="P34" s="154">
        <v>3845</v>
      </c>
      <c r="Q34" s="154">
        <v>9227</v>
      </c>
      <c r="R34" s="154">
        <v>80436</v>
      </c>
      <c r="S34" s="154">
        <v>30826</v>
      </c>
      <c r="T34" s="154">
        <v>111262</v>
      </c>
      <c r="U34" s="154">
        <v>6419</v>
      </c>
      <c r="V34" s="154">
        <v>6578</v>
      </c>
      <c r="W34" s="154">
        <v>12997</v>
      </c>
      <c r="X34" s="154">
        <v>29968</v>
      </c>
      <c r="Y34" s="154">
        <v>24611</v>
      </c>
      <c r="Z34" s="154">
        <v>54579</v>
      </c>
      <c r="AA34" s="155">
        <v>1151186</v>
      </c>
      <c r="AB34" s="155">
        <v>1055331</v>
      </c>
      <c r="AC34" s="644">
        <f t="shared" si="0"/>
        <v>2206517</v>
      </c>
    </row>
    <row r="35" spans="1:29" s="97" customFormat="1" ht="21.75" customHeight="1">
      <c r="A35" s="84">
        <v>31</v>
      </c>
      <c r="B35" s="156" t="s">
        <v>43</v>
      </c>
      <c r="C35" s="154">
        <v>215</v>
      </c>
      <c r="D35" s="154">
        <v>195</v>
      </c>
      <c r="E35" s="154">
        <v>410</v>
      </c>
      <c r="F35" s="154">
        <v>43</v>
      </c>
      <c r="G35" s="154">
        <v>44</v>
      </c>
      <c r="H35" s="154">
        <v>87</v>
      </c>
      <c r="I35" s="154">
        <v>17445</v>
      </c>
      <c r="J35" s="154">
        <v>10667</v>
      </c>
      <c r="K35" s="154">
        <v>28112</v>
      </c>
      <c r="L35" s="154">
        <v>14134</v>
      </c>
      <c r="M35" s="154">
        <v>12730</v>
      </c>
      <c r="N35" s="154">
        <v>26864</v>
      </c>
      <c r="O35" s="154">
        <v>23</v>
      </c>
      <c r="P35" s="154">
        <v>18</v>
      </c>
      <c r="Q35" s="154">
        <v>41</v>
      </c>
      <c r="R35" s="154">
        <v>1035</v>
      </c>
      <c r="S35" s="154">
        <v>1164</v>
      </c>
      <c r="T35" s="154">
        <v>2199</v>
      </c>
      <c r="U35" s="154">
        <v>34</v>
      </c>
      <c r="V35" s="154">
        <v>6</v>
      </c>
      <c r="W35" s="154">
        <v>40</v>
      </c>
      <c r="X35" s="154">
        <v>120</v>
      </c>
      <c r="Y35" s="154">
        <v>198</v>
      </c>
      <c r="Z35" s="154">
        <v>318</v>
      </c>
      <c r="AA35" s="155">
        <v>33049</v>
      </c>
      <c r="AB35" s="155">
        <v>25022</v>
      </c>
      <c r="AC35" s="644">
        <f t="shared" si="0"/>
        <v>58071</v>
      </c>
    </row>
    <row r="36" spans="1:29" s="97" customFormat="1" ht="21.75" customHeight="1">
      <c r="A36" s="84">
        <v>32</v>
      </c>
      <c r="B36" s="156" t="s">
        <v>44</v>
      </c>
      <c r="C36" s="154">
        <v>15828</v>
      </c>
      <c r="D36" s="154">
        <v>14832</v>
      </c>
      <c r="E36" s="154">
        <v>30660</v>
      </c>
      <c r="F36" s="154">
        <v>2470</v>
      </c>
      <c r="G36" s="154">
        <v>7309</v>
      </c>
      <c r="H36" s="154">
        <v>9779</v>
      </c>
      <c r="I36" s="154">
        <v>184265</v>
      </c>
      <c r="J36" s="154">
        <v>295673</v>
      </c>
      <c r="K36" s="154">
        <v>479938</v>
      </c>
      <c r="L36" s="154">
        <v>1260037</v>
      </c>
      <c r="M36" s="154">
        <v>1330973</v>
      </c>
      <c r="N36" s="154">
        <v>2591010</v>
      </c>
      <c r="O36" s="154">
        <v>9095</v>
      </c>
      <c r="P36" s="154">
        <v>6817</v>
      </c>
      <c r="Q36" s="154">
        <v>15912</v>
      </c>
      <c r="R36" s="154">
        <v>284382</v>
      </c>
      <c r="S36" s="154">
        <v>63535</v>
      </c>
      <c r="T36" s="154">
        <v>347917</v>
      </c>
      <c r="U36" s="154">
        <v>10615</v>
      </c>
      <c r="V36" s="154">
        <v>12496</v>
      </c>
      <c r="W36" s="154">
        <v>23111</v>
      </c>
      <c r="X36" s="154">
        <v>11494</v>
      </c>
      <c r="Y36" s="154">
        <v>10490</v>
      </c>
      <c r="Z36" s="154">
        <v>21984</v>
      </c>
      <c r="AA36" s="155">
        <v>1778186</v>
      </c>
      <c r="AB36" s="155">
        <v>1742125</v>
      </c>
      <c r="AC36" s="644">
        <f t="shared" si="0"/>
        <v>3520311</v>
      </c>
    </row>
    <row r="37" spans="1:29" s="97" customFormat="1" ht="21.75" customHeight="1">
      <c r="A37" s="84">
        <v>33</v>
      </c>
      <c r="B37" s="156" t="s">
        <v>134</v>
      </c>
      <c r="C37" s="154">
        <v>3507</v>
      </c>
      <c r="D37" s="154">
        <v>2001</v>
      </c>
      <c r="E37" s="154">
        <v>5508</v>
      </c>
      <c r="F37" s="154">
        <v>203</v>
      </c>
      <c r="G37" s="154">
        <v>170</v>
      </c>
      <c r="H37" s="154">
        <v>373</v>
      </c>
      <c r="I37" s="154">
        <v>81042</v>
      </c>
      <c r="J37" s="154">
        <v>103478</v>
      </c>
      <c r="K37" s="154">
        <v>184520</v>
      </c>
      <c r="L37" s="154">
        <v>519501</v>
      </c>
      <c r="M37" s="154">
        <v>559280</v>
      </c>
      <c r="N37" s="154">
        <v>1078781</v>
      </c>
      <c r="O37" s="154">
        <v>3310</v>
      </c>
      <c r="P37" s="154">
        <v>2292</v>
      </c>
      <c r="Q37" s="154">
        <v>5602</v>
      </c>
      <c r="R37" s="154">
        <v>60653</v>
      </c>
      <c r="S37" s="154">
        <v>45728</v>
      </c>
      <c r="T37" s="154">
        <v>106381</v>
      </c>
      <c r="U37" s="154">
        <v>923</v>
      </c>
      <c r="V37" s="154">
        <v>1290</v>
      </c>
      <c r="W37" s="154">
        <v>2213</v>
      </c>
      <c r="X37" s="154">
        <v>3629</v>
      </c>
      <c r="Y37" s="154">
        <v>2601</v>
      </c>
      <c r="Z37" s="154">
        <v>6230</v>
      </c>
      <c r="AA37" s="155">
        <v>672768</v>
      </c>
      <c r="AB37" s="155">
        <v>716840</v>
      </c>
      <c r="AC37" s="644">
        <f t="shared" si="0"/>
        <v>1389608</v>
      </c>
    </row>
    <row r="38" spans="1:29" s="97" customFormat="1" ht="21.75" customHeight="1">
      <c r="A38" s="84">
        <v>34</v>
      </c>
      <c r="B38" s="156" t="s">
        <v>45</v>
      </c>
      <c r="C38" s="154">
        <v>388</v>
      </c>
      <c r="D38" s="154">
        <v>227</v>
      </c>
      <c r="E38" s="154">
        <v>615</v>
      </c>
      <c r="F38" s="154">
        <v>0</v>
      </c>
      <c r="G38" s="154">
        <v>0</v>
      </c>
      <c r="H38" s="154">
        <v>0</v>
      </c>
      <c r="I38" s="154">
        <v>5941</v>
      </c>
      <c r="J38" s="154">
        <v>5877</v>
      </c>
      <c r="K38" s="154">
        <v>11528</v>
      </c>
      <c r="L38" s="154">
        <v>37816</v>
      </c>
      <c r="M38" s="154">
        <v>30459</v>
      </c>
      <c r="N38" s="154">
        <v>68275</v>
      </c>
      <c r="O38" s="154">
        <v>67</v>
      </c>
      <c r="P38" s="154">
        <v>64</v>
      </c>
      <c r="Q38" s="154">
        <v>131</v>
      </c>
      <c r="R38" s="154">
        <v>2274</v>
      </c>
      <c r="S38" s="154">
        <v>2126</v>
      </c>
      <c r="T38" s="154">
        <v>4400</v>
      </c>
      <c r="U38" s="154">
        <v>149</v>
      </c>
      <c r="V38" s="154">
        <v>221</v>
      </c>
      <c r="W38" s="154">
        <v>370</v>
      </c>
      <c r="X38" s="154">
        <v>396</v>
      </c>
      <c r="Y38" s="154">
        <v>242</v>
      </c>
      <c r="Z38" s="154">
        <v>638</v>
      </c>
      <c r="AA38" s="155">
        <v>47031</v>
      </c>
      <c r="AB38" s="155">
        <v>39216</v>
      </c>
      <c r="AC38" s="644">
        <f t="shared" si="0"/>
        <v>86247</v>
      </c>
    </row>
    <row r="39" spans="1:29" s="97" customFormat="1" ht="21.75" customHeight="1">
      <c r="A39" s="84">
        <v>35</v>
      </c>
      <c r="B39" s="156" t="s">
        <v>47</v>
      </c>
      <c r="C39" s="154">
        <v>13693</v>
      </c>
      <c r="D39" s="154">
        <v>10071</v>
      </c>
      <c r="E39" s="154">
        <v>23764</v>
      </c>
      <c r="F39" s="154">
        <v>217</v>
      </c>
      <c r="G39" s="154">
        <v>320</v>
      </c>
      <c r="H39" s="154">
        <v>537</v>
      </c>
      <c r="I39" s="154">
        <v>237350</v>
      </c>
      <c r="J39" s="154">
        <v>331801</v>
      </c>
      <c r="K39" s="154">
        <v>569151</v>
      </c>
      <c r="L39" s="154">
        <v>2636040</v>
      </c>
      <c r="M39" s="154">
        <v>2765496</v>
      </c>
      <c r="N39" s="154">
        <v>5401536</v>
      </c>
      <c r="O39" s="154">
        <v>13318</v>
      </c>
      <c r="P39" s="154">
        <v>11152</v>
      </c>
      <c r="Q39" s="154">
        <v>24470</v>
      </c>
      <c r="R39" s="154">
        <v>198868</v>
      </c>
      <c r="S39" s="154">
        <v>103325</v>
      </c>
      <c r="T39" s="154">
        <v>302193</v>
      </c>
      <c r="U39" s="154">
        <v>10660</v>
      </c>
      <c r="V39" s="154">
        <v>14266</v>
      </c>
      <c r="W39" s="154">
        <v>24926</v>
      </c>
      <c r="X39" s="154">
        <v>26504</v>
      </c>
      <c r="Y39" s="154">
        <v>15133</v>
      </c>
      <c r="Z39" s="154">
        <v>41637</v>
      </c>
      <c r="AA39" s="155">
        <v>3136650</v>
      </c>
      <c r="AB39" s="155">
        <v>3251564</v>
      </c>
      <c r="AC39" s="644">
        <f t="shared" si="0"/>
        <v>6388214</v>
      </c>
    </row>
    <row r="40" spans="1:29" s="97" customFormat="1" ht="21.75" customHeight="1">
      <c r="A40" s="84">
        <v>36</v>
      </c>
      <c r="B40" s="156" t="s">
        <v>46</v>
      </c>
      <c r="C40" s="154">
        <v>3449</v>
      </c>
      <c r="D40" s="154">
        <v>2019</v>
      </c>
      <c r="E40" s="154">
        <v>5468</v>
      </c>
      <c r="F40" s="154">
        <v>21</v>
      </c>
      <c r="G40" s="154">
        <v>13</v>
      </c>
      <c r="H40" s="154">
        <v>34</v>
      </c>
      <c r="I40" s="154">
        <v>34137</v>
      </c>
      <c r="J40" s="154">
        <v>45833</v>
      </c>
      <c r="K40" s="154">
        <v>79970</v>
      </c>
      <c r="L40" s="154">
        <v>184770</v>
      </c>
      <c r="M40" s="154">
        <v>185154</v>
      </c>
      <c r="N40" s="154">
        <v>369924</v>
      </c>
      <c r="O40" s="154">
        <v>1096</v>
      </c>
      <c r="P40" s="154">
        <v>1078</v>
      </c>
      <c r="Q40" s="154">
        <v>2174</v>
      </c>
      <c r="R40" s="154">
        <v>21760</v>
      </c>
      <c r="S40" s="154">
        <v>7924</v>
      </c>
      <c r="T40" s="154">
        <v>29684</v>
      </c>
      <c r="U40" s="154">
        <v>294</v>
      </c>
      <c r="V40" s="154">
        <v>79</v>
      </c>
      <c r="W40" s="154">
        <v>373</v>
      </c>
      <c r="X40" s="154">
        <v>3366</v>
      </c>
      <c r="Y40" s="154">
        <v>2286</v>
      </c>
      <c r="Z40" s="154">
        <v>5652</v>
      </c>
      <c r="AA40" s="155">
        <v>248893</v>
      </c>
      <c r="AB40" s="155">
        <v>244386</v>
      </c>
      <c r="AC40" s="644">
        <f t="shared" si="0"/>
        <v>493279</v>
      </c>
    </row>
    <row r="41" spans="1:29" s="97" customFormat="1" ht="21.75" customHeight="1">
      <c r="A41" s="84">
        <v>37</v>
      </c>
      <c r="B41" s="156" t="s">
        <v>48</v>
      </c>
      <c r="C41" s="154">
        <v>8063</v>
      </c>
      <c r="D41" s="154">
        <v>4773</v>
      </c>
      <c r="E41" s="154">
        <v>12836</v>
      </c>
      <c r="F41" s="154">
        <v>1195</v>
      </c>
      <c r="G41" s="154">
        <v>983</v>
      </c>
      <c r="H41" s="154">
        <v>2178</v>
      </c>
      <c r="I41" s="154">
        <v>62665</v>
      </c>
      <c r="J41" s="154">
        <v>90360</v>
      </c>
      <c r="K41" s="154">
        <v>153025</v>
      </c>
      <c r="L41" s="154">
        <v>865130</v>
      </c>
      <c r="M41" s="154">
        <v>924953</v>
      </c>
      <c r="N41" s="154">
        <v>1790083</v>
      </c>
      <c r="O41" s="154">
        <v>3390</v>
      </c>
      <c r="P41" s="154">
        <v>2129</v>
      </c>
      <c r="Q41" s="154">
        <v>5519</v>
      </c>
      <c r="R41" s="154">
        <v>114991</v>
      </c>
      <c r="S41" s="154">
        <v>58776</v>
      </c>
      <c r="T41" s="154">
        <v>173767</v>
      </c>
      <c r="U41" s="154">
        <v>4859</v>
      </c>
      <c r="V41" s="154">
        <v>3695</v>
      </c>
      <c r="W41" s="154">
        <v>8554</v>
      </c>
      <c r="X41" s="154">
        <v>9336</v>
      </c>
      <c r="Y41" s="154">
        <v>5595</v>
      </c>
      <c r="Z41" s="154">
        <v>14931</v>
      </c>
      <c r="AA41" s="155">
        <v>1069629</v>
      </c>
      <c r="AB41" s="155">
        <v>1091264</v>
      </c>
      <c r="AC41" s="644">
        <f t="shared" si="0"/>
        <v>2160893</v>
      </c>
    </row>
    <row r="42" spans="1:29" s="148" customFormat="1" ht="21.75" customHeight="1">
      <c r="A42" s="771" t="s">
        <v>49</v>
      </c>
      <c r="B42" s="771"/>
      <c r="C42" s="91">
        <f>SUM(C5:C41)</f>
        <v>111444</v>
      </c>
      <c r="D42" s="91">
        <f t="shared" ref="D42:P42" si="1">SUM(D5:D41)</f>
        <v>91106</v>
      </c>
      <c r="E42" s="91">
        <f t="shared" si="1"/>
        <v>202550</v>
      </c>
      <c r="F42" s="91">
        <f>SUM(F5:F41)</f>
        <v>9043</v>
      </c>
      <c r="G42" s="91">
        <f t="shared" si="1"/>
        <v>14891</v>
      </c>
      <c r="H42" s="91">
        <f t="shared" si="1"/>
        <v>23934</v>
      </c>
      <c r="I42" s="91">
        <f>SUM(I5:I41)</f>
        <v>1860163</v>
      </c>
      <c r="J42" s="91">
        <f t="shared" si="1"/>
        <v>2452372</v>
      </c>
      <c r="K42" s="91">
        <f t="shared" si="1"/>
        <v>4312245</v>
      </c>
      <c r="L42" s="91">
        <f>SUM(L5:L41)</f>
        <v>15563077</v>
      </c>
      <c r="M42" s="91">
        <f t="shared" si="1"/>
        <v>15084210</v>
      </c>
      <c r="N42" s="91">
        <f t="shared" si="1"/>
        <v>30647287</v>
      </c>
      <c r="O42" s="91">
        <f>SUM(O5:O41)</f>
        <v>116346</v>
      </c>
      <c r="P42" s="91">
        <f t="shared" si="1"/>
        <v>100903</v>
      </c>
      <c r="Q42" s="91">
        <f>SUM(Q5:Q41)</f>
        <v>217249</v>
      </c>
      <c r="R42" s="91">
        <f>SUM(R5:R41)</f>
        <v>1740798</v>
      </c>
      <c r="S42" s="91">
        <f t="shared" ref="S42" si="2">SUM(S5:S41)</f>
        <v>931764</v>
      </c>
      <c r="T42" s="91">
        <f t="shared" ref="T42" si="3">SUM(T5:T41)</f>
        <v>2672562</v>
      </c>
      <c r="U42" s="91">
        <f>SUM(U5:U41)</f>
        <v>74164</v>
      </c>
      <c r="V42" s="91">
        <f t="shared" ref="V42" si="4">SUM(V5:V41)</f>
        <v>85705</v>
      </c>
      <c r="W42" s="91">
        <f t="shared" ref="W42" si="5">SUM(W5:W41)</f>
        <v>159869</v>
      </c>
      <c r="X42" s="91">
        <f>SUM(X5:X41)</f>
        <v>168712</v>
      </c>
      <c r="Y42" s="91">
        <f>SUM(Y5:Y41)</f>
        <v>131661</v>
      </c>
      <c r="Z42" s="91">
        <f t="shared" ref="Z42" si="6">SUM(Z5:Z41)</f>
        <v>300373</v>
      </c>
      <c r="AA42" s="91">
        <f t="shared" ref="AA42" si="7">SUM(AA5:AA41)</f>
        <v>19643747</v>
      </c>
      <c r="AB42" s="91">
        <f t="shared" ref="AB42" si="8">SUM(AB5:AB41)</f>
        <v>18892612</v>
      </c>
      <c r="AC42" s="91">
        <f t="shared" ref="AC42" si="9">SUM(AC5:AC41)</f>
        <v>38536359</v>
      </c>
    </row>
  </sheetData>
  <mergeCells count="12">
    <mergeCell ref="I2:K2"/>
    <mergeCell ref="L2:N2"/>
    <mergeCell ref="A42:B42"/>
    <mergeCell ref="A2:A3"/>
    <mergeCell ref="B2:B3"/>
    <mergeCell ref="C2:E2"/>
    <mergeCell ref="F2:H2"/>
    <mergeCell ref="O2:Q2"/>
    <mergeCell ref="R2:T2"/>
    <mergeCell ref="U2:W2"/>
    <mergeCell ref="X2:Z2"/>
    <mergeCell ref="AA2:AC2"/>
  </mergeCells>
  <printOptions horizontalCentered="1"/>
  <pageMargins left="0.55118110236220497" right="0.15748031496063" top="0.511811023622047" bottom="0.39370078740157499" header="0.196850393700787" footer="0.15748031496063"/>
  <pageSetup paperSize="9" scale="82" firstPageNumber="5" orientation="portrait" useFirstPageNumber="1" r:id="rId1"/>
  <headerFooter>
    <oddFooter>&amp;LAISHE 2019-20&amp;CT-6</oddFooter>
  </headerFooter>
  <colBreaks count="2" manualBreakCount="2">
    <brk id="11" max="38" man="1"/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</sheetPr>
  <dimension ref="A1:AC42"/>
  <sheetViews>
    <sheetView view="pageBreakPreview" zoomScale="85" zoomScaleSheetLayoutView="85" workbookViewId="0">
      <pane xSplit="2" ySplit="3" topLeftCell="T28" activePane="bottomRight" state="frozen"/>
      <selection activeCell="B4" sqref="B4"/>
      <selection pane="topRight" activeCell="B4" sqref="B4"/>
      <selection pane="bottomLeft" activeCell="B4" sqref="B4"/>
      <selection pane="bottomRight" activeCell="K43" sqref="K43"/>
    </sheetView>
  </sheetViews>
  <sheetFormatPr defaultColWidth="9.140625" defaultRowHeight="14.25"/>
  <cols>
    <col min="1" max="1" width="5.140625" style="101" customWidth="1"/>
    <col min="2" max="2" width="23.42578125" style="101" customWidth="1"/>
    <col min="3" max="3" width="8" style="101" customWidth="1"/>
    <col min="4" max="5" width="8.140625" style="101" customWidth="1"/>
    <col min="6" max="6" width="7.28515625" style="101" customWidth="1"/>
    <col min="7" max="7" width="8.140625" style="101" customWidth="1"/>
    <col min="8" max="8" width="6.7109375" style="101" customWidth="1"/>
    <col min="9" max="11" width="9.28515625" style="101" customWidth="1"/>
    <col min="12" max="12" width="10.42578125" style="101" customWidth="1"/>
    <col min="13" max="13" width="10.28515625" style="101" customWidth="1"/>
    <col min="14" max="14" width="10.42578125" style="101" customWidth="1"/>
    <col min="15" max="15" width="6.85546875" style="101" customWidth="1"/>
    <col min="16" max="16" width="7.85546875" style="101" customWidth="1"/>
    <col min="17" max="17" width="8" style="101" customWidth="1"/>
    <col min="18" max="18" width="9.42578125" style="101" customWidth="1"/>
    <col min="19" max="19" width="8.42578125" style="101" customWidth="1"/>
    <col min="20" max="20" width="9.28515625" style="101" customWidth="1"/>
    <col min="21" max="21" width="6.85546875" style="101" customWidth="1"/>
    <col min="22" max="22" width="7.7109375" style="101" customWidth="1"/>
    <col min="23" max="23" width="7.85546875" style="101" customWidth="1"/>
    <col min="24" max="25" width="8" style="101" customWidth="1"/>
    <col min="26" max="26" width="8.42578125" style="101" customWidth="1"/>
    <col min="27" max="28" width="10.42578125" style="101" customWidth="1"/>
    <col min="29" max="29" width="10.28515625" style="101" customWidth="1"/>
    <col min="30" max="16384" width="9.140625" style="101"/>
  </cols>
  <sheetData>
    <row r="1" spans="1:29" s="203" customFormat="1" ht="36.75" customHeight="1">
      <c r="B1" s="150" t="s">
        <v>151</v>
      </c>
      <c r="C1" s="779" t="s">
        <v>907</v>
      </c>
      <c r="D1" s="779"/>
      <c r="E1" s="779"/>
      <c r="F1" s="779"/>
      <c r="G1" s="779"/>
      <c r="H1" s="779"/>
      <c r="I1" s="779"/>
      <c r="J1" s="779"/>
      <c r="K1" s="779"/>
      <c r="L1" s="779" t="str">
        <f>C1</f>
        <v>State-wise Estimated Enrolment through Regular mode at various levels</v>
      </c>
      <c r="M1" s="779"/>
      <c r="N1" s="779"/>
      <c r="O1" s="779"/>
      <c r="P1" s="779"/>
      <c r="Q1" s="779"/>
      <c r="R1" s="779"/>
      <c r="S1" s="779"/>
      <c r="T1" s="779"/>
      <c r="U1" s="779" t="str">
        <f>C1</f>
        <v>State-wise Estimated Enrolment through Regular mode at various levels</v>
      </c>
      <c r="V1" s="779"/>
      <c r="W1" s="779"/>
      <c r="X1" s="779"/>
      <c r="Y1" s="779"/>
      <c r="Z1" s="779"/>
      <c r="AA1" s="779"/>
      <c r="AB1" s="779"/>
      <c r="AC1" s="779"/>
    </row>
    <row r="2" spans="1:29" s="157" customFormat="1" ht="24.75" customHeight="1">
      <c r="A2" s="783" t="s">
        <v>84</v>
      </c>
      <c r="B2" s="750" t="s">
        <v>713</v>
      </c>
      <c r="C2" s="780" t="s">
        <v>89</v>
      </c>
      <c r="D2" s="781"/>
      <c r="E2" s="782"/>
      <c r="F2" s="780" t="s">
        <v>90</v>
      </c>
      <c r="G2" s="781"/>
      <c r="H2" s="782"/>
      <c r="I2" s="780" t="s">
        <v>85</v>
      </c>
      <c r="J2" s="781"/>
      <c r="K2" s="782"/>
      <c r="L2" s="780" t="s">
        <v>86</v>
      </c>
      <c r="M2" s="781"/>
      <c r="N2" s="782"/>
      <c r="O2" s="780" t="s">
        <v>91</v>
      </c>
      <c r="P2" s="781"/>
      <c r="Q2" s="782"/>
      <c r="R2" s="780" t="s">
        <v>92</v>
      </c>
      <c r="S2" s="781"/>
      <c r="T2" s="782"/>
      <c r="U2" s="780" t="s">
        <v>93</v>
      </c>
      <c r="V2" s="781"/>
      <c r="W2" s="782"/>
      <c r="X2" s="780" t="s">
        <v>94</v>
      </c>
      <c r="Y2" s="781"/>
      <c r="Z2" s="782"/>
      <c r="AA2" s="780" t="s">
        <v>60</v>
      </c>
      <c r="AB2" s="781"/>
      <c r="AC2" s="782"/>
    </row>
    <row r="3" spans="1:29" s="103" customFormat="1" ht="24.75" customHeight="1">
      <c r="A3" s="784"/>
      <c r="B3" s="750"/>
      <c r="C3" s="464" t="s">
        <v>87</v>
      </c>
      <c r="D3" s="464" t="s">
        <v>88</v>
      </c>
      <c r="E3" s="464" t="s">
        <v>12</v>
      </c>
      <c r="F3" s="464" t="s">
        <v>87</v>
      </c>
      <c r="G3" s="464" t="s">
        <v>88</v>
      </c>
      <c r="H3" s="464" t="s">
        <v>12</v>
      </c>
      <c r="I3" s="464" t="s">
        <v>87</v>
      </c>
      <c r="J3" s="464" t="s">
        <v>88</v>
      </c>
      <c r="K3" s="464" t="s">
        <v>12</v>
      </c>
      <c r="L3" s="464" t="s">
        <v>87</v>
      </c>
      <c r="M3" s="464" t="s">
        <v>88</v>
      </c>
      <c r="N3" s="464" t="s">
        <v>12</v>
      </c>
      <c r="O3" s="464" t="s">
        <v>87</v>
      </c>
      <c r="P3" s="464" t="s">
        <v>88</v>
      </c>
      <c r="Q3" s="464" t="s">
        <v>12</v>
      </c>
      <c r="R3" s="464" t="s">
        <v>87</v>
      </c>
      <c r="S3" s="464" t="s">
        <v>88</v>
      </c>
      <c r="T3" s="464" t="s">
        <v>12</v>
      </c>
      <c r="U3" s="464" t="s">
        <v>87</v>
      </c>
      <c r="V3" s="464" t="s">
        <v>88</v>
      </c>
      <c r="W3" s="464" t="s">
        <v>12</v>
      </c>
      <c r="X3" s="464" t="s">
        <v>87</v>
      </c>
      <c r="Y3" s="464" t="s">
        <v>88</v>
      </c>
      <c r="Z3" s="464" t="s">
        <v>12</v>
      </c>
      <c r="AA3" s="464" t="s">
        <v>87</v>
      </c>
      <c r="AB3" s="464" t="s">
        <v>88</v>
      </c>
      <c r="AC3" s="464" t="s">
        <v>12</v>
      </c>
    </row>
    <row r="4" spans="1:29" s="159" customFormat="1" ht="16.5" customHeight="1">
      <c r="A4" s="158">
        <v>1</v>
      </c>
      <c r="B4" s="158">
        <v>2</v>
      </c>
      <c r="C4" s="158">
        <v>3</v>
      </c>
      <c r="D4" s="158">
        <v>4</v>
      </c>
      <c r="E4" s="158">
        <v>5</v>
      </c>
      <c r="F4" s="158">
        <v>6</v>
      </c>
      <c r="G4" s="158">
        <v>7</v>
      </c>
      <c r="H4" s="158">
        <v>8</v>
      </c>
      <c r="I4" s="158">
        <v>9</v>
      </c>
      <c r="J4" s="158">
        <v>10</v>
      </c>
      <c r="K4" s="158">
        <v>11</v>
      </c>
      <c r="L4" s="158">
        <v>12</v>
      </c>
      <c r="M4" s="158">
        <v>13</v>
      </c>
      <c r="N4" s="158">
        <v>14</v>
      </c>
      <c r="O4" s="158">
        <v>15</v>
      </c>
      <c r="P4" s="158">
        <v>16</v>
      </c>
      <c r="Q4" s="158">
        <v>17</v>
      </c>
      <c r="R4" s="158">
        <v>18</v>
      </c>
      <c r="S4" s="158">
        <v>19</v>
      </c>
      <c r="T4" s="158">
        <v>20</v>
      </c>
      <c r="U4" s="158">
        <v>21</v>
      </c>
      <c r="V4" s="158">
        <v>22</v>
      </c>
      <c r="W4" s="158">
        <v>23</v>
      </c>
      <c r="X4" s="158">
        <v>24</v>
      </c>
      <c r="Y4" s="158">
        <v>25</v>
      </c>
      <c r="Z4" s="158">
        <v>26</v>
      </c>
      <c r="AA4" s="158">
        <v>27</v>
      </c>
      <c r="AB4" s="158">
        <v>28</v>
      </c>
      <c r="AC4" s="158">
        <v>29</v>
      </c>
    </row>
    <row r="5" spans="1:29" s="103" customFormat="1" ht="30.75" customHeight="1">
      <c r="A5" s="100">
        <v>1</v>
      </c>
      <c r="B5" s="145" t="s">
        <v>154</v>
      </c>
      <c r="C5" s="154">
        <f>'6TotalEnr'!C5-'6bTotalDistanceEnr'!C5</f>
        <v>5</v>
      </c>
      <c r="D5" s="154">
        <f>'6TotalEnr'!D5-'6bTotalDistanceEnr'!D5</f>
        <v>9</v>
      </c>
      <c r="E5" s="154">
        <f>'6TotalEnr'!E5-'6bTotalDistanceEnr'!E5</f>
        <v>14</v>
      </c>
      <c r="F5" s="154">
        <f>'6TotalEnr'!F5-'6bTotalDistanceEnr'!F5</f>
        <v>0</v>
      </c>
      <c r="G5" s="154">
        <f>'6TotalEnr'!G5-'6bTotalDistanceEnr'!G5</f>
        <v>0</v>
      </c>
      <c r="H5" s="154">
        <f>'6TotalEnr'!H5-'6bTotalDistanceEnr'!H5</f>
        <v>0</v>
      </c>
      <c r="I5" s="154">
        <f>'6TotalEnr'!I5-'6bTotalDistanceEnr'!I5</f>
        <v>69</v>
      </c>
      <c r="J5" s="154">
        <f>'6TotalEnr'!J5-'6bTotalDistanceEnr'!J5</f>
        <v>283</v>
      </c>
      <c r="K5" s="154">
        <f>I5+J5</f>
        <v>352</v>
      </c>
      <c r="L5" s="154">
        <f>'6TotalEnr'!L5-'6bTotalDistanceEnr'!L5</f>
        <v>1933</v>
      </c>
      <c r="M5" s="154">
        <f>'6TotalEnr'!M5-'6bTotalDistanceEnr'!M5</f>
        <v>2757</v>
      </c>
      <c r="N5" s="154">
        <f>'6TotalEnr'!N5-'6bTotalDistanceEnr'!N5</f>
        <v>4690</v>
      </c>
      <c r="O5" s="154">
        <f>'6TotalEnr'!O5-'6bTotalDistanceEnr'!O5</f>
        <v>0</v>
      </c>
      <c r="P5" s="154">
        <f>'6TotalEnr'!P5-'6bTotalDistanceEnr'!P5</f>
        <v>0</v>
      </c>
      <c r="Q5" s="154">
        <f>'6TotalEnr'!Q5-'6bTotalDistanceEnr'!Q5</f>
        <v>0</v>
      </c>
      <c r="R5" s="154">
        <f>'6TotalEnr'!R5-'6bTotalDistanceEnr'!R5</f>
        <v>293</v>
      </c>
      <c r="S5" s="154">
        <f>'6TotalEnr'!S5-'6bTotalDistanceEnr'!S5</f>
        <v>231</v>
      </c>
      <c r="T5" s="154">
        <f>'6TotalEnr'!T5-'6bTotalDistanceEnr'!T5</f>
        <v>524</v>
      </c>
      <c r="U5" s="154">
        <f>'6TotalEnr'!U5-'6bTotalDistanceEnr'!U5</f>
        <v>46</v>
      </c>
      <c r="V5" s="154">
        <f>'6TotalEnr'!V5-'6bTotalDistanceEnr'!V5</f>
        <v>36</v>
      </c>
      <c r="W5" s="154">
        <f>'6TotalEnr'!W5-'6bTotalDistanceEnr'!W5</f>
        <v>82</v>
      </c>
      <c r="X5" s="154">
        <f>'6TotalEnr'!X5-'6bTotalDistanceEnr'!X5</f>
        <v>145</v>
      </c>
      <c r="Y5" s="154">
        <f>'6TotalEnr'!Y5-'6bTotalDistanceEnr'!Y5</f>
        <v>224</v>
      </c>
      <c r="Z5" s="154">
        <f>'6TotalEnr'!Z5-'6bTotalDistanceEnr'!Z5</f>
        <v>369</v>
      </c>
      <c r="AA5" s="154">
        <f>'6TotalEnr'!AA5-'6bTotalDistanceEnr'!AA5</f>
        <v>2491</v>
      </c>
      <c r="AB5" s="154">
        <f>'6TotalEnr'!AB5-'6bTotalDistanceEnr'!AB5</f>
        <v>3540</v>
      </c>
      <c r="AC5" s="642">
        <f>'6TotalEnr'!AC5-'6bTotalDistanceEnr'!AC5</f>
        <v>6031</v>
      </c>
    </row>
    <row r="6" spans="1:29" s="103" customFormat="1" ht="20.25" customHeight="1">
      <c r="A6" s="100">
        <v>2</v>
      </c>
      <c r="B6" s="91" t="s">
        <v>15</v>
      </c>
      <c r="C6" s="154">
        <f>'6TotalEnr'!C6-'6bTotalDistanceEnr'!C6</f>
        <v>3837</v>
      </c>
      <c r="D6" s="154">
        <f>'6TotalEnr'!D6-'6bTotalDistanceEnr'!D6</f>
        <v>2879</v>
      </c>
      <c r="E6" s="154">
        <f>'6TotalEnr'!E6-'6bTotalDistanceEnr'!E6</f>
        <v>6716</v>
      </c>
      <c r="F6" s="154">
        <f>'6TotalEnr'!F6-'6bTotalDistanceEnr'!F6</f>
        <v>175</v>
      </c>
      <c r="G6" s="154">
        <f>'6TotalEnr'!G6-'6bTotalDistanceEnr'!G6</f>
        <v>102</v>
      </c>
      <c r="H6" s="154">
        <f>'6TotalEnr'!H6-'6bTotalDistanceEnr'!H6</f>
        <v>277</v>
      </c>
      <c r="I6" s="154">
        <f>'6TotalEnr'!I6-'6bTotalDistanceEnr'!I6</f>
        <v>88923</v>
      </c>
      <c r="J6" s="154">
        <f>'6TotalEnr'!J6-'6bTotalDistanceEnr'!J6</f>
        <v>85176</v>
      </c>
      <c r="K6" s="154">
        <f t="shared" ref="K6:K41" si="0">I6+J6</f>
        <v>174099</v>
      </c>
      <c r="L6" s="154">
        <f>'6TotalEnr'!L6-'6bTotalDistanceEnr'!L6</f>
        <v>671286</v>
      </c>
      <c r="M6" s="154">
        <f>'6TotalEnr'!M6-'6bTotalDistanceEnr'!M6</f>
        <v>602648</v>
      </c>
      <c r="N6" s="154">
        <f>'6TotalEnr'!N6-'6bTotalDistanceEnr'!N6</f>
        <v>1273934</v>
      </c>
      <c r="O6" s="154">
        <f>'6TotalEnr'!O6-'6bTotalDistanceEnr'!O6</f>
        <v>792</v>
      </c>
      <c r="P6" s="154">
        <f>'6TotalEnr'!P6-'6bTotalDistanceEnr'!P6</f>
        <v>468</v>
      </c>
      <c r="Q6" s="154">
        <f>'6TotalEnr'!Q6-'6bTotalDistanceEnr'!Q6</f>
        <v>1260</v>
      </c>
      <c r="R6" s="154">
        <f>'6TotalEnr'!R6-'6bTotalDistanceEnr'!R6</f>
        <v>92704</v>
      </c>
      <c r="S6" s="154">
        <f>'6TotalEnr'!S6-'6bTotalDistanceEnr'!S6</f>
        <v>59683</v>
      </c>
      <c r="T6" s="154">
        <f>'6TotalEnr'!T6-'6bTotalDistanceEnr'!T6</f>
        <v>152387</v>
      </c>
      <c r="U6" s="154">
        <f>'6TotalEnr'!U6-'6bTotalDistanceEnr'!U6</f>
        <v>3921</v>
      </c>
      <c r="V6" s="154">
        <f>'6TotalEnr'!V6-'6bTotalDistanceEnr'!V6</f>
        <v>6903</v>
      </c>
      <c r="W6" s="154">
        <f>'6TotalEnr'!W6-'6bTotalDistanceEnr'!W6</f>
        <v>10824</v>
      </c>
      <c r="X6" s="154">
        <f>'6TotalEnr'!X6-'6bTotalDistanceEnr'!X6</f>
        <v>8650</v>
      </c>
      <c r="Y6" s="154">
        <f>'6TotalEnr'!Y6-'6bTotalDistanceEnr'!Y6</f>
        <v>4362</v>
      </c>
      <c r="Z6" s="154">
        <f>'6TotalEnr'!Z6-'6bTotalDistanceEnr'!Z6</f>
        <v>13012</v>
      </c>
      <c r="AA6" s="154">
        <f>'6TotalEnr'!AA6-'6bTotalDistanceEnr'!AA6</f>
        <v>870288</v>
      </c>
      <c r="AB6" s="154">
        <f>'6TotalEnr'!AB6-'6bTotalDistanceEnr'!AB6</f>
        <v>762221</v>
      </c>
      <c r="AC6" s="642">
        <f>'6TotalEnr'!AC6-'6bTotalDistanceEnr'!AC6</f>
        <v>1632509</v>
      </c>
    </row>
    <row r="7" spans="1:29" s="103" customFormat="1" ht="20.25" customHeight="1">
      <c r="A7" s="100">
        <v>3</v>
      </c>
      <c r="B7" s="91" t="s">
        <v>16</v>
      </c>
      <c r="C7" s="154">
        <f>'6TotalEnr'!C7-'6bTotalDistanceEnr'!C7</f>
        <v>565</v>
      </c>
      <c r="D7" s="154">
        <f>'6TotalEnr'!D7-'6bTotalDistanceEnr'!D7</f>
        <v>421</v>
      </c>
      <c r="E7" s="154">
        <f>'6TotalEnr'!E7-'6bTotalDistanceEnr'!E7</f>
        <v>986</v>
      </c>
      <c r="F7" s="154">
        <f>'6TotalEnr'!F7-'6bTotalDistanceEnr'!F7</f>
        <v>57</v>
      </c>
      <c r="G7" s="154">
        <f>'6TotalEnr'!G7-'6bTotalDistanceEnr'!G7</f>
        <v>88</v>
      </c>
      <c r="H7" s="154">
        <f>'6TotalEnr'!H7-'6bTotalDistanceEnr'!H7</f>
        <v>145</v>
      </c>
      <c r="I7" s="154">
        <f>'6TotalEnr'!I7-'6bTotalDistanceEnr'!I7</f>
        <v>2874</v>
      </c>
      <c r="J7" s="154">
        <f>'6TotalEnr'!J7-'6bTotalDistanceEnr'!J7</f>
        <v>2296</v>
      </c>
      <c r="K7" s="154">
        <f t="shared" si="0"/>
        <v>5170</v>
      </c>
      <c r="L7" s="154">
        <f>'6TotalEnr'!L7-'6bTotalDistanceEnr'!L7</f>
        <v>16058</v>
      </c>
      <c r="M7" s="154">
        <f>'6TotalEnr'!M7-'6bTotalDistanceEnr'!M7</f>
        <v>13373</v>
      </c>
      <c r="N7" s="154">
        <f>'6TotalEnr'!N7-'6bTotalDistanceEnr'!N7</f>
        <v>29431</v>
      </c>
      <c r="O7" s="154">
        <f>'6TotalEnr'!O7-'6bTotalDistanceEnr'!O7</f>
        <v>59</v>
      </c>
      <c r="P7" s="154">
        <f>'6TotalEnr'!P7-'6bTotalDistanceEnr'!P7</f>
        <v>59</v>
      </c>
      <c r="Q7" s="154">
        <f>'6TotalEnr'!Q7-'6bTotalDistanceEnr'!Q7</f>
        <v>118</v>
      </c>
      <c r="R7" s="154">
        <f>'6TotalEnr'!R7-'6bTotalDistanceEnr'!R7</f>
        <v>1263</v>
      </c>
      <c r="S7" s="154">
        <f>'6TotalEnr'!S7-'6bTotalDistanceEnr'!S7</f>
        <v>583</v>
      </c>
      <c r="T7" s="154">
        <f>'6TotalEnr'!T7-'6bTotalDistanceEnr'!T7</f>
        <v>1846</v>
      </c>
      <c r="U7" s="154">
        <f>'6TotalEnr'!U7-'6bTotalDistanceEnr'!U7</f>
        <v>299</v>
      </c>
      <c r="V7" s="154">
        <f>'6TotalEnr'!V7-'6bTotalDistanceEnr'!V7</f>
        <v>119</v>
      </c>
      <c r="W7" s="154">
        <f>'6TotalEnr'!W7-'6bTotalDistanceEnr'!W7</f>
        <v>418</v>
      </c>
      <c r="X7" s="154">
        <f>'6TotalEnr'!X7-'6bTotalDistanceEnr'!X7</f>
        <v>1015</v>
      </c>
      <c r="Y7" s="154">
        <f>'6TotalEnr'!Y7-'6bTotalDistanceEnr'!Y7</f>
        <v>628</v>
      </c>
      <c r="Z7" s="154">
        <f>'6TotalEnr'!Z7-'6bTotalDistanceEnr'!Z7</f>
        <v>1643</v>
      </c>
      <c r="AA7" s="154">
        <f>'6TotalEnr'!AA7-'6bTotalDistanceEnr'!AA7</f>
        <v>22190</v>
      </c>
      <c r="AB7" s="154">
        <f>'6TotalEnr'!AB7-'6bTotalDistanceEnr'!AB7</f>
        <v>17567</v>
      </c>
      <c r="AC7" s="642">
        <f>'6TotalEnr'!AC7-'6bTotalDistanceEnr'!AC7</f>
        <v>39757</v>
      </c>
    </row>
    <row r="8" spans="1:29" s="103" customFormat="1" ht="20.25" customHeight="1">
      <c r="A8" s="100">
        <v>4</v>
      </c>
      <c r="B8" s="91" t="s">
        <v>17</v>
      </c>
      <c r="C8" s="154">
        <f>'6TotalEnr'!C8-'6bTotalDistanceEnr'!C8</f>
        <v>3214</v>
      </c>
      <c r="D8" s="154">
        <f>'6TotalEnr'!D8-'6bTotalDistanceEnr'!D8</f>
        <v>2413</v>
      </c>
      <c r="E8" s="154">
        <f>'6TotalEnr'!E8-'6bTotalDistanceEnr'!E8</f>
        <v>5627</v>
      </c>
      <c r="F8" s="154">
        <f>'6TotalEnr'!F8-'6bTotalDistanceEnr'!F8</f>
        <v>245</v>
      </c>
      <c r="G8" s="154">
        <f>'6TotalEnr'!G8-'6bTotalDistanceEnr'!G8</f>
        <v>371</v>
      </c>
      <c r="H8" s="154">
        <f>'6TotalEnr'!H8-'6bTotalDistanceEnr'!H8</f>
        <v>616</v>
      </c>
      <c r="I8" s="154">
        <f>'6TotalEnr'!I8-'6bTotalDistanceEnr'!I8</f>
        <v>12716</v>
      </c>
      <c r="J8" s="154">
        <f>'6TotalEnr'!J8-'6bTotalDistanceEnr'!J8</f>
        <v>17995</v>
      </c>
      <c r="K8" s="154">
        <f t="shared" si="0"/>
        <v>30711</v>
      </c>
      <c r="L8" s="154">
        <f>'6TotalEnr'!L8-'6bTotalDistanceEnr'!L8</f>
        <v>241521</v>
      </c>
      <c r="M8" s="154">
        <f>'6TotalEnr'!M8-'6bTotalDistanceEnr'!M8</f>
        <v>259643</v>
      </c>
      <c r="N8" s="154">
        <f>'6TotalEnr'!N8-'6bTotalDistanceEnr'!N8</f>
        <v>501164</v>
      </c>
      <c r="O8" s="154">
        <f>'6TotalEnr'!O8-'6bTotalDistanceEnr'!O8</f>
        <v>473</v>
      </c>
      <c r="P8" s="154">
        <f>'6TotalEnr'!P8-'6bTotalDistanceEnr'!P8</f>
        <v>576</v>
      </c>
      <c r="Q8" s="154">
        <f>'6TotalEnr'!Q8-'6bTotalDistanceEnr'!Q8</f>
        <v>1049</v>
      </c>
      <c r="R8" s="154">
        <f>'6TotalEnr'!R8-'6bTotalDistanceEnr'!R8</f>
        <v>10655</v>
      </c>
      <c r="S8" s="154">
        <f>'6TotalEnr'!S8-'6bTotalDistanceEnr'!S8</f>
        <v>7374</v>
      </c>
      <c r="T8" s="154">
        <f>'6TotalEnr'!T8-'6bTotalDistanceEnr'!T8</f>
        <v>18029</v>
      </c>
      <c r="U8" s="154">
        <f>'6TotalEnr'!U8-'6bTotalDistanceEnr'!U8</f>
        <v>739</v>
      </c>
      <c r="V8" s="154">
        <f>'6TotalEnr'!V8-'6bTotalDistanceEnr'!V8</f>
        <v>1165</v>
      </c>
      <c r="W8" s="154">
        <f>'6TotalEnr'!W8-'6bTotalDistanceEnr'!W8</f>
        <v>1904</v>
      </c>
      <c r="X8" s="154">
        <f>'6TotalEnr'!X8-'6bTotalDistanceEnr'!X8</f>
        <v>2446</v>
      </c>
      <c r="Y8" s="154">
        <f>'6TotalEnr'!Y8-'6bTotalDistanceEnr'!Y8</f>
        <v>2247</v>
      </c>
      <c r="Z8" s="154">
        <f>'6TotalEnr'!Z8-'6bTotalDistanceEnr'!Z8</f>
        <v>4693</v>
      </c>
      <c r="AA8" s="154">
        <f>'6TotalEnr'!AA8-'6bTotalDistanceEnr'!AA8</f>
        <v>272009</v>
      </c>
      <c r="AB8" s="154">
        <f>'6TotalEnr'!AB8-'6bTotalDistanceEnr'!AB8</f>
        <v>291784</v>
      </c>
      <c r="AC8" s="642">
        <f>'6TotalEnr'!AC8-'6bTotalDistanceEnr'!AC8</f>
        <v>563793</v>
      </c>
    </row>
    <row r="9" spans="1:29" s="103" customFormat="1" ht="20.25" customHeight="1">
      <c r="A9" s="100">
        <v>5</v>
      </c>
      <c r="B9" s="91" t="s">
        <v>18</v>
      </c>
      <c r="C9" s="154">
        <f>'6TotalEnr'!C9-'6bTotalDistanceEnr'!C9</f>
        <v>1665</v>
      </c>
      <c r="D9" s="154">
        <f>'6TotalEnr'!D9-'6bTotalDistanceEnr'!D9</f>
        <v>1034</v>
      </c>
      <c r="E9" s="154">
        <f>'6TotalEnr'!E9-'6bTotalDistanceEnr'!E9</f>
        <v>2699</v>
      </c>
      <c r="F9" s="154">
        <f>'6TotalEnr'!F9-'6bTotalDistanceEnr'!F9</f>
        <v>55</v>
      </c>
      <c r="G9" s="154">
        <f>'6TotalEnr'!G9-'6bTotalDistanceEnr'!G9</f>
        <v>15</v>
      </c>
      <c r="H9" s="154">
        <f>'6TotalEnr'!H9-'6bTotalDistanceEnr'!H9</f>
        <v>70</v>
      </c>
      <c r="I9" s="154">
        <f>'6TotalEnr'!I9-'6bTotalDistanceEnr'!I9</f>
        <v>37369</v>
      </c>
      <c r="J9" s="154">
        <f>'6TotalEnr'!J9-'6bTotalDistanceEnr'!J9</f>
        <v>35886</v>
      </c>
      <c r="K9" s="154">
        <f t="shared" si="0"/>
        <v>73255</v>
      </c>
      <c r="L9" s="154">
        <f>'6TotalEnr'!L9-'6bTotalDistanceEnr'!L9</f>
        <v>801196</v>
      </c>
      <c r="M9" s="154">
        <f>'6TotalEnr'!M9-'6bTotalDistanceEnr'!M9</f>
        <v>647494</v>
      </c>
      <c r="N9" s="154">
        <f>'6TotalEnr'!N9-'6bTotalDistanceEnr'!N9</f>
        <v>1448690</v>
      </c>
      <c r="O9" s="154">
        <f>'6TotalEnr'!O9-'6bTotalDistanceEnr'!O9</f>
        <v>788</v>
      </c>
      <c r="P9" s="154">
        <f>'6TotalEnr'!P9-'6bTotalDistanceEnr'!P9</f>
        <v>401</v>
      </c>
      <c r="Q9" s="154">
        <f>'6TotalEnr'!Q9-'6bTotalDistanceEnr'!Q9</f>
        <v>1189</v>
      </c>
      <c r="R9" s="154">
        <f>'6TotalEnr'!R9-'6bTotalDistanceEnr'!R9</f>
        <v>42497</v>
      </c>
      <c r="S9" s="154">
        <f>'6TotalEnr'!S9-'6bTotalDistanceEnr'!S9</f>
        <v>25277</v>
      </c>
      <c r="T9" s="154">
        <f>'6TotalEnr'!T9-'6bTotalDistanceEnr'!T9</f>
        <v>67774</v>
      </c>
      <c r="U9" s="154">
        <f>'6TotalEnr'!U9-'6bTotalDistanceEnr'!U9</f>
        <v>4024</v>
      </c>
      <c r="V9" s="154">
        <f>'6TotalEnr'!V9-'6bTotalDistanceEnr'!V9</f>
        <v>2562</v>
      </c>
      <c r="W9" s="154">
        <f>'6TotalEnr'!W9-'6bTotalDistanceEnr'!W9</f>
        <v>6586</v>
      </c>
      <c r="X9" s="154">
        <f>'6TotalEnr'!X9-'6bTotalDistanceEnr'!X9</f>
        <v>2258</v>
      </c>
      <c r="Y9" s="154">
        <f>'6TotalEnr'!Y9-'6bTotalDistanceEnr'!Y9</f>
        <v>1026</v>
      </c>
      <c r="Z9" s="154">
        <f>'6TotalEnr'!Z9-'6bTotalDistanceEnr'!Z9</f>
        <v>3284</v>
      </c>
      <c r="AA9" s="154">
        <f>'6TotalEnr'!AA9-'6bTotalDistanceEnr'!AA9</f>
        <v>889852</v>
      </c>
      <c r="AB9" s="154">
        <f>'6TotalEnr'!AB9-'6bTotalDistanceEnr'!AB9</f>
        <v>713695</v>
      </c>
      <c r="AC9" s="642">
        <f>'6TotalEnr'!AC9-'6bTotalDistanceEnr'!AC9</f>
        <v>1603547</v>
      </c>
    </row>
    <row r="10" spans="1:29" s="103" customFormat="1" ht="20.25" customHeight="1">
      <c r="A10" s="100">
        <v>6</v>
      </c>
      <c r="B10" s="91" t="s">
        <v>19</v>
      </c>
      <c r="C10" s="154">
        <f>'6TotalEnr'!C10-'6bTotalDistanceEnr'!C10</f>
        <v>409</v>
      </c>
      <c r="D10" s="154">
        <f>'6TotalEnr'!D10-'6bTotalDistanceEnr'!D10</f>
        <v>550</v>
      </c>
      <c r="E10" s="154">
        <f>'6TotalEnr'!E10-'6bTotalDistanceEnr'!E10</f>
        <v>959</v>
      </c>
      <c r="F10" s="154">
        <f>'6TotalEnr'!F10-'6bTotalDistanceEnr'!F10</f>
        <v>140</v>
      </c>
      <c r="G10" s="154">
        <f>'6TotalEnr'!G10-'6bTotalDistanceEnr'!G10</f>
        <v>48</v>
      </c>
      <c r="H10" s="154">
        <f>'6TotalEnr'!H10-'6bTotalDistanceEnr'!H10</f>
        <v>188</v>
      </c>
      <c r="I10" s="154">
        <f>'6TotalEnr'!I10-'6bTotalDistanceEnr'!I10</f>
        <v>4482</v>
      </c>
      <c r="J10" s="154">
        <f>'6TotalEnr'!J10-'6bTotalDistanceEnr'!J10</f>
        <v>8372</v>
      </c>
      <c r="K10" s="154">
        <f t="shared" si="0"/>
        <v>12854</v>
      </c>
      <c r="L10" s="154">
        <f>'6TotalEnr'!L10-'6bTotalDistanceEnr'!L10</f>
        <v>26617</v>
      </c>
      <c r="M10" s="154">
        <f>'6TotalEnr'!M10-'6bTotalDistanceEnr'!M10</f>
        <v>28722</v>
      </c>
      <c r="N10" s="154">
        <f>'6TotalEnr'!N10-'6bTotalDistanceEnr'!N10</f>
        <v>55339</v>
      </c>
      <c r="O10" s="154">
        <f>'6TotalEnr'!O10-'6bTotalDistanceEnr'!O10</f>
        <v>264</v>
      </c>
      <c r="P10" s="154">
        <f>'6TotalEnr'!P10-'6bTotalDistanceEnr'!P10</f>
        <v>437</v>
      </c>
      <c r="Q10" s="154">
        <f>'6TotalEnr'!Q10-'6bTotalDistanceEnr'!Q10</f>
        <v>701</v>
      </c>
      <c r="R10" s="154">
        <f>'6TotalEnr'!R10-'6bTotalDistanceEnr'!R10</f>
        <v>2047</v>
      </c>
      <c r="S10" s="154">
        <f>'6TotalEnr'!S10-'6bTotalDistanceEnr'!S10</f>
        <v>1223</v>
      </c>
      <c r="T10" s="154">
        <f>'6TotalEnr'!T10-'6bTotalDistanceEnr'!T10</f>
        <v>3270</v>
      </c>
      <c r="U10" s="154">
        <f>'6TotalEnr'!U10-'6bTotalDistanceEnr'!U10</f>
        <v>409</v>
      </c>
      <c r="V10" s="154">
        <f>'6TotalEnr'!V10-'6bTotalDistanceEnr'!V10</f>
        <v>259</v>
      </c>
      <c r="W10" s="154">
        <f>'6TotalEnr'!W10-'6bTotalDistanceEnr'!W10</f>
        <v>668</v>
      </c>
      <c r="X10" s="154">
        <f>'6TotalEnr'!X10-'6bTotalDistanceEnr'!X10</f>
        <v>1139</v>
      </c>
      <c r="Y10" s="154">
        <f>'6TotalEnr'!Y10-'6bTotalDistanceEnr'!Y10</f>
        <v>1290</v>
      </c>
      <c r="Z10" s="154">
        <f>'6TotalEnr'!Z10-'6bTotalDistanceEnr'!Z10</f>
        <v>2429</v>
      </c>
      <c r="AA10" s="154">
        <f>'6TotalEnr'!AA10-'6bTotalDistanceEnr'!AA10</f>
        <v>35507</v>
      </c>
      <c r="AB10" s="154">
        <f>'6TotalEnr'!AB10-'6bTotalDistanceEnr'!AB10</f>
        <v>40901</v>
      </c>
      <c r="AC10" s="642">
        <f>'6TotalEnr'!AC10-'6bTotalDistanceEnr'!AC10</f>
        <v>76408</v>
      </c>
    </row>
    <row r="11" spans="1:29" s="103" customFormat="1" ht="20.25" customHeight="1">
      <c r="A11" s="100">
        <v>7</v>
      </c>
      <c r="B11" s="91" t="s">
        <v>20</v>
      </c>
      <c r="C11" s="154">
        <f>'6TotalEnr'!C11-'6bTotalDistanceEnr'!C11</f>
        <v>824</v>
      </c>
      <c r="D11" s="154">
        <f>'6TotalEnr'!D11-'6bTotalDistanceEnr'!D11</f>
        <v>691</v>
      </c>
      <c r="E11" s="154">
        <f>'6TotalEnr'!E11-'6bTotalDistanceEnr'!E11</f>
        <v>1515</v>
      </c>
      <c r="F11" s="154">
        <f>'6TotalEnr'!F11-'6bTotalDistanceEnr'!F11</f>
        <v>109</v>
      </c>
      <c r="G11" s="154">
        <f>'6TotalEnr'!G11-'6bTotalDistanceEnr'!G11</f>
        <v>89</v>
      </c>
      <c r="H11" s="154">
        <f>'6TotalEnr'!H11-'6bTotalDistanceEnr'!H11</f>
        <v>198</v>
      </c>
      <c r="I11" s="154">
        <f>'6TotalEnr'!I11-'6bTotalDistanceEnr'!I11</f>
        <v>23040</v>
      </c>
      <c r="J11" s="154">
        <f>'6TotalEnr'!J11-'6bTotalDistanceEnr'!J11</f>
        <v>34523</v>
      </c>
      <c r="K11" s="154">
        <f t="shared" si="0"/>
        <v>57563</v>
      </c>
      <c r="L11" s="154">
        <f>'6TotalEnr'!L11-'6bTotalDistanceEnr'!L11</f>
        <v>173403</v>
      </c>
      <c r="M11" s="154">
        <f>'6TotalEnr'!M11-'6bTotalDistanceEnr'!M11</f>
        <v>219635</v>
      </c>
      <c r="N11" s="154">
        <f>'6TotalEnr'!N11-'6bTotalDistanceEnr'!N11</f>
        <v>393038</v>
      </c>
      <c r="O11" s="154">
        <f>'6TotalEnr'!O11-'6bTotalDistanceEnr'!O11</f>
        <v>4672</v>
      </c>
      <c r="P11" s="154">
        <f>'6TotalEnr'!P11-'6bTotalDistanceEnr'!P11</f>
        <v>5099</v>
      </c>
      <c r="Q11" s="154">
        <f>'6TotalEnr'!Q11-'6bTotalDistanceEnr'!Q11</f>
        <v>9771</v>
      </c>
      <c r="R11" s="154">
        <f>'6TotalEnr'!R11-'6bTotalDistanceEnr'!R11</f>
        <v>22197</v>
      </c>
      <c r="S11" s="154">
        <f>'6TotalEnr'!S11-'6bTotalDistanceEnr'!S11</f>
        <v>15478</v>
      </c>
      <c r="T11" s="154">
        <f>'6TotalEnr'!T11-'6bTotalDistanceEnr'!T11</f>
        <v>37675</v>
      </c>
      <c r="U11" s="154">
        <f>'6TotalEnr'!U11-'6bTotalDistanceEnr'!U11</f>
        <v>210</v>
      </c>
      <c r="V11" s="154">
        <f>'6TotalEnr'!V11-'6bTotalDistanceEnr'!V11</f>
        <v>335</v>
      </c>
      <c r="W11" s="154">
        <f>'6TotalEnr'!W11-'6bTotalDistanceEnr'!W11</f>
        <v>545</v>
      </c>
      <c r="X11" s="154">
        <f>'6TotalEnr'!X11-'6bTotalDistanceEnr'!X11</f>
        <v>1882</v>
      </c>
      <c r="Y11" s="154">
        <f>'6TotalEnr'!Y11-'6bTotalDistanceEnr'!Y11</f>
        <v>1848</v>
      </c>
      <c r="Z11" s="154">
        <f>'6TotalEnr'!Z11-'6bTotalDistanceEnr'!Z11</f>
        <v>3730</v>
      </c>
      <c r="AA11" s="154">
        <f>'6TotalEnr'!AA11-'6bTotalDistanceEnr'!AA11</f>
        <v>226337</v>
      </c>
      <c r="AB11" s="154">
        <f>'6TotalEnr'!AB11-'6bTotalDistanceEnr'!AB11</f>
        <v>277698</v>
      </c>
      <c r="AC11" s="642">
        <f>'6TotalEnr'!AC11-'6bTotalDistanceEnr'!AC11</f>
        <v>504035</v>
      </c>
    </row>
    <row r="12" spans="1:29" s="103" customFormat="1" ht="24" customHeight="1">
      <c r="A12" s="100">
        <v>8</v>
      </c>
      <c r="B12" s="145" t="s">
        <v>155</v>
      </c>
      <c r="C12" s="154">
        <f>'6TotalEnr'!C12-'6bTotalDistanceEnr'!C12</f>
        <v>0</v>
      </c>
      <c r="D12" s="154">
        <f>'6TotalEnr'!D12-'6bTotalDistanceEnr'!D12</f>
        <v>0</v>
      </c>
      <c r="E12" s="154">
        <f>'6TotalEnr'!E12-'6bTotalDistanceEnr'!E12</f>
        <v>0</v>
      </c>
      <c r="F12" s="154">
        <f>'6TotalEnr'!F12-'6bTotalDistanceEnr'!F12</f>
        <v>0</v>
      </c>
      <c r="G12" s="154">
        <f>'6TotalEnr'!G12-'6bTotalDistanceEnr'!G12</f>
        <v>0</v>
      </c>
      <c r="H12" s="154">
        <f>'6TotalEnr'!H12-'6bTotalDistanceEnr'!H12</f>
        <v>0</v>
      </c>
      <c r="I12" s="154">
        <f>'6TotalEnr'!I12-'6bTotalDistanceEnr'!I12</f>
        <v>122</v>
      </c>
      <c r="J12" s="154">
        <f>'6TotalEnr'!J12-'6bTotalDistanceEnr'!J12</f>
        <v>247</v>
      </c>
      <c r="K12" s="154">
        <f t="shared" si="0"/>
        <v>369</v>
      </c>
      <c r="L12" s="154">
        <f>'6TotalEnr'!L12-'6bTotalDistanceEnr'!L12</f>
        <v>2401</v>
      </c>
      <c r="M12" s="154">
        <f>'6TotalEnr'!M12-'6bTotalDistanceEnr'!M12</f>
        <v>2855</v>
      </c>
      <c r="N12" s="154">
        <f>'6TotalEnr'!N12-'6bTotalDistanceEnr'!N12</f>
        <v>5256</v>
      </c>
      <c r="O12" s="154">
        <f>'6TotalEnr'!O12-'6bTotalDistanceEnr'!O12</f>
        <v>0</v>
      </c>
      <c r="P12" s="154">
        <f>'6TotalEnr'!P12-'6bTotalDistanceEnr'!P12</f>
        <v>0</v>
      </c>
      <c r="Q12" s="154">
        <f>'6TotalEnr'!Q12-'6bTotalDistanceEnr'!Q12</f>
        <v>0</v>
      </c>
      <c r="R12" s="154">
        <f>'6TotalEnr'!R12-'6bTotalDistanceEnr'!R12</f>
        <v>596</v>
      </c>
      <c r="S12" s="154">
        <f>'6TotalEnr'!S12-'6bTotalDistanceEnr'!S12</f>
        <v>135</v>
      </c>
      <c r="T12" s="154">
        <f>'6TotalEnr'!T12-'6bTotalDistanceEnr'!T12</f>
        <v>731</v>
      </c>
      <c r="U12" s="154">
        <f>'6TotalEnr'!U12-'6bTotalDistanceEnr'!U12</f>
        <v>0</v>
      </c>
      <c r="V12" s="154">
        <f>'6TotalEnr'!V12-'6bTotalDistanceEnr'!V12</f>
        <v>0</v>
      </c>
      <c r="W12" s="154">
        <f>'6TotalEnr'!W12-'6bTotalDistanceEnr'!W12</f>
        <v>0</v>
      </c>
      <c r="X12" s="154">
        <f>'6TotalEnr'!X12-'6bTotalDistanceEnr'!X12</f>
        <v>11</v>
      </c>
      <c r="Y12" s="154">
        <f>'6TotalEnr'!Y12-'6bTotalDistanceEnr'!Y12</f>
        <v>26</v>
      </c>
      <c r="Z12" s="154">
        <f>'6TotalEnr'!Z12-'6bTotalDistanceEnr'!Z12</f>
        <v>37</v>
      </c>
      <c r="AA12" s="154">
        <f>'6TotalEnr'!AA12-'6bTotalDistanceEnr'!AA12</f>
        <v>3130</v>
      </c>
      <c r="AB12" s="154">
        <f>'6TotalEnr'!AB12-'6bTotalDistanceEnr'!AB12</f>
        <v>3263</v>
      </c>
      <c r="AC12" s="642">
        <f>'6TotalEnr'!AC12-'6bTotalDistanceEnr'!AC12</f>
        <v>6393</v>
      </c>
    </row>
    <row r="13" spans="1:29" s="103" customFormat="1" ht="20.25" customHeight="1">
      <c r="A13" s="100">
        <v>9</v>
      </c>
      <c r="B13" s="91" t="s">
        <v>156</v>
      </c>
      <c r="C13" s="154">
        <f>'6TotalEnr'!C13-'6bTotalDistanceEnr'!C13</f>
        <v>0</v>
      </c>
      <c r="D13" s="154">
        <f>'6TotalEnr'!D13-'6bTotalDistanceEnr'!D13</f>
        <v>0</v>
      </c>
      <c r="E13" s="154">
        <f>'6TotalEnr'!E13-'6bTotalDistanceEnr'!E13</f>
        <v>0</v>
      </c>
      <c r="F13" s="154">
        <f>'6TotalEnr'!F13-'6bTotalDistanceEnr'!F13</f>
        <v>0</v>
      </c>
      <c r="G13" s="154">
        <f>'6TotalEnr'!G13-'6bTotalDistanceEnr'!G13</f>
        <v>0</v>
      </c>
      <c r="H13" s="154">
        <f>'6TotalEnr'!H13-'6bTotalDistanceEnr'!H13</f>
        <v>0</v>
      </c>
      <c r="I13" s="154">
        <f>'6TotalEnr'!I13-'6bTotalDistanceEnr'!I13</f>
        <v>66</v>
      </c>
      <c r="J13" s="154">
        <f>'6TotalEnr'!J13-'6bTotalDistanceEnr'!J13</f>
        <v>186</v>
      </c>
      <c r="K13" s="154">
        <f t="shared" si="0"/>
        <v>252</v>
      </c>
      <c r="L13" s="154">
        <f>'6TotalEnr'!L13-'6bTotalDistanceEnr'!L13</f>
        <v>1035</v>
      </c>
      <c r="M13" s="154">
        <f>'6TotalEnr'!M13-'6bTotalDistanceEnr'!M13</f>
        <v>1310</v>
      </c>
      <c r="N13" s="154">
        <f>'6TotalEnr'!N13-'6bTotalDistanceEnr'!N13</f>
        <v>2345</v>
      </c>
      <c r="O13" s="154">
        <f>'6TotalEnr'!O13-'6bTotalDistanceEnr'!O13</f>
        <v>0</v>
      </c>
      <c r="P13" s="154">
        <f>'6TotalEnr'!P13-'6bTotalDistanceEnr'!P13</f>
        <v>0</v>
      </c>
      <c r="Q13" s="154">
        <f>'6TotalEnr'!Q13-'6bTotalDistanceEnr'!Q13</f>
        <v>0</v>
      </c>
      <c r="R13" s="154">
        <f>'6TotalEnr'!R13-'6bTotalDistanceEnr'!R13</f>
        <v>1089</v>
      </c>
      <c r="S13" s="154">
        <f>'6TotalEnr'!S13-'6bTotalDistanceEnr'!S13</f>
        <v>246</v>
      </c>
      <c r="T13" s="154">
        <f>'6TotalEnr'!T13-'6bTotalDistanceEnr'!T13</f>
        <v>1335</v>
      </c>
      <c r="U13" s="154">
        <f>'6TotalEnr'!U13-'6bTotalDistanceEnr'!U13</f>
        <v>0</v>
      </c>
      <c r="V13" s="154">
        <f>'6TotalEnr'!V13-'6bTotalDistanceEnr'!V13</f>
        <v>0</v>
      </c>
      <c r="W13" s="154">
        <f>'6TotalEnr'!W13-'6bTotalDistanceEnr'!W13</f>
        <v>0</v>
      </c>
      <c r="X13" s="154">
        <f>'6TotalEnr'!X13-'6bTotalDistanceEnr'!X13</f>
        <v>0</v>
      </c>
      <c r="Y13" s="154">
        <f>'6TotalEnr'!Y13-'6bTotalDistanceEnr'!Y13</f>
        <v>0</v>
      </c>
      <c r="Z13" s="154">
        <f>'6TotalEnr'!Z13-'6bTotalDistanceEnr'!Z13</f>
        <v>0</v>
      </c>
      <c r="AA13" s="154">
        <f>'6TotalEnr'!AA13-'6bTotalDistanceEnr'!AA13</f>
        <v>2190</v>
      </c>
      <c r="AB13" s="154">
        <f>'6TotalEnr'!AB13-'6bTotalDistanceEnr'!AB13</f>
        <v>1742</v>
      </c>
      <c r="AC13" s="642">
        <f>'6TotalEnr'!AC13-'6bTotalDistanceEnr'!AC13</f>
        <v>3932</v>
      </c>
    </row>
    <row r="14" spans="1:29" s="103" customFormat="1" ht="20.25" customHeight="1">
      <c r="A14" s="100">
        <v>10</v>
      </c>
      <c r="B14" s="91" t="s">
        <v>23</v>
      </c>
      <c r="C14" s="154">
        <f>'6TotalEnr'!C14-'6bTotalDistanceEnr'!C14</f>
        <v>8812</v>
      </c>
      <c r="D14" s="154">
        <f>'6TotalEnr'!D14-'6bTotalDistanceEnr'!D14</f>
        <v>7458</v>
      </c>
      <c r="E14" s="154">
        <f>'6TotalEnr'!E14-'6bTotalDistanceEnr'!E14</f>
        <v>16270</v>
      </c>
      <c r="F14" s="154">
        <f>'6TotalEnr'!F14-'6bTotalDistanceEnr'!F14</f>
        <v>650</v>
      </c>
      <c r="G14" s="154">
        <f>'6TotalEnr'!G14-'6bTotalDistanceEnr'!G14</f>
        <v>672</v>
      </c>
      <c r="H14" s="154">
        <f>'6TotalEnr'!H14-'6bTotalDistanceEnr'!H14</f>
        <v>1322</v>
      </c>
      <c r="I14" s="154">
        <f>'6TotalEnr'!I14-'6bTotalDistanceEnr'!I14</f>
        <v>24635</v>
      </c>
      <c r="J14" s="154">
        <f>'6TotalEnr'!J14-'6bTotalDistanceEnr'!J14</f>
        <v>24080</v>
      </c>
      <c r="K14" s="154">
        <f t="shared" si="0"/>
        <v>48715</v>
      </c>
      <c r="L14" s="154">
        <f>'6TotalEnr'!L14-'6bTotalDistanceEnr'!L14</f>
        <v>162498</v>
      </c>
      <c r="M14" s="154">
        <f>'6TotalEnr'!M14-'6bTotalDistanceEnr'!M14</f>
        <v>178598</v>
      </c>
      <c r="N14" s="154">
        <f>'6TotalEnr'!N14-'6bTotalDistanceEnr'!N14</f>
        <v>341096</v>
      </c>
      <c r="O14" s="154">
        <f>'6TotalEnr'!O14-'6bTotalDistanceEnr'!O14</f>
        <v>2692</v>
      </c>
      <c r="P14" s="154">
        <f>'6TotalEnr'!P14-'6bTotalDistanceEnr'!P14</f>
        <v>2215</v>
      </c>
      <c r="Q14" s="154">
        <f>'6TotalEnr'!Q14-'6bTotalDistanceEnr'!Q14</f>
        <v>4907</v>
      </c>
      <c r="R14" s="154">
        <f>'6TotalEnr'!R14-'6bTotalDistanceEnr'!R14</f>
        <v>17816</v>
      </c>
      <c r="S14" s="154">
        <f>'6TotalEnr'!S14-'6bTotalDistanceEnr'!S14</f>
        <v>12949</v>
      </c>
      <c r="T14" s="154">
        <f>'6TotalEnr'!T14-'6bTotalDistanceEnr'!T14</f>
        <v>30765</v>
      </c>
      <c r="U14" s="154">
        <f>'6TotalEnr'!U14-'6bTotalDistanceEnr'!U14</f>
        <v>2340</v>
      </c>
      <c r="V14" s="154">
        <f>'6TotalEnr'!V14-'6bTotalDistanceEnr'!V14</f>
        <v>1627</v>
      </c>
      <c r="W14" s="154">
        <f>'6TotalEnr'!W14-'6bTotalDistanceEnr'!W14</f>
        <v>3967</v>
      </c>
      <c r="X14" s="154">
        <f>'6TotalEnr'!X14-'6bTotalDistanceEnr'!X14</f>
        <v>2999</v>
      </c>
      <c r="Y14" s="154">
        <f>'6TotalEnr'!Y14-'6bTotalDistanceEnr'!Y14</f>
        <v>1497</v>
      </c>
      <c r="Z14" s="154">
        <f>'6TotalEnr'!Z14-'6bTotalDistanceEnr'!Z14</f>
        <v>4496</v>
      </c>
      <c r="AA14" s="154">
        <f>'6TotalEnr'!AA14-'6bTotalDistanceEnr'!AA14</f>
        <v>222442</v>
      </c>
      <c r="AB14" s="154">
        <f>'6TotalEnr'!AB14-'6bTotalDistanceEnr'!AB14</f>
        <v>229096</v>
      </c>
      <c r="AC14" s="642">
        <f>'6TotalEnr'!AC14-'6bTotalDistanceEnr'!AC14</f>
        <v>451538</v>
      </c>
    </row>
    <row r="15" spans="1:29" s="103" customFormat="1" ht="20.25" customHeight="1">
      <c r="A15" s="100">
        <v>11</v>
      </c>
      <c r="B15" s="91" t="s">
        <v>24</v>
      </c>
      <c r="C15" s="154">
        <f>'6TotalEnr'!C15-'6bTotalDistanceEnr'!C15</f>
        <v>217</v>
      </c>
      <c r="D15" s="154">
        <f>'6TotalEnr'!D15-'6bTotalDistanceEnr'!D15</f>
        <v>216</v>
      </c>
      <c r="E15" s="154">
        <f>'6TotalEnr'!E15-'6bTotalDistanceEnr'!E15</f>
        <v>433</v>
      </c>
      <c r="F15" s="154">
        <f>'6TotalEnr'!F15-'6bTotalDistanceEnr'!F15</f>
        <v>1</v>
      </c>
      <c r="G15" s="154">
        <f>'6TotalEnr'!G15-'6bTotalDistanceEnr'!G15</f>
        <v>4</v>
      </c>
      <c r="H15" s="154">
        <f>'6TotalEnr'!H15-'6bTotalDistanceEnr'!H15</f>
        <v>5</v>
      </c>
      <c r="I15" s="154">
        <f>'6TotalEnr'!I15-'6bTotalDistanceEnr'!I15</f>
        <v>1799</v>
      </c>
      <c r="J15" s="154">
        <f>'6TotalEnr'!J15-'6bTotalDistanceEnr'!J15</f>
        <v>3139</v>
      </c>
      <c r="K15" s="154">
        <f t="shared" si="0"/>
        <v>4938</v>
      </c>
      <c r="L15" s="154">
        <f>'6TotalEnr'!L15-'6bTotalDistanceEnr'!L15</f>
        <v>15641</v>
      </c>
      <c r="M15" s="154">
        <f>'6TotalEnr'!M15-'6bTotalDistanceEnr'!M15</f>
        <v>20727</v>
      </c>
      <c r="N15" s="154">
        <f>'6TotalEnr'!N15-'6bTotalDistanceEnr'!N15</f>
        <v>36368</v>
      </c>
      <c r="O15" s="154">
        <f>'6TotalEnr'!O15-'6bTotalDistanceEnr'!O15</f>
        <v>39</v>
      </c>
      <c r="P15" s="154">
        <f>'6TotalEnr'!P15-'6bTotalDistanceEnr'!P15</f>
        <v>52</v>
      </c>
      <c r="Q15" s="154">
        <f>'6TotalEnr'!Q15-'6bTotalDistanceEnr'!Q15</f>
        <v>91</v>
      </c>
      <c r="R15" s="154">
        <f>'6TotalEnr'!R15-'6bTotalDistanceEnr'!R15</f>
        <v>4412</v>
      </c>
      <c r="S15" s="154">
        <f>'6TotalEnr'!S15-'6bTotalDistanceEnr'!S15</f>
        <v>872</v>
      </c>
      <c r="T15" s="154">
        <f>'6TotalEnr'!T15-'6bTotalDistanceEnr'!T15</f>
        <v>5284</v>
      </c>
      <c r="U15" s="154">
        <f>'6TotalEnr'!U15-'6bTotalDistanceEnr'!U15</f>
        <v>20</v>
      </c>
      <c r="V15" s="154">
        <f>'6TotalEnr'!V15-'6bTotalDistanceEnr'!V15</f>
        <v>4</v>
      </c>
      <c r="W15" s="154">
        <f>'6TotalEnr'!W15-'6bTotalDistanceEnr'!W15</f>
        <v>24</v>
      </c>
      <c r="X15" s="154">
        <f>'6TotalEnr'!X15-'6bTotalDistanceEnr'!X15</f>
        <v>196</v>
      </c>
      <c r="Y15" s="154">
        <f>'6TotalEnr'!Y15-'6bTotalDistanceEnr'!Y15</f>
        <v>528</v>
      </c>
      <c r="Z15" s="154">
        <f>'6TotalEnr'!Z15-'6bTotalDistanceEnr'!Z15</f>
        <v>724</v>
      </c>
      <c r="AA15" s="154">
        <f>'6TotalEnr'!AA15-'6bTotalDistanceEnr'!AA15</f>
        <v>22325</v>
      </c>
      <c r="AB15" s="154">
        <f>'6TotalEnr'!AB15-'6bTotalDistanceEnr'!AB15</f>
        <v>25542</v>
      </c>
      <c r="AC15" s="642">
        <f>'6TotalEnr'!AC15-'6bTotalDistanceEnr'!AC15</f>
        <v>47867</v>
      </c>
    </row>
    <row r="16" spans="1:29" s="103" customFormat="1" ht="20.25" customHeight="1">
      <c r="A16" s="100">
        <v>12</v>
      </c>
      <c r="B16" s="91" t="s">
        <v>25</v>
      </c>
      <c r="C16" s="154">
        <f>'6TotalEnr'!C16-'6bTotalDistanceEnr'!C16</f>
        <v>4380</v>
      </c>
      <c r="D16" s="154">
        <f>'6TotalEnr'!D16-'6bTotalDistanceEnr'!D16</f>
        <v>3050</v>
      </c>
      <c r="E16" s="154">
        <f>'6TotalEnr'!E16-'6bTotalDistanceEnr'!E16</f>
        <v>7430</v>
      </c>
      <c r="F16" s="154">
        <f>'6TotalEnr'!F16-'6bTotalDistanceEnr'!F16</f>
        <v>468</v>
      </c>
      <c r="G16" s="154">
        <f>'6TotalEnr'!G16-'6bTotalDistanceEnr'!G16</f>
        <v>469</v>
      </c>
      <c r="H16" s="154">
        <f>'6TotalEnr'!H16-'6bTotalDistanceEnr'!H16</f>
        <v>937</v>
      </c>
      <c r="I16" s="154">
        <f>'6TotalEnr'!I16-'6bTotalDistanceEnr'!I16</f>
        <v>62682</v>
      </c>
      <c r="J16" s="154">
        <f>'6TotalEnr'!J16-'6bTotalDistanceEnr'!J16</f>
        <v>81184</v>
      </c>
      <c r="K16" s="154">
        <f t="shared" si="0"/>
        <v>143866</v>
      </c>
      <c r="L16" s="154">
        <f>'6TotalEnr'!L16-'6bTotalDistanceEnr'!L16</f>
        <v>652694</v>
      </c>
      <c r="M16" s="154">
        <f>'6TotalEnr'!M16-'6bTotalDistanceEnr'!M16</f>
        <v>509260</v>
      </c>
      <c r="N16" s="154">
        <f>'6TotalEnr'!N16-'6bTotalDistanceEnr'!N16</f>
        <v>1161954</v>
      </c>
      <c r="O16" s="154">
        <f>'6TotalEnr'!O16-'6bTotalDistanceEnr'!O16</f>
        <v>3055</v>
      </c>
      <c r="P16" s="154">
        <f>'6TotalEnr'!P16-'6bTotalDistanceEnr'!P16</f>
        <v>3009</v>
      </c>
      <c r="Q16" s="154">
        <f>'6TotalEnr'!Q16-'6bTotalDistanceEnr'!Q16</f>
        <v>6064</v>
      </c>
      <c r="R16" s="154">
        <f>'6TotalEnr'!R16-'6bTotalDistanceEnr'!R16</f>
        <v>94354</v>
      </c>
      <c r="S16" s="154">
        <f>'6TotalEnr'!S16-'6bTotalDistanceEnr'!S16</f>
        <v>44466</v>
      </c>
      <c r="T16" s="154">
        <f>'6TotalEnr'!T16-'6bTotalDistanceEnr'!T16</f>
        <v>138820</v>
      </c>
      <c r="U16" s="154">
        <f>'6TotalEnr'!U16-'6bTotalDistanceEnr'!U16</f>
        <v>3719</v>
      </c>
      <c r="V16" s="154">
        <f>'6TotalEnr'!V16-'6bTotalDistanceEnr'!V16</f>
        <v>4424</v>
      </c>
      <c r="W16" s="154">
        <f>'6TotalEnr'!W16-'6bTotalDistanceEnr'!W16</f>
        <v>8143</v>
      </c>
      <c r="X16" s="154">
        <f>'6TotalEnr'!X16-'6bTotalDistanceEnr'!X16</f>
        <v>7635</v>
      </c>
      <c r="Y16" s="154">
        <f>'6TotalEnr'!Y16-'6bTotalDistanceEnr'!Y16</f>
        <v>6880</v>
      </c>
      <c r="Z16" s="154">
        <f>'6TotalEnr'!Z16-'6bTotalDistanceEnr'!Z16</f>
        <v>14515</v>
      </c>
      <c r="AA16" s="154">
        <f>'6TotalEnr'!AA16-'6bTotalDistanceEnr'!AA16</f>
        <v>828987</v>
      </c>
      <c r="AB16" s="154">
        <f>'6TotalEnr'!AB16-'6bTotalDistanceEnr'!AB16</f>
        <v>652742</v>
      </c>
      <c r="AC16" s="642">
        <f>'6TotalEnr'!AC16-'6bTotalDistanceEnr'!AC16</f>
        <v>1481729</v>
      </c>
    </row>
    <row r="17" spans="1:29" s="103" customFormat="1" ht="20.25" customHeight="1">
      <c r="A17" s="100">
        <v>13</v>
      </c>
      <c r="B17" s="91" t="s">
        <v>26</v>
      </c>
      <c r="C17" s="154">
        <f>'6TotalEnr'!C17-'6bTotalDistanceEnr'!C17</f>
        <v>1810</v>
      </c>
      <c r="D17" s="154">
        <f>'6TotalEnr'!D17-'6bTotalDistanceEnr'!D17</f>
        <v>2356</v>
      </c>
      <c r="E17" s="154">
        <f>'6TotalEnr'!E17-'6bTotalDistanceEnr'!E17</f>
        <v>4166</v>
      </c>
      <c r="F17" s="154">
        <f>'6TotalEnr'!F17-'6bTotalDistanceEnr'!F17</f>
        <v>80</v>
      </c>
      <c r="G17" s="154">
        <f>'6TotalEnr'!G17-'6bTotalDistanceEnr'!G17</f>
        <v>230</v>
      </c>
      <c r="H17" s="154">
        <f>'6TotalEnr'!H17-'6bTotalDistanceEnr'!H17</f>
        <v>310</v>
      </c>
      <c r="I17" s="154">
        <f>'6TotalEnr'!I17-'6bTotalDistanceEnr'!I17</f>
        <v>28328</v>
      </c>
      <c r="J17" s="154">
        <f>'6TotalEnr'!J17-'6bTotalDistanceEnr'!J17</f>
        <v>52669</v>
      </c>
      <c r="K17" s="154">
        <f t="shared" si="0"/>
        <v>80997</v>
      </c>
      <c r="L17" s="154">
        <f>'6TotalEnr'!L17-'6bTotalDistanceEnr'!L17</f>
        <v>282926</v>
      </c>
      <c r="M17" s="154">
        <f>'6TotalEnr'!M17-'6bTotalDistanceEnr'!M17</f>
        <v>333714</v>
      </c>
      <c r="N17" s="154">
        <f>'6TotalEnr'!N17-'6bTotalDistanceEnr'!N17</f>
        <v>616640</v>
      </c>
      <c r="O17" s="154">
        <f>'6TotalEnr'!O17-'6bTotalDistanceEnr'!O17</f>
        <v>1372</v>
      </c>
      <c r="P17" s="154">
        <f>'6TotalEnr'!P17-'6bTotalDistanceEnr'!P17</f>
        <v>1360</v>
      </c>
      <c r="Q17" s="154">
        <f>'6TotalEnr'!Q17-'6bTotalDistanceEnr'!Q17</f>
        <v>2732</v>
      </c>
      <c r="R17" s="154">
        <f>'6TotalEnr'!R17-'6bTotalDistanceEnr'!R17</f>
        <v>49268</v>
      </c>
      <c r="S17" s="154">
        <f>'6TotalEnr'!S17-'6bTotalDistanceEnr'!S17</f>
        <v>21295</v>
      </c>
      <c r="T17" s="154">
        <f>'6TotalEnr'!T17-'6bTotalDistanceEnr'!T17</f>
        <v>70563</v>
      </c>
      <c r="U17" s="154">
        <f>'6TotalEnr'!U17-'6bTotalDistanceEnr'!U17</f>
        <v>1621</v>
      </c>
      <c r="V17" s="154">
        <f>'6TotalEnr'!V17-'6bTotalDistanceEnr'!V17</f>
        <v>1778</v>
      </c>
      <c r="W17" s="154">
        <f>'6TotalEnr'!W17-'6bTotalDistanceEnr'!W17</f>
        <v>3399</v>
      </c>
      <c r="X17" s="154">
        <f>'6TotalEnr'!X17-'6bTotalDistanceEnr'!X17</f>
        <v>8715</v>
      </c>
      <c r="Y17" s="154">
        <f>'6TotalEnr'!Y17-'6bTotalDistanceEnr'!Y17</f>
        <v>4334</v>
      </c>
      <c r="Z17" s="154">
        <f>'6TotalEnr'!Z17-'6bTotalDistanceEnr'!Z17</f>
        <v>13049</v>
      </c>
      <c r="AA17" s="154">
        <f>'6TotalEnr'!AA17-'6bTotalDistanceEnr'!AA17</f>
        <v>374120</v>
      </c>
      <c r="AB17" s="154">
        <f>'6TotalEnr'!AB17-'6bTotalDistanceEnr'!AB17</f>
        <v>417736</v>
      </c>
      <c r="AC17" s="642">
        <f>'6TotalEnr'!AC17-'6bTotalDistanceEnr'!AC17</f>
        <v>791856</v>
      </c>
    </row>
    <row r="18" spans="1:29" s="103" customFormat="1" ht="20.25" customHeight="1">
      <c r="A18" s="100">
        <v>14</v>
      </c>
      <c r="B18" s="91" t="s">
        <v>27</v>
      </c>
      <c r="C18" s="154">
        <f>'6TotalEnr'!C18-'6bTotalDistanceEnr'!C18</f>
        <v>1027</v>
      </c>
      <c r="D18" s="154">
        <f>'6TotalEnr'!D18-'6bTotalDistanceEnr'!D18</f>
        <v>897</v>
      </c>
      <c r="E18" s="154">
        <f>'6TotalEnr'!E18-'6bTotalDistanceEnr'!E18</f>
        <v>1924</v>
      </c>
      <c r="F18" s="154">
        <f>'6TotalEnr'!F18-'6bTotalDistanceEnr'!F18</f>
        <v>118</v>
      </c>
      <c r="G18" s="154">
        <f>'6TotalEnr'!G18-'6bTotalDistanceEnr'!G18</f>
        <v>214</v>
      </c>
      <c r="H18" s="154">
        <f>'6TotalEnr'!H18-'6bTotalDistanceEnr'!H18</f>
        <v>332</v>
      </c>
      <c r="I18" s="154">
        <f>'6TotalEnr'!I18-'6bTotalDistanceEnr'!I18</f>
        <v>7680</v>
      </c>
      <c r="J18" s="154">
        <f>'6TotalEnr'!J18-'6bTotalDistanceEnr'!J18</f>
        <v>10928</v>
      </c>
      <c r="K18" s="154">
        <f t="shared" si="0"/>
        <v>18608</v>
      </c>
      <c r="L18" s="154">
        <f>'6TotalEnr'!L18-'6bTotalDistanceEnr'!L18</f>
        <v>88779</v>
      </c>
      <c r="M18" s="154">
        <f>'6TotalEnr'!M18-'6bTotalDistanceEnr'!M18</f>
        <v>113683</v>
      </c>
      <c r="N18" s="154">
        <f>'6TotalEnr'!N18-'6bTotalDistanceEnr'!N18</f>
        <v>202462</v>
      </c>
      <c r="O18" s="154">
        <f>'6TotalEnr'!O18-'6bTotalDistanceEnr'!O18</f>
        <v>354</v>
      </c>
      <c r="P18" s="154">
        <f>'6TotalEnr'!P18-'6bTotalDistanceEnr'!P18</f>
        <v>682</v>
      </c>
      <c r="Q18" s="154">
        <f>'6TotalEnr'!Q18-'6bTotalDistanceEnr'!Q18</f>
        <v>1036</v>
      </c>
      <c r="R18" s="154">
        <f>'6TotalEnr'!R18-'6bTotalDistanceEnr'!R18</f>
        <v>8449</v>
      </c>
      <c r="S18" s="154">
        <f>'6TotalEnr'!S18-'6bTotalDistanceEnr'!S18</f>
        <v>7753</v>
      </c>
      <c r="T18" s="154">
        <f>'6TotalEnr'!T18-'6bTotalDistanceEnr'!T18</f>
        <v>16202</v>
      </c>
      <c r="U18" s="154">
        <f>'6TotalEnr'!U18-'6bTotalDistanceEnr'!U18</f>
        <v>590</v>
      </c>
      <c r="V18" s="154">
        <f>'6TotalEnr'!V18-'6bTotalDistanceEnr'!V18</f>
        <v>677</v>
      </c>
      <c r="W18" s="154">
        <f>'6TotalEnr'!W18-'6bTotalDistanceEnr'!W18</f>
        <v>1267</v>
      </c>
      <c r="X18" s="154">
        <f>'6TotalEnr'!X18-'6bTotalDistanceEnr'!X18</f>
        <v>990</v>
      </c>
      <c r="Y18" s="154">
        <f>'6TotalEnr'!Y18-'6bTotalDistanceEnr'!Y18</f>
        <v>523</v>
      </c>
      <c r="Z18" s="154">
        <f>'6TotalEnr'!Z18-'6bTotalDistanceEnr'!Z18</f>
        <v>1513</v>
      </c>
      <c r="AA18" s="154">
        <f>'6TotalEnr'!AA18-'6bTotalDistanceEnr'!AA18</f>
        <v>107987</v>
      </c>
      <c r="AB18" s="154">
        <f>'6TotalEnr'!AB18-'6bTotalDistanceEnr'!AB18</f>
        <v>135357</v>
      </c>
      <c r="AC18" s="642">
        <f>'6TotalEnr'!AC18-'6bTotalDistanceEnr'!AC18</f>
        <v>243344</v>
      </c>
    </row>
    <row r="19" spans="1:29" s="103" customFormat="1" ht="20.25" customHeight="1">
      <c r="A19" s="100">
        <v>15</v>
      </c>
      <c r="B19" s="91" t="s">
        <v>57</v>
      </c>
      <c r="C19" s="154">
        <f>'6TotalEnr'!C19-'6bTotalDistanceEnr'!C19</f>
        <v>2080</v>
      </c>
      <c r="D19" s="154">
        <f>'6TotalEnr'!D19-'6bTotalDistanceEnr'!D19</f>
        <v>1909</v>
      </c>
      <c r="E19" s="154">
        <f>'6TotalEnr'!E19-'6bTotalDistanceEnr'!E19</f>
        <v>3989</v>
      </c>
      <c r="F19" s="154">
        <f>'6TotalEnr'!F19-'6bTotalDistanceEnr'!F19</f>
        <v>94</v>
      </c>
      <c r="G19" s="154">
        <f>'6TotalEnr'!G19-'6bTotalDistanceEnr'!G19</f>
        <v>156</v>
      </c>
      <c r="H19" s="154">
        <f>'6TotalEnr'!H19-'6bTotalDistanceEnr'!H19</f>
        <v>250</v>
      </c>
      <c r="I19" s="154">
        <f>'6TotalEnr'!I19-'6bTotalDistanceEnr'!I19</f>
        <v>9412</v>
      </c>
      <c r="J19" s="154">
        <f>'6TotalEnr'!J19-'6bTotalDistanceEnr'!J19</f>
        <v>9747</v>
      </c>
      <c r="K19" s="154">
        <f t="shared" si="0"/>
        <v>19159</v>
      </c>
      <c r="L19" s="154">
        <f>'6TotalEnr'!L19-'6bTotalDistanceEnr'!L19</f>
        <v>112144</v>
      </c>
      <c r="M19" s="154">
        <f>'6TotalEnr'!M19-'6bTotalDistanceEnr'!M19</f>
        <v>118427</v>
      </c>
      <c r="N19" s="154">
        <f>'6TotalEnr'!N19-'6bTotalDistanceEnr'!N19</f>
        <v>230571</v>
      </c>
      <c r="O19" s="154">
        <f>'6TotalEnr'!O19-'6bTotalDistanceEnr'!O19</f>
        <v>220</v>
      </c>
      <c r="P19" s="154">
        <f>'6TotalEnr'!P19-'6bTotalDistanceEnr'!P19</f>
        <v>145</v>
      </c>
      <c r="Q19" s="154">
        <f>'6TotalEnr'!Q19-'6bTotalDistanceEnr'!Q19</f>
        <v>365</v>
      </c>
      <c r="R19" s="154">
        <f>'6TotalEnr'!R19-'6bTotalDistanceEnr'!R19</f>
        <v>8637</v>
      </c>
      <c r="S19" s="154">
        <f>'6TotalEnr'!S19-'6bTotalDistanceEnr'!S19</f>
        <v>6219</v>
      </c>
      <c r="T19" s="154">
        <f>'6TotalEnr'!T19-'6bTotalDistanceEnr'!T19</f>
        <v>14856</v>
      </c>
      <c r="U19" s="154">
        <f>'6TotalEnr'!U19-'6bTotalDistanceEnr'!U19</f>
        <v>988</v>
      </c>
      <c r="V19" s="154">
        <f>'6TotalEnr'!V19-'6bTotalDistanceEnr'!V19</f>
        <v>1119</v>
      </c>
      <c r="W19" s="154">
        <f>'6TotalEnr'!W19-'6bTotalDistanceEnr'!W19</f>
        <v>2107</v>
      </c>
      <c r="X19" s="154">
        <f>'6TotalEnr'!X19-'6bTotalDistanceEnr'!X19</f>
        <v>2846</v>
      </c>
      <c r="Y19" s="154">
        <f>'6TotalEnr'!Y19-'6bTotalDistanceEnr'!Y19</f>
        <v>3540</v>
      </c>
      <c r="Z19" s="154">
        <f>'6TotalEnr'!Z19-'6bTotalDistanceEnr'!Z19</f>
        <v>6386</v>
      </c>
      <c r="AA19" s="154">
        <f>'6TotalEnr'!AA19-'6bTotalDistanceEnr'!AA19</f>
        <v>136421</v>
      </c>
      <c r="AB19" s="154">
        <f>'6TotalEnr'!AB19-'6bTotalDistanceEnr'!AB19</f>
        <v>141262</v>
      </c>
      <c r="AC19" s="642">
        <f>'6TotalEnr'!AC19-'6bTotalDistanceEnr'!AC19</f>
        <v>277683</v>
      </c>
    </row>
    <row r="20" spans="1:29" s="103" customFormat="1" ht="20.25" customHeight="1">
      <c r="A20" s="100">
        <v>16</v>
      </c>
      <c r="B20" s="91" t="s">
        <v>29</v>
      </c>
      <c r="C20" s="154">
        <f>'6TotalEnr'!C20-'6bTotalDistanceEnr'!C20</f>
        <v>2469</v>
      </c>
      <c r="D20" s="154">
        <f>'6TotalEnr'!D20-'6bTotalDistanceEnr'!D20</f>
        <v>1020</v>
      </c>
      <c r="E20" s="154">
        <f>'6TotalEnr'!E20-'6bTotalDistanceEnr'!E20</f>
        <v>3489</v>
      </c>
      <c r="F20" s="154">
        <f>'6TotalEnr'!F20-'6bTotalDistanceEnr'!F20</f>
        <v>33</v>
      </c>
      <c r="G20" s="154">
        <f>'6TotalEnr'!G20-'6bTotalDistanceEnr'!G20</f>
        <v>74</v>
      </c>
      <c r="H20" s="154">
        <f>'6TotalEnr'!H20-'6bTotalDistanceEnr'!H20</f>
        <v>107</v>
      </c>
      <c r="I20" s="154">
        <f>'6TotalEnr'!I20-'6bTotalDistanceEnr'!I20</f>
        <v>32122</v>
      </c>
      <c r="J20" s="154">
        <f>'6TotalEnr'!J20-'6bTotalDistanceEnr'!J20</f>
        <v>47381</v>
      </c>
      <c r="K20" s="154">
        <f t="shared" si="0"/>
        <v>79503</v>
      </c>
      <c r="L20" s="154">
        <f>'6TotalEnr'!L20-'6bTotalDistanceEnr'!L20</f>
        <v>300527</v>
      </c>
      <c r="M20" s="154">
        <f>'6TotalEnr'!M20-'6bTotalDistanceEnr'!M20</f>
        <v>314385</v>
      </c>
      <c r="N20" s="154">
        <f>'6TotalEnr'!N20-'6bTotalDistanceEnr'!N20</f>
        <v>614912</v>
      </c>
      <c r="O20" s="154">
        <f>'6TotalEnr'!O20-'6bTotalDistanceEnr'!O20</f>
        <v>1516</v>
      </c>
      <c r="P20" s="154">
        <f>'6TotalEnr'!P20-'6bTotalDistanceEnr'!P20</f>
        <v>869</v>
      </c>
      <c r="Q20" s="154">
        <f>'6TotalEnr'!Q20-'6bTotalDistanceEnr'!Q20</f>
        <v>2385</v>
      </c>
      <c r="R20" s="154">
        <f>'6TotalEnr'!R20-'6bTotalDistanceEnr'!R20</f>
        <v>26778</v>
      </c>
      <c r="S20" s="154">
        <f>'6TotalEnr'!S20-'6bTotalDistanceEnr'!S20</f>
        <v>10714</v>
      </c>
      <c r="T20" s="154">
        <f>'6TotalEnr'!T20-'6bTotalDistanceEnr'!T20</f>
        <v>37492</v>
      </c>
      <c r="U20" s="154">
        <f>'6TotalEnr'!U20-'6bTotalDistanceEnr'!U20</f>
        <v>672</v>
      </c>
      <c r="V20" s="154">
        <f>'6TotalEnr'!V20-'6bTotalDistanceEnr'!V20</f>
        <v>1256</v>
      </c>
      <c r="W20" s="154">
        <f>'6TotalEnr'!W20-'6bTotalDistanceEnr'!W20</f>
        <v>1928</v>
      </c>
      <c r="X20" s="154">
        <f>'6TotalEnr'!X20-'6bTotalDistanceEnr'!X20</f>
        <v>2095</v>
      </c>
      <c r="Y20" s="154">
        <f>'6TotalEnr'!Y20-'6bTotalDistanceEnr'!Y20</f>
        <v>1222</v>
      </c>
      <c r="Z20" s="154">
        <f>'6TotalEnr'!Z20-'6bTotalDistanceEnr'!Z20</f>
        <v>3317</v>
      </c>
      <c r="AA20" s="154">
        <f>'6TotalEnr'!AA20-'6bTotalDistanceEnr'!AA20</f>
        <v>366212</v>
      </c>
      <c r="AB20" s="154">
        <f>'6TotalEnr'!AB20-'6bTotalDistanceEnr'!AB20</f>
        <v>376921</v>
      </c>
      <c r="AC20" s="642">
        <f>'6TotalEnr'!AC20-'6bTotalDistanceEnr'!AC20</f>
        <v>743133</v>
      </c>
    </row>
    <row r="21" spans="1:29" s="103" customFormat="1" ht="20.25" customHeight="1">
      <c r="A21" s="100">
        <v>17</v>
      </c>
      <c r="B21" s="91" t="s">
        <v>30</v>
      </c>
      <c r="C21" s="154">
        <f>'6TotalEnr'!C21-'6bTotalDistanceEnr'!C21</f>
        <v>8422</v>
      </c>
      <c r="D21" s="154">
        <f>'6TotalEnr'!D21-'6bTotalDistanceEnr'!D21</f>
        <v>6566</v>
      </c>
      <c r="E21" s="154">
        <f>'6TotalEnr'!E21-'6bTotalDistanceEnr'!E21</f>
        <v>14988</v>
      </c>
      <c r="F21" s="154">
        <f>'6TotalEnr'!F21-'6bTotalDistanceEnr'!F21</f>
        <v>160</v>
      </c>
      <c r="G21" s="154">
        <f>'6TotalEnr'!G21-'6bTotalDistanceEnr'!G21</f>
        <v>368</v>
      </c>
      <c r="H21" s="154">
        <f>'6TotalEnr'!H21-'6bTotalDistanceEnr'!H21</f>
        <v>528</v>
      </c>
      <c r="I21" s="154">
        <f>'6TotalEnr'!I21-'6bTotalDistanceEnr'!I21</f>
        <v>86081</v>
      </c>
      <c r="J21" s="154">
        <f>'6TotalEnr'!J21-'6bTotalDistanceEnr'!J21</f>
        <v>111740</v>
      </c>
      <c r="K21" s="154">
        <f t="shared" si="0"/>
        <v>197821</v>
      </c>
      <c r="L21" s="154">
        <f>'6TotalEnr'!L21-'6bTotalDistanceEnr'!L21</f>
        <v>828434</v>
      </c>
      <c r="M21" s="154">
        <f>'6TotalEnr'!M21-'6bTotalDistanceEnr'!M21</f>
        <v>847140</v>
      </c>
      <c r="N21" s="154">
        <f>'6TotalEnr'!N21-'6bTotalDistanceEnr'!N21</f>
        <v>1675574</v>
      </c>
      <c r="O21" s="154">
        <f>'6TotalEnr'!O21-'6bTotalDistanceEnr'!O21</f>
        <v>2861</v>
      </c>
      <c r="P21" s="154">
        <f>'6TotalEnr'!P21-'6bTotalDistanceEnr'!P21</f>
        <v>2790</v>
      </c>
      <c r="Q21" s="154">
        <f>'6TotalEnr'!Q21-'6bTotalDistanceEnr'!Q21</f>
        <v>5651</v>
      </c>
      <c r="R21" s="154">
        <f>'6TotalEnr'!R21-'6bTotalDistanceEnr'!R21</f>
        <v>113133</v>
      </c>
      <c r="S21" s="154">
        <f>'6TotalEnr'!S21-'6bTotalDistanceEnr'!S21</f>
        <v>80208</v>
      </c>
      <c r="T21" s="154">
        <f>'6TotalEnr'!T21-'6bTotalDistanceEnr'!T21</f>
        <v>193341</v>
      </c>
      <c r="U21" s="154">
        <f>'6TotalEnr'!U21-'6bTotalDistanceEnr'!U21</f>
        <v>1148</v>
      </c>
      <c r="V21" s="154">
        <f>'6TotalEnr'!V21-'6bTotalDistanceEnr'!V21</f>
        <v>1495</v>
      </c>
      <c r="W21" s="154">
        <f>'6TotalEnr'!W21-'6bTotalDistanceEnr'!W21</f>
        <v>2643</v>
      </c>
      <c r="X21" s="154">
        <f>'6TotalEnr'!X21-'6bTotalDistanceEnr'!X21</f>
        <v>6382</v>
      </c>
      <c r="Y21" s="154">
        <f>'6TotalEnr'!Y21-'6bTotalDistanceEnr'!Y21</f>
        <v>5074</v>
      </c>
      <c r="Z21" s="154">
        <f>'6TotalEnr'!Z21-'6bTotalDistanceEnr'!Z21</f>
        <v>11456</v>
      </c>
      <c r="AA21" s="154">
        <f>'6TotalEnr'!AA21-'6bTotalDistanceEnr'!AA21</f>
        <v>1046621</v>
      </c>
      <c r="AB21" s="154">
        <f>'6TotalEnr'!AB21-'6bTotalDistanceEnr'!AB21</f>
        <v>1055381</v>
      </c>
      <c r="AC21" s="642">
        <f>'6TotalEnr'!AC21-'6bTotalDistanceEnr'!AC21</f>
        <v>2102002</v>
      </c>
    </row>
    <row r="22" spans="1:29" s="103" customFormat="1" ht="20.25" customHeight="1">
      <c r="A22" s="100">
        <v>18</v>
      </c>
      <c r="B22" s="91" t="s">
        <v>31</v>
      </c>
      <c r="C22" s="154">
        <f>'6TotalEnr'!C22-'6bTotalDistanceEnr'!C22</f>
        <v>2817</v>
      </c>
      <c r="D22" s="154">
        <f>'6TotalEnr'!D22-'6bTotalDistanceEnr'!D22</f>
        <v>4687</v>
      </c>
      <c r="E22" s="154">
        <f>'6TotalEnr'!E22-'6bTotalDistanceEnr'!E22</f>
        <v>7504</v>
      </c>
      <c r="F22" s="154">
        <f>'6TotalEnr'!F22-'6bTotalDistanceEnr'!F22</f>
        <v>197</v>
      </c>
      <c r="G22" s="154">
        <f>'6TotalEnr'!G22-'6bTotalDistanceEnr'!G22</f>
        <v>676</v>
      </c>
      <c r="H22" s="154">
        <f>'6TotalEnr'!H22-'6bTotalDistanceEnr'!H22</f>
        <v>873</v>
      </c>
      <c r="I22" s="154">
        <f>'6TotalEnr'!I22-'6bTotalDistanceEnr'!I22</f>
        <v>21928</v>
      </c>
      <c r="J22" s="154">
        <f>'6TotalEnr'!J22-'6bTotalDistanceEnr'!J22</f>
        <v>69228</v>
      </c>
      <c r="K22" s="154">
        <f t="shared" si="0"/>
        <v>91156</v>
      </c>
      <c r="L22" s="154">
        <f>'6TotalEnr'!L22-'6bTotalDistanceEnr'!L22</f>
        <v>287531</v>
      </c>
      <c r="M22" s="154">
        <f>'6TotalEnr'!M22-'6bTotalDistanceEnr'!M22</f>
        <v>410502</v>
      </c>
      <c r="N22" s="154">
        <f>'6TotalEnr'!N22-'6bTotalDistanceEnr'!N22</f>
        <v>698033</v>
      </c>
      <c r="O22" s="154">
        <f>'6TotalEnr'!O22-'6bTotalDistanceEnr'!O22</f>
        <v>399</v>
      </c>
      <c r="P22" s="154">
        <f>'6TotalEnr'!P22-'6bTotalDistanceEnr'!P22</f>
        <v>467</v>
      </c>
      <c r="Q22" s="154">
        <f>'6TotalEnr'!Q22-'6bTotalDistanceEnr'!Q22</f>
        <v>866</v>
      </c>
      <c r="R22" s="154">
        <f>'6TotalEnr'!R22-'6bTotalDistanceEnr'!R22</f>
        <v>41458</v>
      </c>
      <c r="S22" s="154">
        <f>'6TotalEnr'!S22-'6bTotalDistanceEnr'!S22</f>
        <v>30502</v>
      </c>
      <c r="T22" s="154">
        <f>'6TotalEnr'!T22-'6bTotalDistanceEnr'!T22</f>
        <v>71960</v>
      </c>
      <c r="U22" s="154">
        <f>'6TotalEnr'!U22-'6bTotalDistanceEnr'!U22</f>
        <v>780</v>
      </c>
      <c r="V22" s="154">
        <f>'6TotalEnr'!V22-'6bTotalDistanceEnr'!V22</f>
        <v>2510</v>
      </c>
      <c r="W22" s="154">
        <f>'6TotalEnr'!W22-'6bTotalDistanceEnr'!W22</f>
        <v>3290</v>
      </c>
      <c r="X22" s="154">
        <f>'6TotalEnr'!X22-'6bTotalDistanceEnr'!X22</f>
        <v>3701</v>
      </c>
      <c r="Y22" s="154">
        <f>'6TotalEnr'!Y22-'6bTotalDistanceEnr'!Y22</f>
        <v>4094</v>
      </c>
      <c r="Z22" s="154">
        <f>'6TotalEnr'!Z22-'6bTotalDistanceEnr'!Z22</f>
        <v>7795</v>
      </c>
      <c r="AA22" s="154">
        <f>'6TotalEnr'!AA22-'6bTotalDistanceEnr'!AA22</f>
        <v>358811</v>
      </c>
      <c r="AB22" s="154">
        <f>'6TotalEnr'!AB22-'6bTotalDistanceEnr'!AB22</f>
        <v>522666</v>
      </c>
      <c r="AC22" s="642">
        <f>'6TotalEnr'!AC22-'6bTotalDistanceEnr'!AC22</f>
        <v>881477</v>
      </c>
    </row>
    <row r="23" spans="1:29" s="103" customFormat="1" ht="20.25" customHeight="1">
      <c r="A23" s="100">
        <v>19</v>
      </c>
      <c r="B23" s="137" t="s">
        <v>761</v>
      </c>
      <c r="C23" s="154">
        <f>'6TotalEnr'!C23-'6bTotalDistanceEnr'!C23</f>
        <v>6</v>
      </c>
      <c r="D23" s="154">
        <f>'6TotalEnr'!D23-'6bTotalDistanceEnr'!D23</f>
        <v>2</v>
      </c>
      <c r="E23" s="154">
        <f>'6TotalEnr'!E23-'6bTotalDistanceEnr'!E23</f>
        <v>8</v>
      </c>
      <c r="F23" s="154">
        <f>'6TotalEnr'!F23-'6bTotalDistanceEnr'!F23</f>
        <v>0</v>
      </c>
      <c r="G23" s="154">
        <f>'6TotalEnr'!G23-'6bTotalDistanceEnr'!G23</f>
        <v>0</v>
      </c>
      <c r="H23" s="154">
        <f>'6TotalEnr'!H23-'6bTotalDistanceEnr'!H23</f>
        <v>0</v>
      </c>
      <c r="I23" s="154">
        <f>'6TotalEnr'!I23-'6bTotalDistanceEnr'!I23</f>
        <v>26</v>
      </c>
      <c r="J23" s="154">
        <f>'6TotalEnr'!J23-'6bTotalDistanceEnr'!J23</f>
        <v>28</v>
      </c>
      <c r="K23" s="154">
        <f t="shared" si="0"/>
        <v>54</v>
      </c>
      <c r="L23" s="154">
        <f>'6TotalEnr'!L23-'6bTotalDistanceEnr'!L23</f>
        <v>798</v>
      </c>
      <c r="M23" s="154">
        <f>'6TotalEnr'!M23-'6bTotalDistanceEnr'!M23</f>
        <v>1746</v>
      </c>
      <c r="N23" s="154">
        <f>'6TotalEnr'!N23-'6bTotalDistanceEnr'!N23</f>
        <v>2544</v>
      </c>
      <c r="O23" s="154">
        <f>'6TotalEnr'!O23-'6bTotalDistanceEnr'!O23</f>
        <v>0</v>
      </c>
      <c r="P23" s="154">
        <f>'6TotalEnr'!P23-'6bTotalDistanceEnr'!P23</f>
        <v>0</v>
      </c>
      <c r="Q23" s="154">
        <f>'6TotalEnr'!Q23-'6bTotalDistanceEnr'!Q23</f>
        <v>0</v>
      </c>
      <c r="R23" s="154">
        <f>'6TotalEnr'!R23-'6bTotalDistanceEnr'!R23</f>
        <v>112</v>
      </c>
      <c r="S23" s="154">
        <f>'6TotalEnr'!S23-'6bTotalDistanceEnr'!S23</f>
        <v>24</v>
      </c>
      <c r="T23" s="154">
        <f>'6TotalEnr'!T23-'6bTotalDistanceEnr'!T23</f>
        <v>136</v>
      </c>
      <c r="U23" s="154">
        <f>'6TotalEnr'!U23-'6bTotalDistanceEnr'!U23</f>
        <v>0</v>
      </c>
      <c r="V23" s="154">
        <f>'6TotalEnr'!V23-'6bTotalDistanceEnr'!V23</f>
        <v>0</v>
      </c>
      <c r="W23" s="154">
        <f>'6TotalEnr'!W23-'6bTotalDistanceEnr'!W23</f>
        <v>0</v>
      </c>
      <c r="X23" s="154">
        <f>'6TotalEnr'!X23-'6bTotalDistanceEnr'!X23</f>
        <v>57</v>
      </c>
      <c r="Y23" s="154">
        <f>'6TotalEnr'!Y23-'6bTotalDistanceEnr'!Y23</f>
        <v>98</v>
      </c>
      <c r="Z23" s="154">
        <f>'6TotalEnr'!Z23-'6bTotalDistanceEnr'!Z23</f>
        <v>155</v>
      </c>
      <c r="AA23" s="154">
        <f>'6TotalEnr'!AA23-'6bTotalDistanceEnr'!AA23</f>
        <v>999</v>
      </c>
      <c r="AB23" s="154">
        <f>'6TotalEnr'!AB23-'6bTotalDistanceEnr'!AB23</f>
        <v>1898</v>
      </c>
      <c r="AC23" s="642">
        <f>'6TotalEnr'!AC23-'6bTotalDistanceEnr'!AC23</f>
        <v>2897</v>
      </c>
    </row>
    <row r="24" spans="1:29" s="103" customFormat="1" ht="20.25" customHeight="1">
      <c r="A24" s="100">
        <v>20</v>
      </c>
      <c r="B24" s="91" t="s">
        <v>32</v>
      </c>
      <c r="C24" s="154">
        <f>'6TotalEnr'!C24-'6bTotalDistanceEnr'!C24</f>
        <v>0</v>
      </c>
      <c r="D24" s="154">
        <f>'6TotalEnr'!D24-'6bTotalDistanceEnr'!D24</f>
        <v>0</v>
      </c>
      <c r="E24" s="154">
        <f>'6TotalEnr'!E24-'6bTotalDistanceEnr'!E24</f>
        <v>0</v>
      </c>
      <c r="F24" s="154">
        <f>'6TotalEnr'!F24-'6bTotalDistanceEnr'!F24</f>
        <v>0</v>
      </c>
      <c r="G24" s="154">
        <f>'6TotalEnr'!G24-'6bTotalDistanceEnr'!G24</f>
        <v>0</v>
      </c>
      <c r="H24" s="154">
        <f>'6TotalEnr'!H24-'6bTotalDistanceEnr'!H24</f>
        <v>0</v>
      </c>
      <c r="I24" s="154">
        <f>'6TotalEnr'!I24-'6bTotalDistanceEnr'!I24</f>
        <v>0</v>
      </c>
      <c r="J24" s="154">
        <f>'6TotalEnr'!J24-'6bTotalDistanceEnr'!J24</f>
        <v>26</v>
      </c>
      <c r="K24" s="154">
        <f t="shared" si="0"/>
        <v>26</v>
      </c>
      <c r="L24" s="154">
        <f>'6TotalEnr'!L24-'6bTotalDistanceEnr'!L24</f>
        <v>133</v>
      </c>
      <c r="M24" s="154">
        <f>'6TotalEnr'!M24-'6bTotalDistanceEnr'!M24</f>
        <v>401</v>
      </c>
      <c r="N24" s="154">
        <f>'6TotalEnr'!N24-'6bTotalDistanceEnr'!N24</f>
        <v>534</v>
      </c>
      <c r="O24" s="154">
        <f>'6TotalEnr'!O24-'6bTotalDistanceEnr'!O24</f>
        <v>0</v>
      </c>
      <c r="P24" s="154">
        <f>'6TotalEnr'!P24-'6bTotalDistanceEnr'!P24</f>
        <v>0</v>
      </c>
      <c r="Q24" s="154">
        <f>'6TotalEnr'!Q24-'6bTotalDistanceEnr'!Q24</f>
        <v>0</v>
      </c>
      <c r="R24" s="154">
        <f>'6TotalEnr'!R24-'6bTotalDistanceEnr'!R24</f>
        <v>0</v>
      </c>
      <c r="S24" s="154">
        <f>'6TotalEnr'!S24-'6bTotalDistanceEnr'!S24</f>
        <v>0</v>
      </c>
      <c r="T24" s="154">
        <f>'6TotalEnr'!T24-'6bTotalDistanceEnr'!T24</f>
        <v>0</v>
      </c>
      <c r="U24" s="154">
        <f>'6TotalEnr'!U24-'6bTotalDistanceEnr'!U24</f>
        <v>0</v>
      </c>
      <c r="V24" s="154">
        <f>'6TotalEnr'!V24-'6bTotalDistanceEnr'!V24</f>
        <v>0</v>
      </c>
      <c r="W24" s="154">
        <f>'6TotalEnr'!W24-'6bTotalDistanceEnr'!W24</f>
        <v>0</v>
      </c>
      <c r="X24" s="154">
        <f>'6TotalEnr'!X24-'6bTotalDistanceEnr'!X24</f>
        <v>0</v>
      </c>
      <c r="Y24" s="154">
        <f>'6TotalEnr'!Y24-'6bTotalDistanceEnr'!Y24</f>
        <v>0</v>
      </c>
      <c r="Z24" s="154">
        <f>'6TotalEnr'!Z24-'6bTotalDistanceEnr'!Z24</f>
        <v>0</v>
      </c>
      <c r="AA24" s="154">
        <f>'6TotalEnr'!AA24-'6bTotalDistanceEnr'!AA24</f>
        <v>133</v>
      </c>
      <c r="AB24" s="154">
        <f>'6TotalEnr'!AB24-'6bTotalDistanceEnr'!AB24</f>
        <v>427</v>
      </c>
      <c r="AC24" s="642">
        <f>'6TotalEnr'!AC24-'6bTotalDistanceEnr'!AC24</f>
        <v>560</v>
      </c>
    </row>
    <row r="25" spans="1:29" s="103" customFormat="1" ht="20.25" customHeight="1">
      <c r="A25" s="100">
        <v>21</v>
      </c>
      <c r="B25" s="91" t="s">
        <v>33</v>
      </c>
      <c r="C25" s="154">
        <f>'6TotalEnr'!C25-'6bTotalDistanceEnr'!C25</f>
        <v>3006</v>
      </c>
      <c r="D25" s="154">
        <f>'6TotalEnr'!D25-'6bTotalDistanceEnr'!D25</f>
        <v>2441</v>
      </c>
      <c r="E25" s="154">
        <f>'6TotalEnr'!E25-'6bTotalDistanceEnr'!E25</f>
        <v>5447</v>
      </c>
      <c r="F25" s="154">
        <f>'6TotalEnr'!F25-'6bTotalDistanceEnr'!F25</f>
        <v>427</v>
      </c>
      <c r="G25" s="154">
        <f>'6TotalEnr'!G25-'6bTotalDistanceEnr'!G25</f>
        <v>449</v>
      </c>
      <c r="H25" s="154">
        <f>'6TotalEnr'!H25-'6bTotalDistanceEnr'!H25</f>
        <v>876</v>
      </c>
      <c r="I25" s="154">
        <f>'6TotalEnr'!I25-'6bTotalDistanceEnr'!I25</f>
        <v>116350</v>
      </c>
      <c r="J25" s="154">
        <f>'6TotalEnr'!J25-'6bTotalDistanceEnr'!J25</f>
        <v>150926</v>
      </c>
      <c r="K25" s="154">
        <f t="shared" si="0"/>
        <v>267276</v>
      </c>
      <c r="L25" s="154">
        <f>'6TotalEnr'!L25-'6bTotalDistanceEnr'!L25</f>
        <v>825452</v>
      </c>
      <c r="M25" s="154">
        <f>'6TotalEnr'!M25-'6bTotalDistanceEnr'!M25</f>
        <v>753608</v>
      </c>
      <c r="N25" s="154">
        <f>'6TotalEnr'!N25-'6bTotalDistanceEnr'!N25</f>
        <v>1579060</v>
      </c>
      <c r="O25" s="154">
        <f>'6TotalEnr'!O25-'6bTotalDistanceEnr'!O25</f>
        <v>16921</v>
      </c>
      <c r="P25" s="154">
        <f>'6TotalEnr'!P25-'6bTotalDistanceEnr'!P25</f>
        <v>19014</v>
      </c>
      <c r="Q25" s="154">
        <f>'6TotalEnr'!Q25-'6bTotalDistanceEnr'!Q25</f>
        <v>35935</v>
      </c>
      <c r="R25" s="154">
        <f>'6TotalEnr'!R25-'6bTotalDistanceEnr'!R25</f>
        <v>74612</v>
      </c>
      <c r="S25" s="154">
        <f>'6TotalEnr'!S25-'6bTotalDistanceEnr'!S25</f>
        <v>42157</v>
      </c>
      <c r="T25" s="154">
        <f>'6TotalEnr'!T25-'6bTotalDistanceEnr'!T25</f>
        <v>116769</v>
      </c>
      <c r="U25" s="154">
        <f>'6TotalEnr'!U25-'6bTotalDistanceEnr'!U25</f>
        <v>845</v>
      </c>
      <c r="V25" s="154">
        <f>'6TotalEnr'!V25-'6bTotalDistanceEnr'!V25</f>
        <v>837</v>
      </c>
      <c r="W25" s="154">
        <f>'6TotalEnr'!W25-'6bTotalDistanceEnr'!W25</f>
        <v>1682</v>
      </c>
      <c r="X25" s="154">
        <f>'6TotalEnr'!X25-'6bTotalDistanceEnr'!X25</f>
        <v>10498</v>
      </c>
      <c r="Y25" s="154">
        <f>'6TotalEnr'!Y25-'6bTotalDistanceEnr'!Y25</f>
        <v>8326</v>
      </c>
      <c r="Z25" s="154">
        <f>'6TotalEnr'!Z25-'6bTotalDistanceEnr'!Z25</f>
        <v>18824</v>
      </c>
      <c r="AA25" s="154">
        <f>'6TotalEnr'!AA25-'6bTotalDistanceEnr'!AA25</f>
        <v>1048111</v>
      </c>
      <c r="AB25" s="154">
        <f>'6TotalEnr'!AB25-'6bTotalDistanceEnr'!AB25</f>
        <v>977758</v>
      </c>
      <c r="AC25" s="642">
        <f>'6TotalEnr'!AC25-'6bTotalDistanceEnr'!AC25</f>
        <v>2025869</v>
      </c>
    </row>
    <row r="26" spans="1:29" s="103" customFormat="1" ht="20.25" customHeight="1">
      <c r="A26" s="100">
        <v>22</v>
      </c>
      <c r="B26" s="91" t="s">
        <v>34</v>
      </c>
      <c r="C26" s="154">
        <f>'6TotalEnr'!C26-'6bTotalDistanceEnr'!C26</f>
        <v>7122</v>
      </c>
      <c r="D26" s="154">
        <f>'6TotalEnr'!D26-'6bTotalDistanceEnr'!D26</f>
        <v>4861</v>
      </c>
      <c r="E26" s="154">
        <f>'6TotalEnr'!E26-'6bTotalDistanceEnr'!E26</f>
        <v>11983</v>
      </c>
      <c r="F26" s="154">
        <f>'6TotalEnr'!F26-'6bTotalDistanceEnr'!F26</f>
        <v>760</v>
      </c>
      <c r="G26" s="154">
        <f>'6TotalEnr'!G26-'6bTotalDistanceEnr'!G26</f>
        <v>716</v>
      </c>
      <c r="H26" s="154">
        <f>'6TotalEnr'!H26-'6bTotalDistanceEnr'!H26</f>
        <v>1476</v>
      </c>
      <c r="I26" s="154">
        <f>'6TotalEnr'!I26-'6bTotalDistanceEnr'!I26</f>
        <v>184339</v>
      </c>
      <c r="J26" s="154">
        <f>'6TotalEnr'!J26-'6bTotalDistanceEnr'!J26</f>
        <v>215963</v>
      </c>
      <c r="K26" s="154">
        <f t="shared" si="0"/>
        <v>400302</v>
      </c>
      <c r="L26" s="154">
        <f>'6TotalEnr'!L26-'6bTotalDistanceEnr'!L26</f>
        <v>1504364</v>
      </c>
      <c r="M26" s="154">
        <f>'6TotalEnr'!M26-'6bTotalDistanceEnr'!M26</f>
        <v>1341482</v>
      </c>
      <c r="N26" s="154">
        <f>'6TotalEnr'!N26-'6bTotalDistanceEnr'!N26</f>
        <v>2845846</v>
      </c>
      <c r="O26" s="154">
        <f>'6TotalEnr'!O26-'6bTotalDistanceEnr'!O26</f>
        <v>9129</v>
      </c>
      <c r="P26" s="154">
        <f>'6TotalEnr'!P26-'6bTotalDistanceEnr'!P26</f>
        <v>7369</v>
      </c>
      <c r="Q26" s="154">
        <f>'6TotalEnr'!Q26-'6bTotalDistanceEnr'!Q26</f>
        <v>16498</v>
      </c>
      <c r="R26" s="154">
        <f>'6TotalEnr'!R26-'6bTotalDistanceEnr'!R26</f>
        <v>165508</v>
      </c>
      <c r="S26" s="154">
        <f>'6TotalEnr'!S26-'6bTotalDistanceEnr'!S26</f>
        <v>129520</v>
      </c>
      <c r="T26" s="154">
        <f>'6TotalEnr'!T26-'6bTotalDistanceEnr'!T26</f>
        <v>295028</v>
      </c>
      <c r="U26" s="154">
        <f>'6TotalEnr'!U26-'6bTotalDistanceEnr'!U26</f>
        <v>6100</v>
      </c>
      <c r="V26" s="154">
        <f>'6TotalEnr'!V26-'6bTotalDistanceEnr'!V26</f>
        <v>6516</v>
      </c>
      <c r="W26" s="154">
        <f>'6TotalEnr'!W26-'6bTotalDistanceEnr'!W26</f>
        <v>12616</v>
      </c>
      <c r="X26" s="154">
        <f>'6TotalEnr'!X26-'6bTotalDistanceEnr'!X26</f>
        <v>8085</v>
      </c>
      <c r="Y26" s="154">
        <f>'6TotalEnr'!Y26-'6bTotalDistanceEnr'!Y26</f>
        <v>7837</v>
      </c>
      <c r="Z26" s="154">
        <f>'6TotalEnr'!Z26-'6bTotalDistanceEnr'!Z26</f>
        <v>15922</v>
      </c>
      <c r="AA26" s="154">
        <f>'6TotalEnr'!AA26-'6bTotalDistanceEnr'!AA26</f>
        <v>1885407</v>
      </c>
      <c r="AB26" s="154">
        <f>'6TotalEnr'!AB26-'6bTotalDistanceEnr'!AB26</f>
        <v>1714264</v>
      </c>
      <c r="AC26" s="642">
        <f>'6TotalEnr'!AC26-'6bTotalDistanceEnr'!AC26</f>
        <v>3599671</v>
      </c>
    </row>
    <row r="27" spans="1:29" s="103" customFormat="1" ht="20.25" customHeight="1">
      <c r="A27" s="100">
        <v>23</v>
      </c>
      <c r="B27" s="91" t="s">
        <v>35</v>
      </c>
      <c r="C27" s="154">
        <f>'6TotalEnr'!C27-'6bTotalDistanceEnr'!C27</f>
        <v>538</v>
      </c>
      <c r="D27" s="154">
        <f>'6TotalEnr'!D27-'6bTotalDistanceEnr'!D27</f>
        <v>507</v>
      </c>
      <c r="E27" s="154">
        <f>'6TotalEnr'!E27-'6bTotalDistanceEnr'!E27</f>
        <v>1045</v>
      </c>
      <c r="F27" s="154">
        <f>'6TotalEnr'!F27-'6bTotalDistanceEnr'!F27</f>
        <v>2</v>
      </c>
      <c r="G27" s="154">
        <f>'6TotalEnr'!G27-'6bTotalDistanceEnr'!G27</f>
        <v>10</v>
      </c>
      <c r="H27" s="154">
        <f>'6TotalEnr'!H27-'6bTotalDistanceEnr'!H27</f>
        <v>12</v>
      </c>
      <c r="I27" s="154">
        <f>'6TotalEnr'!I27-'6bTotalDistanceEnr'!I27</f>
        <v>2744</v>
      </c>
      <c r="J27" s="154">
        <f>'6TotalEnr'!J27-'6bTotalDistanceEnr'!J27</f>
        <v>3274</v>
      </c>
      <c r="K27" s="154">
        <f t="shared" si="0"/>
        <v>6018</v>
      </c>
      <c r="L27" s="154">
        <f>'6TotalEnr'!L27-'6bTotalDistanceEnr'!L27</f>
        <v>52759</v>
      </c>
      <c r="M27" s="154">
        <f>'6TotalEnr'!M27-'6bTotalDistanceEnr'!M27</f>
        <v>54453</v>
      </c>
      <c r="N27" s="154">
        <f>'6TotalEnr'!N27-'6bTotalDistanceEnr'!N27</f>
        <v>107212</v>
      </c>
      <c r="O27" s="154">
        <f>'6TotalEnr'!O27-'6bTotalDistanceEnr'!O27</f>
        <v>144</v>
      </c>
      <c r="P27" s="154">
        <f>'6TotalEnr'!P27-'6bTotalDistanceEnr'!P27</f>
        <v>79</v>
      </c>
      <c r="Q27" s="154">
        <f>'6TotalEnr'!Q27-'6bTotalDistanceEnr'!Q27</f>
        <v>223</v>
      </c>
      <c r="R27" s="154">
        <f>'6TotalEnr'!R27-'6bTotalDistanceEnr'!R27</f>
        <v>1376</v>
      </c>
      <c r="S27" s="154">
        <f>'6TotalEnr'!S27-'6bTotalDistanceEnr'!S27</f>
        <v>2561</v>
      </c>
      <c r="T27" s="154">
        <f>'6TotalEnr'!T27-'6bTotalDistanceEnr'!T27</f>
        <v>3937</v>
      </c>
      <c r="U27" s="154">
        <f>'6TotalEnr'!U27-'6bTotalDistanceEnr'!U27</f>
        <v>55</v>
      </c>
      <c r="V27" s="154">
        <f>'6TotalEnr'!V27-'6bTotalDistanceEnr'!V27</f>
        <v>90</v>
      </c>
      <c r="W27" s="154">
        <f>'6TotalEnr'!W27-'6bTotalDistanceEnr'!W27</f>
        <v>145</v>
      </c>
      <c r="X27" s="154">
        <f>'6TotalEnr'!X27-'6bTotalDistanceEnr'!X27</f>
        <v>0</v>
      </c>
      <c r="Y27" s="154">
        <f>'6TotalEnr'!Y27-'6bTotalDistanceEnr'!Y27</f>
        <v>0</v>
      </c>
      <c r="Z27" s="154">
        <f>'6TotalEnr'!Z27-'6bTotalDistanceEnr'!Z27</f>
        <v>0</v>
      </c>
      <c r="AA27" s="154">
        <f>'6TotalEnr'!AA27-'6bTotalDistanceEnr'!AA27</f>
        <v>57618</v>
      </c>
      <c r="AB27" s="154">
        <f>'6TotalEnr'!AB27-'6bTotalDistanceEnr'!AB27</f>
        <v>60974</v>
      </c>
      <c r="AC27" s="642">
        <f>'6TotalEnr'!AC27-'6bTotalDistanceEnr'!AC27</f>
        <v>118592</v>
      </c>
    </row>
    <row r="28" spans="1:29" s="103" customFormat="1" ht="20.25" customHeight="1">
      <c r="A28" s="100">
        <v>24</v>
      </c>
      <c r="B28" s="91" t="s">
        <v>36</v>
      </c>
      <c r="C28" s="154">
        <f>'6TotalEnr'!C28-'6bTotalDistanceEnr'!C28</f>
        <v>492</v>
      </c>
      <c r="D28" s="154">
        <f>'6TotalEnr'!D28-'6bTotalDistanceEnr'!D28</f>
        <v>378</v>
      </c>
      <c r="E28" s="154">
        <f>'6TotalEnr'!E28-'6bTotalDistanceEnr'!E28</f>
        <v>870</v>
      </c>
      <c r="F28" s="154">
        <f>'6TotalEnr'!F28-'6bTotalDistanceEnr'!F28</f>
        <v>10</v>
      </c>
      <c r="G28" s="154">
        <f>'6TotalEnr'!G28-'6bTotalDistanceEnr'!G28</f>
        <v>23</v>
      </c>
      <c r="H28" s="154">
        <f>'6TotalEnr'!H28-'6bTotalDistanceEnr'!H28</f>
        <v>33</v>
      </c>
      <c r="I28" s="154">
        <f>'6TotalEnr'!I28-'6bTotalDistanceEnr'!I28</f>
        <v>2979</v>
      </c>
      <c r="J28" s="154">
        <f>'6TotalEnr'!J28-'6bTotalDistanceEnr'!J28</f>
        <v>4304</v>
      </c>
      <c r="K28" s="154">
        <f t="shared" si="0"/>
        <v>7283</v>
      </c>
      <c r="L28" s="154">
        <f>'6TotalEnr'!L28-'6bTotalDistanceEnr'!L28</f>
        <v>32135</v>
      </c>
      <c r="M28" s="154">
        <f>'6TotalEnr'!M28-'6bTotalDistanceEnr'!M28</f>
        <v>37234</v>
      </c>
      <c r="N28" s="154">
        <f>'6TotalEnr'!N28-'6bTotalDistanceEnr'!N28</f>
        <v>69369</v>
      </c>
      <c r="O28" s="154">
        <f>'6TotalEnr'!O28-'6bTotalDistanceEnr'!O28</f>
        <v>32</v>
      </c>
      <c r="P28" s="154">
        <f>'6TotalEnr'!P28-'6bTotalDistanceEnr'!P28</f>
        <v>37</v>
      </c>
      <c r="Q28" s="154">
        <f>'6TotalEnr'!Q28-'6bTotalDistanceEnr'!Q28</f>
        <v>69</v>
      </c>
      <c r="R28" s="154">
        <f>'6TotalEnr'!R28-'6bTotalDistanceEnr'!R28</f>
        <v>1076</v>
      </c>
      <c r="S28" s="154">
        <f>'6TotalEnr'!S28-'6bTotalDistanceEnr'!S28</f>
        <v>1637</v>
      </c>
      <c r="T28" s="154">
        <f>'6TotalEnr'!T28-'6bTotalDistanceEnr'!T28</f>
        <v>2713</v>
      </c>
      <c r="U28" s="154">
        <f>'6TotalEnr'!U28-'6bTotalDistanceEnr'!U28</f>
        <v>47</v>
      </c>
      <c r="V28" s="154">
        <f>'6TotalEnr'!V28-'6bTotalDistanceEnr'!V28</f>
        <v>47</v>
      </c>
      <c r="W28" s="154">
        <f>'6TotalEnr'!W28-'6bTotalDistanceEnr'!W28</f>
        <v>94</v>
      </c>
      <c r="X28" s="154">
        <f>'6TotalEnr'!X28-'6bTotalDistanceEnr'!X28</f>
        <v>70</v>
      </c>
      <c r="Y28" s="154">
        <f>'6TotalEnr'!Y28-'6bTotalDistanceEnr'!Y28</f>
        <v>52</v>
      </c>
      <c r="Z28" s="154">
        <f>'6TotalEnr'!Z28-'6bTotalDistanceEnr'!Z28</f>
        <v>122</v>
      </c>
      <c r="AA28" s="154">
        <f>'6TotalEnr'!AA28-'6bTotalDistanceEnr'!AA28</f>
        <v>36841</v>
      </c>
      <c r="AB28" s="154">
        <f>'6TotalEnr'!AB28-'6bTotalDistanceEnr'!AB28</f>
        <v>43712</v>
      </c>
      <c r="AC28" s="642">
        <f>'6TotalEnr'!AC28-'6bTotalDistanceEnr'!AC28</f>
        <v>80553</v>
      </c>
    </row>
    <row r="29" spans="1:29" s="103" customFormat="1" ht="20.25" customHeight="1">
      <c r="A29" s="100">
        <v>25</v>
      </c>
      <c r="B29" s="91" t="s">
        <v>37</v>
      </c>
      <c r="C29" s="154">
        <f>'6TotalEnr'!C29-'6bTotalDistanceEnr'!C29</f>
        <v>479</v>
      </c>
      <c r="D29" s="154">
        <f>'6TotalEnr'!D29-'6bTotalDistanceEnr'!D29</f>
        <v>388</v>
      </c>
      <c r="E29" s="154">
        <f>'6TotalEnr'!E29-'6bTotalDistanceEnr'!E29</f>
        <v>867</v>
      </c>
      <c r="F29" s="154">
        <f>'6TotalEnr'!F29-'6bTotalDistanceEnr'!F29</f>
        <v>75</v>
      </c>
      <c r="G29" s="154">
        <f>'6TotalEnr'!G29-'6bTotalDistanceEnr'!G29</f>
        <v>77</v>
      </c>
      <c r="H29" s="154">
        <f>'6TotalEnr'!H29-'6bTotalDistanceEnr'!H29</f>
        <v>152</v>
      </c>
      <c r="I29" s="154">
        <f>'6TotalEnr'!I29-'6bTotalDistanceEnr'!I29</f>
        <v>1143</v>
      </c>
      <c r="J29" s="154">
        <f>'6TotalEnr'!J29-'6bTotalDistanceEnr'!J29</f>
        <v>1173</v>
      </c>
      <c r="K29" s="154">
        <f t="shared" si="0"/>
        <v>2316</v>
      </c>
      <c r="L29" s="154">
        <f>'6TotalEnr'!L29-'6bTotalDistanceEnr'!L29</f>
        <v>10938</v>
      </c>
      <c r="M29" s="154">
        <f>'6TotalEnr'!M29-'6bTotalDistanceEnr'!M29</f>
        <v>9351</v>
      </c>
      <c r="N29" s="154">
        <f>'6TotalEnr'!N29-'6bTotalDistanceEnr'!N29</f>
        <v>20289</v>
      </c>
      <c r="O29" s="154">
        <f>'6TotalEnr'!O29-'6bTotalDistanceEnr'!O29</f>
        <v>0</v>
      </c>
      <c r="P29" s="154">
        <f>'6TotalEnr'!P29-'6bTotalDistanceEnr'!P29</f>
        <v>0</v>
      </c>
      <c r="Q29" s="154">
        <f>'6TotalEnr'!Q29-'6bTotalDistanceEnr'!Q29</f>
        <v>0</v>
      </c>
      <c r="R29" s="154">
        <f>'6TotalEnr'!R29-'6bTotalDistanceEnr'!R29</f>
        <v>649</v>
      </c>
      <c r="S29" s="154">
        <f>'6TotalEnr'!S29-'6bTotalDistanceEnr'!S29</f>
        <v>1213</v>
      </c>
      <c r="T29" s="154">
        <f>'6TotalEnr'!T29-'6bTotalDistanceEnr'!T29</f>
        <v>1862</v>
      </c>
      <c r="U29" s="154">
        <f>'6TotalEnr'!U29-'6bTotalDistanceEnr'!U29</f>
        <v>304</v>
      </c>
      <c r="V29" s="154">
        <f>'6TotalEnr'!V29-'6bTotalDistanceEnr'!V29</f>
        <v>159</v>
      </c>
      <c r="W29" s="154">
        <f>'6TotalEnr'!W29-'6bTotalDistanceEnr'!W29</f>
        <v>463</v>
      </c>
      <c r="X29" s="154">
        <f>'6TotalEnr'!X29-'6bTotalDistanceEnr'!X29</f>
        <v>47</v>
      </c>
      <c r="Y29" s="154">
        <f>'6TotalEnr'!Y29-'6bTotalDistanceEnr'!Y29</f>
        <v>26</v>
      </c>
      <c r="Z29" s="154">
        <f>'6TotalEnr'!Z29-'6bTotalDistanceEnr'!Z29</f>
        <v>73</v>
      </c>
      <c r="AA29" s="154">
        <f>'6TotalEnr'!AA29-'6bTotalDistanceEnr'!AA29</f>
        <v>13635</v>
      </c>
      <c r="AB29" s="154">
        <f>'6TotalEnr'!AB29-'6bTotalDistanceEnr'!AB29</f>
        <v>12387</v>
      </c>
      <c r="AC29" s="642">
        <f>'6TotalEnr'!AC29-'6bTotalDistanceEnr'!AC29</f>
        <v>26022</v>
      </c>
    </row>
    <row r="30" spans="1:29" s="103" customFormat="1" ht="20.25" customHeight="1">
      <c r="A30" s="100">
        <v>26</v>
      </c>
      <c r="B30" s="91" t="s">
        <v>38</v>
      </c>
      <c r="C30" s="154">
        <f>'6TotalEnr'!C30-'6bTotalDistanceEnr'!C30</f>
        <v>270</v>
      </c>
      <c r="D30" s="154">
        <f>'6TotalEnr'!D30-'6bTotalDistanceEnr'!D30</f>
        <v>307</v>
      </c>
      <c r="E30" s="154">
        <f>'6TotalEnr'!E30-'6bTotalDistanceEnr'!E30</f>
        <v>577</v>
      </c>
      <c r="F30" s="154">
        <f>'6TotalEnr'!F30-'6bTotalDistanceEnr'!F30</f>
        <v>10</v>
      </c>
      <c r="G30" s="154">
        <f>'6TotalEnr'!G30-'6bTotalDistanceEnr'!G30</f>
        <v>28</v>
      </c>
      <c r="H30" s="154">
        <f>'6TotalEnr'!H30-'6bTotalDistanceEnr'!H30</f>
        <v>38</v>
      </c>
      <c r="I30" s="154">
        <f>'6TotalEnr'!I30-'6bTotalDistanceEnr'!I30</f>
        <v>1346</v>
      </c>
      <c r="J30" s="154">
        <f>'6TotalEnr'!J30-'6bTotalDistanceEnr'!J30</f>
        <v>2205</v>
      </c>
      <c r="K30" s="154">
        <f t="shared" si="0"/>
        <v>3551</v>
      </c>
      <c r="L30" s="154">
        <f>'6TotalEnr'!L30-'6bTotalDistanceEnr'!L30</f>
        <v>16442</v>
      </c>
      <c r="M30" s="154">
        <f>'6TotalEnr'!M30-'6bTotalDistanceEnr'!M30</f>
        <v>18743</v>
      </c>
      <c r="N30" s="154">
        <f>'6TotalEnr'!N30-'6bTotalDistanceEnr'!N30</f>
        <v>35185</v>
      </c>
      <c r="O30" s="154">
        <f>'6TotalEnr'!O30-'6bTotalDistanceEnr'!O30</f>
        <v>23</v>
      </c>
      <c r="P30" s="154">
        <f>'6TotalEnr'!P30-'6bTotalDistanceEnr'!P30</f>
        <v>95</v>
      </c>
      <c r="Q30" s="154">
        <f>'6TotalEnr'!Q30-'6bTotalDistanceEnr'!Q30</f>
        <v>118</v>
      </c>
      <c r="R30" s="154">
        <f>'6TotalEnr'!R30-'6bTotalDistanceEnr'!R30</f>
        <v>827</v>
      </c>
      <c r="S30" s="154">
        <f>'6TotalEnr'!S30-'6bTotalDistanceEnr'!S30</f>
        <v>963</v>
      </c>
      <c r="T30" s="154">
        <f>'6TotalEnr'!T30-'6bTotalDistanceEnr'!T30</f>
        <v>1790</v>
      </c>
      <c r="U30" s="154">
        <f>'6TotalEnr'!U30-'6bTotalDistanceEnr'!U30</f>
        <v>17</v>
      </c>
      <c r="V30" s="154">
        <f>'6TotalEnr'!V30-'6bTotalDistanceEnr'!V30</f>
        <v>21</v>
      </c>
      <c r="W30" s="154">
        <f>'6TotalEnr'!W30-'6bTotalDistanceEnr'!W30</f>
        <v>38</v>
      </c>
      <c r="X30" s="154">
        <f>'6TotalEnr'!X30-'6bTotalDistanceEnr'!X30</f>
        <v>6</v>
      </c>
      <c r="Y30" s="154">
        <f>'6TotalEnr'!Y30-'6bTotalDistanceEnr'!Y30</f>
        <v>0</v>
      </c>
      <c r="Z30" s="154">
        <f>'6TotalEnr'!Z30-'6bTotalDistanceEnr'!Z30</f>
        <v>6</v>
      </c>
      <c r="AA30" s="154">
        <f>'6TotalEnr'!AA30-'6bTotalDistanceEnr'!AA30</f>
        <v>18941</v>
      </c>
      <c r="AB30" s="154">
        <f>'6TotalEnr'!AB30-'6bTotalDistanceEnr'!AB30</f>
        <v>22362</v>
      </c>
      <c r="AC30" s="642">
        <f>'6TotalEnr'!AC30-'6bTotalDistanceEnr'!AC30</f>
        <v>41303</v>
      </c>
    </row>
    <row r="31" spans="1:29" s="103" customFormat="1" ht="20.25" customHeight="1">
      <c r="A31" s="100">
        <v>27</v>
      </c>
      <c r="B31" s="91" t="s">
        <v>39</v>
      </c>
      <c r="C31" s="154">
        <f>'6TotalEnr'!C31-'6bTotalDistanceEnr'!C31</f>
        <v>1923</v>
      </c>
      <c r="D31" s="154">
        <f>'6TotalEnr'!D31-'6bTotalDistanceEnr'!D31</f>
        <v>1423</v>
      </c>
      <c r="E31" s="154">
        <f>'6TotalEnr'!E31-'6bTotalDistanceEnr'!E31</f>
        <v>3346</v>
      </c>
      <c r="F31" s="154">
        <f>'6TotalEnr'!F31-'6bTotalDistanceEnr'!F31</f>
        <v>419</v>
      </c>
      <c r="G31" s="154">
        <f>'6TotalEnr'!G31-'6bTotalDistanceEnr'!G31</f>
        <v>584</v>
      </c>
      <c r="H31" s="154">
        <f>'6TotalEnr'!H31-'6bTotalDistanceEnr'!H31</f>
        <v>1003</v>
      </c>
      <c r="I31" s="154">
        <f>'6TotalEnr'!I31-'6bTotalDistanceEnr'!I31</f>
        <v>35798</v>
      </c>
      <c r="J31" s="154">
        <f>'6TotalEnr'!J31-'6bTotalDistanceEnr'!J31</f>
        <v>34649</v>
      </c>
      <c r="K31" s="154">
        <f t="shared" si="0"/>
        <v>70447</v>
      </c>
      <c r="L31" s="154">
        <f>'6TotalEnr'!L31-'6bTotalDistanceEnr'!L31</f>
        <v>363971</v>
      </c>
      <c r="M31" s="154">
        <f>'6TotalEnr'!M31-'6bTotalDistanceEnr'!M31</f>
        <v>353662</v>
      </c>
      <c r="N31" s="154">
        <f>'6TotalEnr'!N31-'6bTotalDistanceEnr'!N31</f>
        <v>717633</v>
      </c>
      <c r="O31" s="154">
        <f>'6TotalEnr'!O31-'6bTotalDistanceEnr'!O31</f>
        <v>649</v>
      </c>
      <c r="P31" s="154">
        <f>'6TotalEnr'!P31-'6bTotalDistanceEnr'!P31</f>
        <v>435</v>
      </c>
      <c r="Q31" s="154">
        <f>'6TotalEnr'!Q31-'6bTotalDistanceEnr'!Q31</f>
        <v>1084</v>
      </c>
      <c r="R31" s="154">
        <f>'6TotalEnr'!R31-'6bTotalDistanceEnr'!R31</f>
        <v>88758</v>
      </c>
      <c r="S31" s="154">
        <f>'6TotalEnr'!S31-'6bTotalDistanceEnr'!S31</f>
        <v>34198</v>
      </c>
      <c r="T31" s="154">
        <f>'6TotalEnr'!T31-'6bTotalDistanceEnr'!T31</f>
        <v>122956</v>
      </c>
      <c r="U31" s="154">
        <f>'6TotalEnr'!U31-'6bTotalDistanceEnr'!U31</f>
        <v>3383</v>
      </c>
      <c r="V31" s="154">
        <f>'6TotalEnr'!V31-'6bTotalDistanceEnr'!V31</f>
        <v>5735</v>
      </c>
      <c r="W31" s="154">
        <f>'6TotalEnr'!W31-'6bTotalDistanceEnr'!W31</f>
        <v>9118</v>
      </c>
      <c r="X31" s="154">
        <f>'6TotalEnr'!X31-'6bTotalDistanceEnr'!X31</f>
        <v>4452</v>
      </c>
      <c r="Y31" s="154">
        <f>'6TotalEnr'!Y31-'6bTotalDistanceEnr'!Y31</f>
        <v>4458</v>
      </c>
      <c r="Z31" s="154">
        <f>'6TotalEnr'!Z31-'6bTotalDistanceEnr'!Z31</f>
        <v>8910</v>
      </c>
      <c r="AA31" s="154">
        <f>'6TotalEnr'!AA31-'6bTotalDistanceEnr'!AA31</f>
        <v>499353</v>
      </c>
      <c r="AB31" s="154">
        <f>'6TotalEnr'!AB31-'6bTotalDistanceEnr'!AB31</f>
        <v>435144</v>
      </c>
      <c r="AC31" s="642">
        <f>'6TotalEnr'!AC31-'6bTotalDistanceEnr'!AC31</f>
        <v>934497</v>
      </c>
    </row>
    <row r="32" spans="1:29" s="103" customFormat="1" ht="20.25" customHeight="1">
      <c r="A32" s="100">
        <v>28</v>
      </c>
      <c r="B32" s="91" t="s">
        <v>40</v>
      </c>
      <c r="C32" s="154">
        <f>'6TotalEnr'!C32-'6bTotalDistanceEnr'!C32</f>
        <v>291</v>
      </c>
      <c r="D32" s="154">
        <f>'6TotalEnr'!D32-'6bTotalDistanceEnr'!D32</f>
        <v>217</v>
      </c>
      <c r="E32" s="154">
        <f>'6TotalEnr'!E32-'6bTotalDistanceEnr'!E32</f>
        <v>508</v>
      </c>
      <c r="F32" s="154">
        <f>'6TotalEnr'!F32-'6bTotalDistanceEnr'!F32</f>
        <v>21</v>
      </c>
      <c r="G32" s="154">
        <f>'6TotalEnr'!G32-'6bTotalDistanceEnr'!G32</f>
        <v>46</v>
      </c>
      <c r="H32" s="154">
        <f>'6TotalEnr'!H32-'6bTotalDistanceEnr'!H32</f>
        <v>67</v>
      </c>
      <c r="I32" s="154">
        <f>'6TotalEnr'!I32-'6bTotalDistanceEnr'!I32</f>
        <v>4134</v>
      </c>
      <c r="J32" s="154">
        <f>'6TotalEnr'!J32-'6bTotalDistanceEnr'!J32</f>
        <v>5473</v>
      </c>
      <c r="K32" s="154">
        <f t="shared" si="0"/>
        <v>9607</v>
      </c>
      <c r="L32" s="154">
        <f>'6TotalEnr'!L32-'6bTotalDistanceEnr'!L32</f>
        <v>22863</v>
      </c>
      <c r="M32" s="154">
        <f>'6TotalEnr'!M32-'6bTotalDistanceEnr'!M32</f>
        <v>28309</v>
      </c>
      <c r="N32" s="154">
        <f>'6TotalEnr'!N32-'6bTotalDistanceEnr'!N32</f>
        <v>51172</v>
      </c>
      <c r="O32" s="154">
        <f>'6TotalEnr'!O32-'6bTotalDistanceEnr'!O32</f>
        <v>52</v>
      </c>
      <c r="P32" s="154">
        <f>'6TotalEnr'!P32-'6bTotalDistanceEnr'!P32</f>
        <v>54</v>
      </c>
      <c r="Q32" s="154">
        <f>'6TotalEnr'!Q32-'6bTotalDistanceEnr'!Q32</f>
        <v>106</v>
      </c>
      <c r="R32" s="154">
        <f>'6TotalEnr'!R32-'6bTotalDistanceEnr'!R32</f>
        <v>2866</v>
      </c>
      <c r="S32" s="154">
        <f>'6TotalEnr'!S32-'6bTotalDistanceEnr'!S32</f>
        <v>1122</v>
      </c>
      <c r="T32" s="154">
        <f>'6TotalEnr'!T32-'6bTotalDistanceEnr'!T32</f>
        <v>3988</v>
      </c>
      <c r="U32" s="154">
        <f>'6TotalEnr'!U32-'6bTotalDistanceEnr'!U32</f>
        <v>0</v>
      </c>
      <c r="V32" s="154">
        <f>'6TotalEnr'!V32-'6bTotalDistanceEnr'!V32</f>
        <v>0</v>
      </c>
      <c r="W32" s="154">
        <f>'6TotalEnr'!W32-'6bTotalDistanceEnr'!W32</f>
        <v>0</v>
      </c>
      <c r="X32" s="154">
        <f>'6TotalEnr'!X32-'6bTotalDistanceEnr'!X32</f>
        <v>532</v>
      </c>
      <c r="Y32" s="154">
        <f>'6TotalEnr'!Y32-'6bTotalDistanceEnr'!Y32</f>
        <v>492</v>
      </c>
      <c r="Z32" s="154">
        <f>'6TotalEnr'!Z32-'6bTotalDistanceEnr'!Z32</f>
        <v>1024</v>
      </c>
      <c r="AA32" s="154">
        <f>'6TotalEnr'!AA32-'6bTotalDistanceEnr'!AA32</f>
        <v>30759</v>
      </c>
      <c r="AB32" s="154">
        <f>'6TotalEnr'!AB32-'6bTotalDistanceEnr'!AB32</f>
        <v>35713</v>
      </c>
      <c r="AC32" s="642">
        <f>'6TotalEnr'!AC32-'6bTotalDistanceEnr'!AC32</f>
        <v>66472</v>
      </c>
    </row>
    <row r="33" spans="1:29" s="103" customFormat="1" ht="20.25" customHeight="1">
      <c r="A33" s="100">
        <v>29</v>
      </c>
      <c r="B33" s="91" t="s">
        <v>41</v>
      </c>
      <c r="C33" s="154">
        <f>'6TotalEnr'!C33-'6bTotalDistanceEnr'!C33</f>
        <v>4111</v>
      </c>
      <c r="D33" s="154">
        <f>'6TotalEnr'!D33-'6bTotalDistanceEnr'!D33</f>
        <v>4888</v>
      </c>
      <c r="E33" s="154">
        <f>'6TotalEnr'!E33-'6bTotalDistanceEnr'!E33</f>
        <v>8999</v>
      </c>
      <c r="F33" s="154">
        <f>'6TotalEnr'!F33-'6bTotalDistanceEnr'!F33</f>
        <v>307</v>
      </c>
      <c r="G33" s="154">
        <f>'6TotalEnr'!G33-'6bTotalDistanceEnr'!G33</f>
        <v>315</v>
      </c>
      <c r="H33" s="154">
        <f>'6TotalEnr'!H33-'6bTotalDistanceEnr'!H33</f>
        <v>622</v>
      </c>
      <c r="I33" s="154">
        <f>'6TotalEnr'!I33-'6bTotalDistanceEnr'!I33</f>
        <v>30990</v>
      </c>
      <c r="J33" s="154">
        <f>'6TotalEnr'!J33-'6bTotalDistanceEnr'!J33</f>
        <v>57741</v>
      </c>
      <c r="K33" s="154">
        <f t="shared" si="0"/>
        <v>88731</v>
      </c>
      <c r="L33" s="154">
        <f>'6TotalEnr'!L33-'6bTotalDistanceEnr'!L33</f>
        <v>289293</v>
      </c>
      <c r="M33" s="154">
        <f>'6TotalEnr'!M33-'6bTotalDistanceEnr'!M33</f>
        <v>302541</v>
      </c>
      <c r="N33" s="154">
        <f>'6TotalEnr'!N33-'6bTotalDistanceEnr'!N33</f>
        <v>591834</v>
      </c>
      <c r="O33" s="154">
        <f>'6TotalEnr'!O33-'6bTotalDistanceEnr'!O33</f>
        <v>2144</v>
      </c>
      <c r="P33" s="154">
        <f>'6TotalEnr'!P33-'6bTotalDistanceEnr'!P33</f>
        <v>3195</v>
      </c>
      <c r="Q33" s="154">
        <f>'6TotalEnr'!Q33-'6bTotalDistanceEnr'!Q33</f>
        <v>5339</v>
      </c>
      <c r="R33" s="154">
        <f>'6TotalEnr'!R33-'6bTotalDistanceEnr'!R33</f>
        <v>59507</v>
      </c>
      <c r="S33" s="154">
        <f>'6TotalEnr'!S33-'6bTotalDistanceEnr'!S33</f>
        <v>35448</v>
      </c>
      <c r="T33" s="154">
        <f>'6TotalEnr'!T33-'6bTotalDistanceEnr'!T33</f>
        <v>94955</v>
      </c>
      <c r="U33" s="154">
        <f>'6TotalEnr'!U33-'6bTotalDistanceEnr'!U33</f>
        <v>571</v>
      </c>
      <c r="V33" s="154">
        <f>'6TotalEnr'!V33-'6bTotalDistanceEnr'!V33</f>
        <v>897</v>
      </c>
      <c r="W33" s="154">
        <f>'6TotalEnr'!W33-'6bTotalDistanceEnr'!W33</f>
        <v>1468</v>
      </c>
      <c r="X33" s="154">
        <f>'6TotalEnr'!X33-'6bTotalDistanceEnr'!X33</f>
        <v>6459</v>
      </c>
      <c r="Y33" s="154">
        <f>'6TotalEnr'!Y33-'6bTotalDistanceEnr'!Y33</f>
        <v>7025</v>
      </c>
      <c r="Z33" s="154">
        <f>'6TotalEnr'!Z33-'6bTotalDistanceEnr'!Z33</f>
        <v>13484</v>
      </c>
      <c r="AA33" s="154">
        <f>'6TotalEnr'!AA33-'6bTotalDistanceEnr'!AA33</f>
        <v>393382</v>
      </c>
      <c r="AB33" s="154">
        <f>'6TotalEnr'!AB33-'6bTotalDistanceEnr'!AB33</f>
        <v>412050</v>
      </c>
      <c r="AC33" s="642">
        <f>'6TotalEnr'!AC33-'6bTotalDistanceEnr'!AC33</f>
        <v>805432</v>
      </c>
    </row>
    <row r="34" spans="1:29" s="103" customFormat="1" ht="20.25" customHeight="1">
      <c r="A34" s="100">
        <v>30</v>
      </c>
      <c r="B34" s="91" t="s">
        <v>42</v>
      </c>
      <c r="C34" s="154">
        <f>'6TotalEnr'!C34-'6bTotalDistanceEnr'!C34</f>
        <v>5478</v>
      </c>
      <c r="D34" s="154">
        <f>'6TotalEnr'!D34-'6bTotalDistanceEnr'!D34</f>
        <v>5372</v>
      </c>
      <c r="E34" s="154">
        <f>'6TotalEnr'!E34-'6bTotalDistanceEnr'!E34</f>
        <v>10850</v>
      </c>
      <c r="F34" s="154">
        <f>'6TotalEnr'!F34-'6bTotalDistanceEnr'!F34</f>
        <v>261</v>
      </c>
      <c r="G34" s="154">
        <f>'6TotalEnr'!G34-'6bTotalDistanceEnr'!G34</f>
        <v>203</v>
      </c>
      <c r="H34" s="154">
        <f>'6TotalEnr'!H34-'6bTotalDistanceEnr'!H34</f>
        <v>464</v>
      </c>
      <c r="I34" s="154">
        <f>'6TotalEnr'!I34-'6bTotalDistanceEnr'!I34</f>
        <v>79931</v>
      </c>
      <c r="J34" s="154">
        <f>'6TotalEnr'!J34-'6bTotalDistanceEnr'!J34</f>
        <v>107686</v>
      </c>
      <c r="K34" s="154">
        <f t="shared" si="0"/>
        <v>187617</v>
      </c>
      <c r="L34" s="154">
        <f>'6TotalEnr'!L34-'6bTotalDistanceEnr'!L34</f>
        <v>837759</v>
      </c>
      <c r="M34" s="154">
        <f>'6TotalEnr'!M34-'6bTotalDistanceEnr'!M34</f>
        <v>823253</v>
      </c>
      <c r="N34" s="154">
        <f>'6TotalEnr'!N34-'6bTotalDistanceEnr'!N34</f>
        <v>1661012</v>
      </c>
      <c r="O34" s="154">
        <f>'6TotalEnr'!O34-'6bTotalDistanceEnr'!O34</f>
        <v>3012</v>
      </c>
      <c r="P34" s="154">
        <f>'6TotalEnr'!P34-'6bTotalDistanceEnr'!P34</f>
        <v>2578</v>
      </c>
      <c r="Q34" s="154">
        <f>'6TotalEnr'!Q34-'6bTotalDistanceEnr'!Q34</f>
        <v>5590</v>
      </c>
      <c r="R34" s="154">
        <f>'6TotalEnr'!R34-'6bTotalDistanceEnr'!R34</f>
        <v>73593</v>
      </c>
      <c r="S34" s="154">
        <f>'6TotalEnr'!S34-'6bTotalDistanceEnr'!S34</f>
        <v>26205</v>
      </c>
      <c r="T34" s="154">
        <f>'6TotalEnr'!T34-'6bTotalDistanceEnr'!T34</f>
        <v>99798</v>
      </c>
      <c r="U34" s="154">
        <f>'6TotalEnr'!U34-'6bTotalDistanceEnr'!U34</f>
        <v>4678</v>
      </c>
      <c r="V34" s="154">
        <f>'6TotalEnr'!V34-'6bTotalDistanceEnr'!V34</f>
        <v>5390</v>
      </c>
      <c r="W34" s="154">
        <f>'6TotalEnr'!W34-'6bTotalDistanceEnr'!W34</f>
        <v>10068</v>
      </c>
      <c r="X34" s="154">
        <f>'6TotalEnr'!X34-'6bTotalDistanceEnr'!X34</f>
        <v>29964</v>
      </c>
      <c r="Y34" s="154">
        <f>'6TotalEnr'!Y34-'6bTotalDistanceEnr'!Y34</f>
        <v>24607</v>
      </c>
      <c r="Z34" s="154">
        <f>'6TotalEnr'!Z34-'6bTotalDistanceEnr'!Z34</f>
        <v>54571</v>
      </c>
      <c r="AA34" s="154">
        <f>'6TotalEnr'!AA34-'6bTotalDistanceEnr'!AA34</f>
        <v>1034676</v>
      </c>
      <c r="AB34" s="154">
        <f>'6TotalEnr'!AB34-'6bTotalDistanceEnr'!AB34</f>
        <v>995294</v>
      </c>
      <c r="AC34" s="642">
        <f>'6TotalEnr'!AC34-'6bTotalDistanceEnr'!AC34</f>
        <v>2029970</v>
      </c>
    </row>
    <row r="35" spans="1:29" s="103" customFormat="1" ht="20.25" customHeight="1">
      <c r="A35" s="100">
        <v>31</v>
      </c>
      <c r="B35" s="91" t="s">
        <v>43</v>
      </c>
      <c r="C35" s="154">
        <f>'6TotalEnr'!C35-'6bTotalDistanceEnr'!C35</f>
        <v>215</v>
      </c>
      <c r="D35" s="154">
        <f>'6TotalEnr'!D35-'6bTotalDistanceEnr'!D35</f>
        <v>195</v>
      </c>
      <c r="E35" s="154">
        <f>'6TotalEnr'!E35-'6bTotalDistanceEnr'!E35</f>
        <v>410</v>
      </c>
      <c r="F35" s="154">
        <f>'6TotalEnr'!F35-'6bTotalDistanceEnr'!F35</f>
        <v>43</v>
      </c>
      <c r="G35" s="154">
        <f>'6TotalEnr'!G35-'6bTotalDistanceEnr'!G35</f>
        <v>44</v>
      </c>
      <c r="H35" s="154">
        <f>'6TotalEnr'!H35-'6bTotalDistanceEnr'!H35</f>
        <v>87</v>
      </c>
      <c r="I35" s="154">
        <f>'6TotalEnr'!I35-'6bTotalDistanceEnr'!I35</f>
        <v>1190</v>
      </c>
      <c r="J35" s="154">
        <f>'6TotalEnr'!J35-'6bTotalDistanceEnr'!J35</f>
        <v>1540</v>
      </c>
      <c r="K35" s="154">
        <f t="shared" si="0"/>
        <v>2730</v>
      </c>
      <c r="L35" s="154">
        <f>'6TotalEnr'!L35-'6bTotalDistanceEnr'!L35</f>
        <v>8412</v>
      </c>
      <c r="M35" s="154">
        <f>'6TotalEnr'!M35-'6bTotalDistanceEnr'!M35</f>
        <v>9660</v>
      </c>
      <c r="N35" s="154">
        <f>'6TotalEnr'!N35-'6bTotalDistanceEnr'!N35</f>
        <v>18072</v>
      </c>
      <c r="O35" s="154">
        <f>'6TotalEnr'!O35-'6bTotalDistanceEnr'!O35</f>
        <v>0</v>
      </c>
      <c r="P35" s="154">
        <f>'6TotalEnr'!P35-'6bTotalDistanceEnr'!P35</f>
        <v>0</v>
      </c>
      <c r="Q35" s="154">
        <f>'6TotalEnr'!Q35-'6bTotalDistanceEnr'!Q35</f>
        <v>0</v>
      </c>
      <c r="R35" s="154">
        <f>'6TotalEnr'!R35-'6bTotalDistanceEnr'!R35</f>
        <v>1015</v>
      </c>
      <c r="S35" s="154">
        <f>'6TotalEnr'!S35-'6bTotalDistanceEnr'!S35</f>
        <v>1053</v>
      </c>
      <c r="T35" s="154">
        <f>'6TotalEnr'!T35-'6bTotalDistanceEnr'!T35</f>
        <v>2068</v>
      </c>
      <c r="U35" s="154">
        <f>'6TotalEnr'!U35-'6bTotalDistanceEnr'!U35</f>
        <v>34</v>
      </c>
      <c r="V35" s="154">
        <f>'6TotalEnr'!V35-'6bTotalDistanceEnr'!V35</f>
        <v>6</v>
      </c>
      <c r="W35" s="154">
        <f>'6TotalEnr'!W35-'6bTotalDistanceEnr'!W35</f>
        <v>40</v>
      </c>
      <c r="X35" s="154">
        <f>'6TotalEnr'!X35-'6bTotalDistanceEnr'!X35</f>
        <v>120</v>
      </c>
      <c r="Y35" s="154">
        <f>'6TotalEnr'!Y35-'6bTotalDistanceEnr'!Y35</f>
        <v>198</v>
      </c>
      <c r="Z35" s="154">
        <f>'6TotalEnr'!Z35-'6bTotalDistanceEnr'!Z35</f>
        <v>318</v>
      </c>
      <c r="AA35" s="154">
        <f>'6TotalEnr'!AA35-'6bTotalDistanceEnr'!AA35</f>
        <v>11029</v>
      </c>
      <c r="AB35" s="154">
        <f>'6TotalEnr'!AB35-'6bTotalDistanceEnr'!AB35</f>
        <v>12696</v>
      </c>
      <c r="AC35" s="642">
        <f>'6TotalEnr'!AC35-'6bTotalDistanceEnr'!AC35</f>
        <v>23725</v>
      </c>
    </row>
    <row r="36" spans="1:29" s="103" customFormat="1" ht="20.25" customHeight="1">
      <c r="A36" s="100">
        <v>32</v>
      </c>
      <c r="B36" s="91" t="s">
        <v>44</v>
      </c>
      <c r="C36" s="154">
        <f>'6TotalEnr'!C36-'6bTotalDistanceEnr'!C36</f>
        <v>15816</v>
      </c>
      <c r="D36" s="154">
        <f>'6TotalEnr'!D36-'6bTotalDistanceEnr'!D36</f>
        <v>14823</v>
      </c>
      <c r="E36" s="154">
        <f>'6TotalEnr'!E36-'6bTotalDistanceEnr'!E36</f>
        <v>30639</v>
      </c>
      <c r="F36" s="154">
        <f>'6TotalEnr'!F36-'6bTotalDistanceEnr'!F36</f>
        <v>2457</v>
      </c>
      <c r="G36" s="154">
        <f>'6TotalEnr'!G36-'6bTotalDistanceEnr'!G36</f>
        <v>7298</v>
      </c>
      <c r="H36" s="154">
        <f>'6TotalEnr'!H36-'6bTotalDistanceEnr'!H36</f>
        <v>9755</v>
      </c>
      <c r="I36" s="154">
        <f>'6TotalEnr'!I36-'6bTotalDistanceEnr'!I36</f>
        <v>101932</v>
      </c>
      <c r="J36" s="154">
        <f>'6TotalEnr'!J36-'6bTotalDistanceEnr'!J36</f>
        <v>180859</v>
      </c>
      <c r="K36" s="154">
        <f t="shared" si="0"/>
        <v>282791</v>
      </c>
      <c r="L36" s="154">
        <f>'6TotalEnr'!L36-'6bTotalDistanceEnr'!L36</f>
        <v>1094717</v>
      </c>
      <c r="M36" s="154">
        <f>'6TotalEnr'!M36-'6bTotalDistanceEnr'!M36</f>
        <v>1194788</v>
      </c>
      <c r="N36" s="154">
        <f>'6TotalEnr'!N36-'6bTotalDistanceEnr'!N36</f>
        <v>2289505</v>
      </c>
      <c r="O36" s="154">
        <f>'6TotalEnr'!O36-'6bTotalDistanceEnr'!O36</f>
        <v>1365</v>
      </c>
      <c r="P36" s="154">
        <f>'6TotalEnr'!P36-'6bTotalDistanceEnr'!P36</f>
        <v>1751</v>
      </c>
      <c r="Q36" s="154">
        <f>'6TotalEnr'!Q36-'6bTotalDistanceEnr'!Q36</f>
        <v>3116</v>
      </c>
      <c r="R36" s="154">
        <f>'6TotalEnr'!R36-'6bTotalDistanceEnr'!R36</f>
        <v>279043</v>
      </c>
      <c r="S36" s="154">
        <f>'6TotalEnr'!S36-'6bTotalDistanceEnr'!S36</f>
        <v>55406</v>
      </c>
      <c r="T36" s="154">
        <f>'6TotalEnr'!T36-'6bTotalDistanceEnr'!T36</f>
        <v>334449</v>
      </c>
      <c r="U36" s="154">
        <f>'6TotalEnr'!U36-'6bTotalDistanceEnr'!U36</f>
        <v>3921</v>
      </c>
      <c r="V36" s="154">
        <f>'6TotalEnr'!V36-'6bTotalDistanceEnr'!V36</f>
        <v>6572</v>
      </c>
      <c r="W36" s="154">
        <f>'6TotalEnr'!W36-'6bTotalDistanceEnr'!W36</f>
        <v>10493</v>
      </c>
      <c r="X36" s="154">
        <f>'6TotalEnr'!X36-'6bTotalDistanceEnr'!X36</f>
        <v>11312</v>
      </c>
      <c r="Y36" s="154">
        <f>'6TotalEnr'!Y36-'6bTotalDistanceEnr'!Y36</f>
        <v>10429</v>
      </c>
      <c r="Z36" s="154">
        <f>'6TotalEnr'!Z36-'6bTotalDistanceEnr'!Z36</f>
        <v>21741</v>
      </c>
      <c r="AA36" s="154">
        <f>'6TotalEnr'!AA36-'6bTotalDistanceEnr'!AA36</f>
        <v>1510563</v>
      </c>
      <c r="AB36" s="154">
        <f>'6TotalEnr'!AB36-'6bTotalDistanceEnr'!AB36</f>
        <v>1471926</v>
      </c>
      <c r="AC36" s="642">
        <f>'6TotalEnr'!AC36-'6bTotalDistanceEnr'!AC36</f>
        <v>2982489</v>
      </c>
    </row>
    <row r="37" spans="1:29" s="103" customFormat="1" ht="20.25" customHeight="1">
      <c r="A37" s="100">
        <v>33</v>
      </c>
      <c r="B37" s="91" t="s">
        <v>134</v>
      </c>
      <c r="C37" s="154">
        <f>'6TotalEnr'!C37-'6bTotalDistanceEnr'!C37</f>
        <v>3507</v>
      </c>
      <c r="D37" s="154">
        <f>'6TotalEnr'!D37-'6bTotalDistanceEnr'!D37</f>
        <v>2001</v>
      </c>
      <c r="E37" s="154">
        <f>'6TotalEnr'!E37-'6bTotalDistanceEnr'!E37</f>
        <v>5508</v>
      </c>
      <c r="F37" s="154">
        <f>'6TotalEnr'!F37-'6bTotalDistanceEnr'!F37</f>
        <v>203</v>
      </c>
      <c r="G37" s="154">
        <f>'6TotalEnr'!G37-'6bTotalDistanceEnr'!G37</f>
        <v>170</v>
      </c>
      <c r="H37" s="154">
        <f>'6TotalEnr'!H37-'6bTotalDistanceEnr'!H37</f>
        <v>373</v>
      </c>
      <c r="I37" s="154">
        <f>'6TotalEnr'!I37-'6bTotalDistanceEnr'!I37</f>
        <v>65433</v>
      </c>
      <c r="J37" s="154">
        <f>'6TotalEnr'!J37-'6bTotalDistanceEnr'!J37</f>
        <v>82606</v>
      </c>
      <c r="K37" s="154">
        <f t="shared" si="0"/>
        <v>148039</v>
      </c>
      <c r="L37" s="154">
        <f>'6TotalEnr'!L37-'6bTotalDistanceEnr'!L37</f>
        <v>511433</v>
      </c>
      <c r="M37" s="154">
        <f>'6TotalEnr'!M37-'6bTotalDistanceEnr'!M37</f>
        <v>552425</v>
      </c>
      <c r="N37" s="154">
        <f>'6TotalEnr'!N37-'6bTotalDistanceEnr'!N37</f>
        <v>1063858</v>
      </c>
      <c r="O37" s="154">
        <f>'6TotalEnr'!O37-'6bTotalDistanceEnr'!O37</f>
        <v>1628</v>
      </c>
      <c r="P37" s="154">
        <f>'6TotalEnr'!P37-'6bTotalDistanceEnr'!P37</f>
        <v>1270</v>
      </c>
      <c r="Q37" s="154">
        <f>'6TotalEnr'!Q37-'6bTotalDistanceEnr'!Q37</f>
        <v>2898</v>
      </c>
      <c r="R37" s="154">
        <f>'6TotalEnr'!R37-'6bTotalDistanceEnr'!R37</f>
        <v>60259</v>
      </c>
      <c r="S37" s="154">
        <f>'6TotalEnr'!S37-'6bTotalDistanceEnr'!S37</f>
        <v>45165</v>
      </c>
      <c r="T37" s="154">
        <f>'6TotalEnr'!T37-'6bTotalDistanceEnr'!T37</f>
        <v>105424</v>
      </c>
      <c r="U37" s="154">
        <f>'6TotalEnr'!U37-'6bTotalDistanceEnr'!U37</f>
        <v>686</v>
      </c>
      <c r="V37" s="154">
        <f>'6TotalEnr'!V37-'6bTotalDistanceEnr'!V37</f>
        <v>825</v>
      </c>
      <c r="W37" s="154">
        <f>'6TotalEnr'!W37-'6bTotalDistanceEnr'!W37</f>
        <v>1511</v>
      </c>
      <c r="X37" s="154">
        <f>'6TotalEnr'!X37-'6bTotalDistanceEnr'!X37</f>
        <v>3629</v>
      </c>
      <c r="Y37" s="154">
        <f>'6TotalEnr'!Y37-'6bTotalDistanceEnr'!Y37</f>
        <v>2601</v>
      </c>
      <c r="Z37" s="154">
        <f>'6TotalEnr'!Z37-'6bTotalDistanceEnr'!Z37</f>
        <v>6230</v>
      </c>
      <c r="AA37" s="154">
        <f>'6TotalEnr'!AA37-'6bTotalDistanceEnr'!AA37</f>
        <v>646778</v>
      </c>
      <c r="AB37" s="154">
        <f>'6TotalEnr'!AB37-'6bTotalDistanceEnr'!AB37</f>
        <v>687063</v>
      </c>
      <c r="AC37" s="642">
        <f>'6TotalEnr'!AC37-'6bTotalDistanceEnr'!AC37</f>
        <v>1333841</v>
      </c>
    </row>
    <row r="38" spans="1:29" s="103" customFormat="1" ht="20.25" customHeight="1">
      <c r="A38" s="100">
        <v>34</v>
      </c>
      <c r="B38" s="91" t="s">
        <v>45</v>
      </c>
      <c r="C38" s="154">
        <f>'6TotalEnr'!C38-'6bTotalDistanceEnr'!C38</f>
        <v>388</v>
      </c>
      <c r="D38" s="154">
        <f>'6TotalEnr'!D38-'6bTotalDistanceEnr'!D38</f>
        <v>227</v>
      </c>
      <c r="E38" s="154">
        <f>'6TotalEnr'!E38-'6bTotalDistanceEnr'!E38</f>
        <v>615</v>
      </c>
      <c r="F38" s="154">
        <f>'6TotalEnr'!F38-'6bTotalDistanceEnr'!F38</f>
        <v>0</v>
      </c>
      <c r="G38" s="154">
        <f>'6TotalEnr'!G38-'6bTotalDistanceEnr'!G38</f>
        <v>0</v>
      </c>
      <c r="H38" s="154">
        <f>'6TotalEnr'!H38-'6bTotalDistanceEnr'!H38</f>
        <v>0</v>
      </c>
      <c r="I38" s="154">
        <f>'6TotalEnr'!I38-'6bTotalDistanceEnr'!I38</f>
        <v>2136</v>
      </c>
      <c r="J38" s="154">
        <f>'6TotalEnr'!J38-'6bTotalDistanceEnr'!J38</f>
        <v>1932</v>
      </c>
      <c r="K38" s="154">
        <f>I38+J38</f>
        <v>4068</v>
      </c>
      <c r="L38" s="154">
        <f>'6TotalEnr'!L38-'6bTotalDistanceEnr'!L38</f>
        <v>34858</v>
      </c>
      <c r="M38" s="154">
        <f>'6TotalEnr'!M38-'6bTotalDistanceEnr'!M38</f>
        <v>28462</v>
      </c>
      <c r="N38" s="154">
        <f>'6TotalEnr'!N38-'6bTotalDistanceEnr'!N38</f>
        <v>63320</v>
      </c>
      <c r="O38" s="154">
        <f>'6TotalEnr'!O38-'6bTotalDistanceEnr'!O38</f>
        <v>17</v>
      </c>
      <c r="P38" s="154">
        <f>'6TotalEnr'!P38-'6bTotalDistanceEnr'!P38</f>
        <v>46</v>
      </c>
      <c r="Q38" s="154">
        <f>'6TotalEnr'!Q38-'6bTotalDistanceEnr'!Q38</f>
        <v>63</v>
      </c>
      <c r="R38" s="154">
        <f>'6TotalEnr'!R38-'6bTotalDistanceEnr'!R38</f>
        <v>2256</v>
      </c>
      <c r="S38" s="154">
        <f>'6TotalEnr'!S38-'6bTotalDistanceEnr'!S38</f>
        <v>2109</v>
      </c>
      <c r="T38" s="154">
        <f>'6TotalEnr'!T38-'6bTotalDistanceEnr'!T38</f>
        <v>4365</v>
      </c>
      <c r="U38" s="154">
        <f>'6TotalEnr'!U38-'6bTotalDistanceEnr'!U38</f>
        <v>149</v>
      </c>
      <c r="V38" s="154">
        <f>'6TotalEnr'!V38-'6bTotalDistanceEnr'!V38</f>
        <v>221</v>
      </c>
      <c r="W38" s="154">
        <f>'6TotalEnr'!W38-'6bTotalDistanceEnr'!W38</f>
        <v>370</v>
      </c>
      <c r="X38" s="154">
        <f>'6TotalEnr'!X38-'6bTotalDistanceEnr'!X38</f>
        <v>396</v>
      </c>
      <c r="Y38" s="154">
        <f>'6TotalEnr'!Y38-'6bTotalDistanceEnr'!Y38</f>
        <v>242</v>
      </c>
      <c r="Z38" s="154">
        <f>'6TotalEnr'!Z38-'6bTotalDistanceEnr'!Z38</f>
        <v>638</v>
      </c>
      <c r="AA38" s="154">
        <f>'6TotalEnr'!AA38-'6bTotalDistanceEnr'!AA38</f>
        <v>40200</v>
      </c>
      <c r="AB38" s="154">
        <f>'6TotalEnr'!AB38-'6bTotalDistanceEnr'!AB38</f>
        <v>33239</v>
      </c>
      <c r="AC38" s="642">
        <f>'6TotalEnr'!AC38-'6bTotalDistanceEnr'!AC38</f>
        <v>73439</v>
      </c>
    </row>
    <row r="39" spans="1:29" s="103" customFormat="1" ht="20.25" customHeight="1">
      <c r="A39" s="100">
        <v>35</v>
      </c>
      <c r="B39" s="91" t="s">
        <v>47</v>
      </c>
      <c r="C39" s="154">
        <f>'6TotalEnr'!C39-'6bTotalDistanceEnr'!C39</f>
        <v>13693</v>
      </c>
      <c r="D39" s="154">
        <f>'6TotalEnr'!D39-'6bTotalDistanceEnr'!D39</f>
        <v>10071</v>
      </c>
      <c r="E39" s="154">
        <f>'6TotalEnr'!E39-'6bTotalDistanceEnr'!E39</f>
        <v>23764</v>
      </c>
      <c r="F39" s="154">
        <f>'6TotalEnr'!F39-'6bTotalDistanceEnr'!F39</f>
        <v>217</v>
      </c>
      <c r="G39" s="154">
        <f>'6TotalEnr'!G39-'6bTotalDistanceEnr'!G39</f>
        <v>320</v>
      </c>
      <c r="H39" s="154">
        <f>'6TotalEnr'!H39-'6bTotalDistanceEnr'!H39</f>
        <v>537</v>
      </c>
      <c r="I39" s="154">
        <f>'6TotalEnr'!I39-'6bTotalDistanceEnr'!I39</f>
        <v>214150</v>
      </c>
      <c r="J39" s="154">
        <f>'6TotalEnr'!J39-'6bTotalDistanceEnr'!J39</f>
        <v>311564</v>
      </c>
      <c r="K39" s="154">
        <f t="shared" si="0"/>
        <v>525714</v>
      </c>
      <c r="L39" s="154">
        <f>'6TotalEnr'!L39-'6bTotalDistanceEnr'!L39</f>
        <v>2594537</v>
      </c>
      <c r="M39" s="154">
        <f>'6TotalEnr'!M39-'6bTotalDistanceEnr'!M39</f>
        <v>2742207</v>
      </c>
      <c r="N39" s="154">
        <f>'6TotalEnr'!N39-'6bTotalDistanceEnr'!N39</f>
        <v>5336744</v>
      </c>
      <c r="O39" s="154">
        <f>'6TotalEnr'!O39-'6bTotalDistanceEnr'!O39</f>
        <v>7380</v>
      </c>
      <c r="P39" s="154">
        <f>'6TotalEnr'!P39-'6bTotalDistanceEnr'!P39</f>
        <v>5898</v>
      </c>
      <c r="Q39" s="154">
        <f>'6TotalEnr'!Q39-'6bTotalDistanceEnr'!Q39</f>
        <v>13278</v>
      </c>
      <c r="R39" s="154">
        <f>'6TotalEnr'!R39-'6bTotalDistanceEnr'!R39</f>
        <v>196971</v>
      </c>
      <c r="S39" s="154">
        <f>'6TotalEnr'!S39-'6bTotalDistanceEnr'!S39</f>
        <v>101043</v>
      </c>
      <c r="T39" s="154">
        <f>'6TotalEnr'!T39-'6bTotalDistanceEnr'!T39</f>
        <v>298014</v>
      </c>
      <c r="U39" s="154">
        <f>'6TotalEnr'!U39-'6bTotalDistanceEnr'!U39</f>
        <v>9178</v>
      </c>
      <c r="V39" s="154">
        <f>'6TotalEnr'!V39-'6bTotalDistanceEnr'!V39</f>
        <v>12891</v>
      </c>
      <c r="W39" s="154">
        <f>'6TotalEnr'!W39-'6bTotalDistanceEnr'!W39</f>
        <v>22069</v>
      </c>
      <c r="X39" s="154">
        <f>'6TotalEnr'!X39-'6bTotalDistanceEnr'!X39</f>
        <v>26504</v>
      </c>
      <c r="Y39" s="154">
        <f>'6TotalEnr'!Y39-'6bTotalDistanceEnr'!Y39</f>
        <v>15133</v>
      </c>
      <c r="Z39" s="154">
        <f>'6TotalEnr'!Z39-'6bTotalDistanceEnr'!Z39</f>
        <v>41637</v>
      </c>
      <c r="AA39" s="154">
        <f>'6TotalEnr'!AA39-'6bTotalDistanceEnr'!AA39</f>
        <v>3062630</v>
      </c>
      <c r="AB39" s="154">
        <f>'6TotalEnr'!AB39-'6bTotalDistanceEnr'!AB39</f>
        <v>3199127</v>
      </c>
      <c r="AC39" s="642">
        <f>'6TotalEnr'!AC39-'6bTotalDistanceEnr'!AC39</f>
        <v>6261757</v>
      </c>
    </row>
    <row r="40" spans="1:29" s="103" customFormat="1" ht="20.25" customHeight="1">
      <c r="A40" s="100">
        <v>36</v>
      </c>
      <c r="B40" s="91" t="s">
        <v>46</v>
      </c>
      <c r="C40" s="154">
        <f>'6TotalEnr'!C40-'6bTotalDistanceEnr'!C40</f>
        <v>3449</v>
      </c>
      <c r="D40" s="154">
        <f>'6TotalEnr'!D40-'6bTotalDistanceEnr'!D40</f>
        <v>2019</v>
      </c>
      <c r="E40" s="154">
        <f>'6TotalEnr'!E40-'6bTotalDistanceEnr'!E40</f>
        <v>5468</v>
      </c>
      <c r="F40" s="154">
        <f>'6TotalEnr'!F40-'6bTotalDistanceEnr'!F40</f>
        <v>21</v>
      </c>
      <c r="G40" s="154">
        <f>'6TotalEnr'!G40-'6bTotalDistanceEnr'!G40</f>
        <v>13</v>
      </c>
      <c r="H40" s="154">
        <f>'6TotalEnr'!H40-'6bTotalDistanceEnr'!H40</f>
        <v>34</v>
      </c>
      <c r="I40" s="154">
        <f>'6TotalEnr'!I40-'6bTotalDistanceEnr'!I40</f>
        <v>22980</v>
      </c>
      <c r="J40" s="154">
        <f>'6TotalEnr'!J40-'6bTotalDistanceEnr'!J40</f>
        <v>30380</v>
      </c>
      <c r="K40" s="154">
        <f t="shared" si="0"/>
        <v>53360</v>
      </c>
      <c r="L40" s="154">
        <f>'6TotalEnr'!L40-'6bTotalDistanceEnr'!L40</f>
        <v>157586</v>
      </c>
      <c r="M40" s="154">
        <f>'6TotalEnr'!M40-'6bTotalDistanceEnr'!M40</f>
        <v>158781</v>
      </c>
      <c r="N40" s="154">
        <f>'6TotalEnr'!N40-'6bTotalDistanceEnr'!N40</f>
        <v>316367</v>
      </c>
      <c r="O40" s="154">
        <f>'6TotalEnr'!O40-'6bTotalDistanceEnr'!O40</f>
        <v>734</v>
      </c>
      <c r="P40" s="154">
        <f>'6TotalEnr'!P40-'6bTotalDistanceEnr'!P40</f>
        <v>842</v>
      </c>
      <c r="Q40" s="154">
        <f>'6TotalEnr'!Q40-'6bTotalDistanceEnr'!Q40</f>
        <v>1576</v>
      </c>
      <c r="R40" s="154">
        <f>'6TotalEnr'!R40-'6bTotalDistanceEnr'!R40</f>
        <v>21397</v>
      </c>
      <c r="S40" s="154">
        <f>'6TotalEnr'!S40-'6bTotalDistanceEnr'!S40</f>
        <v>7576</v>
      </c>
      <c r="T40" s="154">
        <f>'6TotalEnr'!T40-'6bTotalDistanceEnr'!T40</f>
        <v>28973</v>
      </c>
      <c r="U40" s="154">
        <f>'6TotalEnr'!U40-'6bTotalDistanceEnr'!U40</f>
        <v>292</v>
      </c>
      <c r="V40" s="154">
        <f>'6TotalEnr'!V40-'6bTotalDistanceEnr'!V40</f>
        <v>55</v>
      </c>
      <c r="W40" s="154">
        <f>'6TotalEnr'!W40-'6bTotalDistanceEnr'!W40</f>
        <v>347</v>
      </c>
      <c r="X40" s="154">
        <f>'6TotalEnr'!X40-'6bTotalDistanceEnr'!X40</f>
        <v>3366</v>
      </c>
      <c r="Y40" s="154">
        <f>'6TotalEnr'!Y40-'6bTotalDistanceEnr'!Y40</f>
        <v>2286</v>
      </c>
      <c r="Z40" s="154">
        <f>'6TotalEnr'!Z40-'6bTotalDistanceEnr'!Z40</f>
        <v>5652</v>
      </c>
      <c r="AA40" s="154">
        <f>'6TotalEnr'!AA40-'6bTotalDistanceEnr'!AA40</f>
        <v>209825</v>
      </c>
      <c r="AB40" s="154">
        <f>'6TotalEnr'!AB40-'6bTotalDistanceEnr'!AB40</f>
        <v>201952</v>
      </c>
      <c r="AC40" s="642">
        <f>'6TotalEnr'!AC40-'6bTotalDistanceEnr'!AC40</f>
        <v>411777</v>
      </c>
    </row>
    <row r="41" spans="1:29" s="103" customFormat="1" ht="20.25" customHeight="1">
      <c r="A41" s="100">
        <v>37</v>
      </c>
      <c r="B41" s="91" t="s">
        <v>48</v>
      </c>
      <c r="C41" s="154">
        <f>'6TotalEnr'!C41-'6bTotalDistanceEnr'!C41</f>
        <v>8063</v>
      </c>
      <c r="D41" s="154">
        <f>'6TotalEnr'!D41-'6bTotalDistanceEnr'!D41</f>
        <v>4773</v>
      </c>
      <c r="E41" s="154">
        <f>'6TotalEnr'!E41-'6bTotalDistanceEnr'!E41</f>
        <v>12836</v>
      </c>
      <c r="F41" s="154">
        <f>'6TotalEnr'!F41-'6bTotalDistanceEnr'!F41</f>
        <v>1195</v>
      </c>
      <c r="G41" s="154">
        <f>'6TotalEnr'!G41-'6bTotalDistanceEnr'!G41</f>
        <v>983</v>
      </c>
      <c r="H41" s="154">
        <f>'6TotalEnr'!H41-'6bTotalDistanceEnr'!H41</f>
        <v>2178</v>
      </c>
      <c r="I41" s="154">
        <f>'6TotalEnr'!I41-'6bTotalDistanceEnr'!I41</f>
        <v>43523</v>
      </c>
      <c r="J41" s="154">
        <f>'6TotalEnr'!J41-'6bTotalDistanceEnr'!J41</f>
        <v>48248</v>
      </c>
      <c r="K41" s="154">
        <f t="shared" si="0"/>
        <v>91771</v>
      </c>
      <c r="L41" s="154">
        <f>'6TotalEnr'!L41-'6bTotalDistanceEnr'!L41</f>
        <v>792565</v>
      </c>
      <c r="M41" s="154">
        <f>'6TotalEnr'!M41-'6bTotalDistanceEnr'!M41</f>
        <v>875822</v>
      </c>
      <c r="N41" s="154">
        <f>'6TotalEnr'!N41-'6bTotalDistanceEnr'!N41</f>
        <v>1668387</v>
      </c>
      <c r="O41" s="154">
        <f>'6TotalEnr'!O41-'6bTotalDistanceEnr'!O41</f>
        <v>2697</v>
      </c>
      <c r="P41" s="154">
        <f>'6TotalEnr'!P41-'6bTotalDistanceEnr'!P41</f>
        <v>1508</v>
      </c>
      <c r="Q41" s="154">
        <f>'6TotalEnr'!Q41-'6bTotalDistanceEnr'!Q41</f>
        <v>4205</v>
      </c>
      <c r="R41" s="154">
        <f>'6TotalEnr'!R41-'6bTotalDistanceEnr'!R41</f>
        <v>114411</v>
      </c>
      <c r="S41" s="154">
        <f>'6TotalEnr'!S41-'6bTotalDistanceEnr'!S41</f>
        <v>58012</v>
      </c>
      <c r="T41" s="154">
        <f>'6TotalEnr'!T41-'6bTotalDistanceEnr'!T41</f>
        <v>172423</v>
      </c>
      <c r="U41" s="154">
        <f>'6TotalEnr'!U41-'6bTotalDistanceEnr'!U41</f>
        <v>3583</v>
      </c>
      <c r="V41" s="154">
        <f>'6TotalEnr'!V41-'6bTotalDistanceEnr'!V41</f>
        <v>3223</v>
      </c>
      <c r="W41" s="154">
        <f>'6TotalEnr'!W41-'6bTotalDistanceEnr'!W41</f>
        <v>6806</v>
      </c>
      <c r="X41" s="154">
        <f>'6TotalEnr'!X41-'6bTotalDistanceEnr'!X41</f>
        <v>9336</v>
      </c>
      <c r="Y41" s="154">
        <f>'6TotalEnr'!Y41-'6bTotalDistanceEnr'!Y41</f>
        <v>5595</v>
      </c>
      <c r="Z41" s="154">
        <f>'6TotalEnr'!Z41-'6bTotalDistanceEnr'!Z41</f>
        <v>14931</v>
      </c>
      <c r="AA41" s="154">
        <f>'6TotalEnr'!AA41-'6bTotalDistanceEnr'!AA41</f>
        <v>975373</v>
      </c>
      <c r="AB41" s="154">
        <f>'6TotalEnr'!AB41-'6bTotalDistanceEnr'!AB41</f>
        <v>998164</v>
      </c>
      <c r="AC41" s="642">
        <f>'6TotalEnr'!AC41-'6bTotalDistanceEnr'!AC41</f>
        <v>1973537</v>
      </c>
    </row>
    <row r="42" spans="1:29" s="148" customFormat="1" ht="20.25" customHeight="1">
      <c r="A42" s="771" t="s">
        <v>49</v>
      </c>
      <c r="B42" s="771"/>
      <c r="C42" s="91">
        <f>SUM(C5:C41)</f>
        <v>111400</v>
      </c>
      <c r="D42" s="91">
        <f t="shared" ref="D42:Z42" si="1">SUM(D5:D41)</f>
        <v>91049</v>
      </c>
      <c r="E42" s="91">
        <f t="shared" si="1"/>
        <v>202449</v>
      </c>
      <c r="F42" s="91">
        <f t="shared" si="1"/>
        <v>9010</v>
      </c>
      <c r="G42" s="91">
        <f t="shared" si="1"/>
        <v>14855</v>
      </c>
      <c r="H42" s="644">
        <f>SUM(H5:H41)</f>
        <v>23865</v>
      </c>
      <c r="I42" s="91">
        <f t="shared" si="1"/>
        <v>1355452</v>
      </c>
      <c r="J42" s="91">
        <f t="shared" si="1"/>
        <v>1835637</v>
      </c>
      <c r="K42" s="644">
        <f>SUM(K5:K41)</f>
        <v>3191089</v>
      </c>
      <c r="L42" s="91">
        <f t="shared" si="1"/>
        <v>13817639</v>
      </c>
      <c r="M42" s="91">
        <f t="shared" si="1"/>
        <v>13911801</v>
      </c>
      <c r="N42" s="91">
        <f t="shared" si="1"/>
        <v>27729440</v>
      </c>
      <c r="O42" s="91">
        <f t="shared" si="1"/>
        <v>65483</v>
      </c>
      <c r="P42" s="91">
        <f t="shared" si="1"/>
        <v>62800</v>
      </c>
      <c r="Q42" s="91">
        <f t="shared" si="1"/>
        <v>128283</v>
      </c>
      <c r="R42" s="91">
        <f t="shared" si="1"/>
        <v>1681882</v>
      </c>
      <c r="S42" s="91">
        <f t="shared" si="1"/>
        <v>870620</v>
      </c>
      <c r="T42" s="91">
        <f t="shared" si="1"/>
        <v>2552502</v>
      </c>
      <c r="U42" s="91">
        <f t="shared" si="1"/>
        <v>55369</v>
      </c>
      <c r="V42" s="91">
        <f t="shared" si="1"/>
        <v>69754</v>
      </c>
      <c r="W42" s="91">
        <f t="shared" si="1"/>
        <v>125123</v>
      </c>
      <c r="X42" s="91">
        <f t="shared" si="1"/>
        <v>167938</v>
      </c>
      <c r="Y42" s="91">
        <f t="shared" si="1"/>
        <v>128748</v>
      </c>
      <c r="Z42" s="91">
        <f t="shared" si="1"/>
        <v>296686</v>
      </c>
      <c r="AA42" s="91">
        <f>SUM(AA5:AA41)</f>
        <v>17264173</v>
      </c>
      <c r="AB42" s="91">
        <f>SUM(AB5:AB41)</f>
        <v>16985264</v>
      </c>
      <c r="AC42" s="91">
        <f>SUM(AC5:AC41)</f>
        <v>34249437</v>
      </c>
    </row>
  </sheetData>
  <mergeCells count="15">
    <mergeCell ref="A42:B42"/>
    <mergeCell ref="A2:A3"/>
    <mergeCell ref="B2:B3"/>
    <mergeCell ref="C2:E2"/>
    <mergeCell ref="F2:H2"/>
    <mergeCell ref="C1:K1"/>
    <mergeCell ref="L1:T1"/>
    <mergeCell ref="U1:AC1"/>
    <mergeCell ref="I2:K2"/>
    <mergeCell ref="L2:N2"/>
    <mergeCell ref="O2:Q2"/>
    <mergeCell ref="R2:T2"/>
    <mergeCell ref="U2:W2"/>
    <mergeCell ref="X2:Z2"/>
    <mergeCell ref="AA2:AC2"/>
  </mergeCells>
  <printOptions horizontalCentered="1"/>
  <pageMargins left="0.70866141732283505" right="0.15748031496063" top="0.511811023622047" bottom="0.39370078740157499" header="0.196850393700787" footer="0.15748031496063"/>
  <pageSetup paperSize="9" scale="87" firstPageNumber="8" orientation="portrait" useFirstPageNumber="1" r:id="rId1"/>
  <headerFooter>
    <oddFooter>&amp;LAISHE 2019-20&amp;CT-6a</oddFooter>
  </headerFooter>
  <colBreaks count="2" manualBreakCount="2">
    <brk id="11" max="39" man="1"/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AC42"/>
  <sheetViews>
    <sheetView view="pageBreakPreview" zoomScaleSheetLayoutView="100" workbookViewId="0">
      <pane xSplit="2" ySplit="3" topLeftCell="R28" activePane="bottomRight" state="frozen"/>
      <selection activeCell="B4" sqref="B4"/>
      <selection pane="topRight" activeCell="B4" sqref="B4"/>
      <selection pane="bottomLeft" activeCell="B4" sqref="B4"/>
      <selection pane="bottomRight" activeCell="U1" sqref="U1:AC1"/>
    </sheetView>
  </sheetViews>
  <sheetFormatPr defaultColWidth="9.140625" defaultRowHeight="14.25"/>
  <cols>
    <col min="1" max="1" width="5.140625" style="174" customWidth="1"/>
    <col min="2" max="2" width="24.85546875" style="174" customWidth="1"/>
    <col min="3" max="3" width="7.7109375" style="174" customWidth="1"/>
    <col min="4" max="5" width="8.140625" style="174" customWidth="1"/>
    <col min="6" max="6" width="7.28515625" style="174" customWidth="1"/>
    <col min="7" max="7" width="8.140625" style="174" customWidth="1"/>
    <col min="8" max="8" width="6.7109375" style="174" customWidth="1"/>
    <col min="9" max="12" width="9.28515625" style="174" customWidth="1"/>
    <col min="13" max="13" width="9.85546875" style="174" customWidth="1"/>
    <col min="14" max="14" width="10.140625" style="174" customWidth="1"/>
    <col min="15" max="15" width="7" style="174" customWidth="1"/>
    <col min="16" max="16" width="8" style="174" bestFit="1" customWidth="1"/>
    <col min="17" max="17" width="7.28515625" style="174" customWidth="1"/>
    <col min="18" max="18" width="7" style="174" customWidth="1"/>
    <col min="19" max="19" width="7.85546875" style="174" customWidth="1"/>
    <col min="20" max="20" width="8" style="174" customWidth="1"/>
    <col min="21" max="21" width="6.85546875" style="174" customWidth="1"/>
    <col min="22" max="22" width="7.7109375" style="174" customWidth="1"/>
    <col min="23" max="23" width="7.5703125" style="174" customWidth="1"/>
    <col min="24" max="24" width="6.85546875" style="174" customWidth="1"/>
    <col min="25" max="25" width="8.140625" style="174" customWidth="1"/>
    <col min="26" max="26" width="7.5703125" style="174" customWidth="1"/>
    <col min="27" max="27" width="9.85546875" style="174" customWidth="1"/>
    <col min="28" max="28" width="10.42578125" style="174" customWidth="1"/>
    <col min="29" max="29" width="10.28515625" style="174" customWidth="1"/>
    <col min="30" max="16384" width="9.140625" style="174"/>
  </cols>
  <sheetData>
    <row r="1" spans="1:29" s="149" customFormat="1" ht="34.5" customHeight="1">
      <c r="B1" s="150" t="s">
        <v>809</v>
      </c>
      <c r="C1" s="779" t="s">
        <v>920</v>
      </c>
      <c r="D1" s="779"/>
      <c r="E1" s="779"/>
      <c r="F1" s="779"/>
      <c r="G1" s="779"/>
      <c r="H1" s="779"/>
      <c r="I1" s="779"/>
      <c r="J1" s="779"/>
      <c r="K1" s="779"/>
      <c r="L1" s="792" t="str">
        <f>C1</f>
        <v>State-wise Enrolment through Distance mode at various levels (Based on actual Response)</v>
      </c>
      <c r="M1" s="792"/>
      <c r="N1" s="792"/>
      <c r="O1" s="792"/>
      <c r="P1" s="792"/>
      <c r="Q1" s="792"/>
      <c r="R1" s="792"/>
      <c r="S1" s="792"/>
      <c r="T1" s="792"/>
      <c r="U1" s="779" t="str">
        <f>L1</f>
        <v>State-wise Enrolment through Distance mode at various levels (Based on actual Response)</v>
      </c>
      <c r="V1" s="779"/>
      <c r="W1" s="779"/>
      <c r="X1" s="779"/>
      <c r="Y1" s="779"/>
      <c r="Z1" s="779"/>
      <c r="AA1" s="779"/>
      <c r="AB1" s="779"/>
      <c r="AC1" s="779"/>
    </row>
    <row r="2" spans="1:29" s="162" customFormat="1" ht="24.75" customHeight="1">
      <c r="A2" s="789" t="s">
        <v>84</v>
      </c>
      <c r="B2" s="791" t="s">
        <v>713</v>
      </c>
      <c r="C2" s="785" t="s">
        <v>89</v>
      </c>
      <c r="D2" s="786"/>
      <c r="E2" s="787"/>
      <c r="F2" s="785" t="s">
        <v>90</v>
      </c>
      <c r="G2" s="786"/>
      <c r="H2" s="787"/>
      <c r="I2" s="785" t="s">
        <v>85</v>
      </c>
      <c r="J2" s="786"/>
      <c r="K2" s="787"/>
      <c r="L2" s="785" t="s">
        <v>86</v>
      </c>
      <c r="M2" s="786"/>
      <c r="N2" s="787"/>
      <c r="O2" s="785" t="s">
        <v>91</v>
      </c>
      <c r="P2" s="786"/>
      <c r="Q2" s="787"/>
      <c r="R2" s="785" t="s">
        <v>92</v>
      </c>
      <c r="S2" s="786"/>
      <c r="T2" s="787"/>
      <c r="U2" s="785" t="s">
        <v>93</v>
      </c>
      <c r="V2" s="786"/>
      <c r="W2" s="787"/>
      <c r="X2" s="785" t="s">
        <v>94</v>
      </c>
      <c r="Y2" s="786"/>
      <c r="Z2" s="787"/>
      <c r="AA2" s="785" t="s">
        <v>60</v>
      </c>
      <c r="AB2" s="786"/>
      <c r="AC2" s="787"/>
    </row>
    <row r="3" spans="1:29" s="163" customFormat="1" ht="24.75" customHeight="1">
      <c r="A3" s="790"/>
      <c r="B3" s="791"/>
      <c r="C3" s="371" t="s">
        <v>87</v>
      </c>
      <c r="D3" s="371" t="s">
        <v>88</v>
      </c>
      <c r="E3" s="371" t="s">
        <v>12</v>
      </c>
      <c r="F3" s="371" t="s">
        <v>87</v>
      </c>
      <c r="G3" s="371" t="s">
        <v>88</v>
      </c>
      <c r="H3" s="371" t="s">
        <v>12</v>
      </c>
      <c r="I3" s="371" t="s">
        <v>87</v>
      </c>
      <c r="J3" s="371" t="s">
        <v>88</v>
      </c>
      <c r="K3" s="371" t="s">
        <v>12</v>
      </c>
      <c r="L3" s="371" t="s">
        <v>87</v>
      </c>
      <c r="M3" s="371" t="s">
        <v>88</v>
      </c>
      <c r="N3" s="371" t="s">
        <v>12</v>
      </c>
      <c r="O3" s="371" t="s">
        <v>87</v>
      </c>
      <c r="P3" s="371" t="s">
        <v>88</v>
      </c>
      <c r="Q3" s="371" t="s">
        <v>12</v>
      </c>
      <c r="R3" s="371" t="s">
        <v>87</v>
      </c>
      <c r="S3" s="371" t="s">
        <v>88</v>
      </c>
      <c r="T3" s="371" t="s">
        <v>12</v>
      </c>
      <c r="U3" s="371" t="s">
        <v>87</v>
      </c>
      <c r="V3" s="371" t="s">
        <v>88</v>
      </c>
      <c r="W3" s="371" t="s">
        <v>12</v>
      </c>
      <c r="X3" s="371" t="s">
        <v>87</v>
      </c>
      <c r="Y3" s="371" t="s">
        <v>88</v>
      </c>
      <c r="Z3" s="371" t="s">
        <v>12</v>
      </c>
      <c r="AA3" s="371" t="s">
        <v>87</v>
      </c>
      <c r="AB3" s="371" t="s">
        <v>88</v>
      </c>
      <c r="AC3" s="371" t="s">
        <v>12</v>
      </c>
    </row>
    <row r="4" spans="1:29" s="165" customFormat="1" ht="16.5" customHeight="1">
      <c r="A4" s="164">
        <v>1</v>
      </c>
      <c r="B4" s="164">
        <v>2</v>
      </c>
      <c r="C4" s="164">
        <v>3</v>
      </c>
      <c r="D4" s="164">
        <v>4</v>
      </c>
      <c r="E4" s="164">
        <v>5</v>
      </c>
      <c r="F4" s="164">
        <v>6</v>
      </c>
      <c r="G4" s="164">
        <v>7</v>
      </c>
      <c r="H4" s="164">
        <v>8</v>
      </c>
      <c r="I4" s="164">
        <v>9</v>
      </c>
      <c r="J4" s="164">
        <v>10</v>
      </c>
      <c r="K4" s="164">
        <v>11</v>
      </c>
      <c r="L4" s="164">
        <v>12</v>
      </c>
      <c r="M4" s="164">
        <v>13</v>
      </c>
      <c r="N4" s="164">
        <v>14</v>
      </c>
      <c r="O4" s="164">
        <v>15</v>
      </c>
      <c r="P4" s="164">
        <v>16</v>
      </c>
      <c r="Q4" s="164">
        <v>17</v>
      </c>
      <c r="R4" s="164">
        <v>18</v>
      </c>
      <c r="S4" s="164">
        <v>19</v>
      </c>
      <c r="T4" s="164">
        <v>20</v>
      </c>
      <c r="U4" s="164">
        <v>21</v>
      </c>
      <c r="V4" s="164">
        <v>22</v>
      </c>
      <c r="W4" s="164">
        <v>23</v>
      </c>
      <c r="X4" s="164">
        <v>24</v>
      </c>
      <c r="Y4" s="164">
        <v>25</v>
      </c>
      <c r="Z4" s="164">
        <v>26</v>
      </c>
      <c r="AA4" s="164">
        <v>27</v>
      </c>
      <c r="AB4" s="164">
        <v>28</v>
      </c>
      <c r="AC4" s="164">
        <v>29</v>
      </c>
    </row>
    <row r="5" spans="1:29" s="163" customFormat="1" ht="30.75" customHeight="1">
      <c r="A5" s="166">
        <v>1</v>
      </c>
      <c r="B5" s="167" t="s">
        <v>154</v>
      </c>
      <c r="C5" s="168">
        <v>0</v>
      </c>
      <c r="D5" s="168">
        <v>0</v>
      </c>
      <c r="E5" s="169">
        <v>0</v>
      </c>
      <c r="F5" s="168">
        <v>0</v>
      </c>
      <c r="G5" s="168">
        <v>0</v>
      </c>
      <c r="H5" s="170">
        <v>0</v>
      </c>
      <c r="I5" s="168">
        <v>502</v>
      </c>
      <c r="J5" s="168">
        <v>686</v>
      </c>
      <c r="K5" s="169">
        <v>1188</v>
      </c>
      <c r="L5" s="168">
        <v>1464</v>
      </c>
      <c r="M5" s="168">
        <v>1302</v>
      </c>
      <c r="N5" s="169">
        <v>2766</v>
      </c>
      <c r="O5" s="168">
        <v>58</v>
      </c>
      <c r="P5" s="168">
        <v>40</v>
      </c>
      <c r="Q5" s="169">
        <v>98</v>
      </c>
      <c r="R5" s="168">
        <v>17</v>
      </c>
      <c r="S5" s="168">
        <v>31</v>
      </c>
      <c r="T5" s="169">
        <v>48</v>
      </c>
      <c r="U5" s="168">
        <v>0</v>
      </c>
      <c r="V5" s="168">
        <v>0</v>
      </c>
      <c r="W5" s="169">
        <v>0</v>
      </c>
      <c r="X5" s="168">
        <v>0</v>
      </c>
      <c r="Y5" s="168">
        <v>0</v>
      </c>
      <c r="Z5" s="169">
        <v>0</v>
      </c>
      <c r="AA5" s="170">
        <v>2041</v>
      </c>
      <c r="AB5" s="170">
        <v>2059</v>
      </c>
      <c r="AC5" s="643">
        <v>4100</v>
      </c>
    </row>
    <row r="6" spans="1:29" s="163" customFormat="1" ht="20.25" customHeight="1">
      <c r="A6" s="166">
        <v>2</v>
      </c>
      <c r="B6" s="171" t="s">
        <v>15</v>
      </c>
      <c r="C6" s="168">
        <v>0</v>
      </c>
      <c r="D6" s="168">
        <v>0</v>
      </c>
      <c r="E6" s="169">
        <v>0</v>
      </c>
      <c r="F6" s="168">
        <v>0</v>
      </c>
      <c r="G6" s="168">
        <v>0</v>
      </c>
      <c r="H6" s="170">
        <v>0</v>
      </c>
      <c r="I6" s="168">
        <v>23101</v>
      </c>
      <c r="J6" s="168">
        <v>20640</v>
      </c>
      <c r="K6" s="169">
        <v>43741</v>
      </c>
      <c r="L6" s="168">
        <v>126798</v>
      </c>
      <c r="M6" s="168">
        <v>92335</v>
      </c>
      <c r="N6" s="169">
        <v>219133</v>
      </c>
      <c r="O6" s="168">
        <v>610</v>
      </c>
      <c r="P6" s="168">
        <v>411</v>
      </c>
      <c r="Q6" s="169">
        <v>1021</v>
      </c>
      <c r="R6" s="168">
        <v>329</v>
      </c>
      <c r="S6" s="168">
        <v>402</v>
      </c>
      <c r="T6" s="169">
        <v>731</v>
      </c>
      <c r="U6" s="168">
        <v>0</v>
      </c>
      <c r="V6" s="168">
        <v>14</v>
      </c>
      <c r="W6" s="169">
        <v>14</v>
      </c>
      <c r="X6" s="168">
        <v>0</v>
      </c>
      <c r="Y6" s="168">
        <v>0</v>
      </c>
      <c r="Z6" s="169">
        <v>0</v>
      </c>
      <c r="AA6" s="170">
        <v>150838</v>
      </c>
      <c r="AB6" s="170">
        <v>113802</v>
      </c>
      <c r="AC6" s="643">
        <v>264640</v>
      </c>
    </row>
    <row r="7" spans="1:29" s="163" customFormat="1" ht="20.25" customHeight="1">
      <c r="A7" s="166">
        <v>3</v>
      </c>
      <c r="B7" s="171" t="s">
        <v>16</v>
      </c>
      <c r="C7" s="168">
        <v>32</v>
      </c>
      <c r="D7" s="168">
        <v>48</v>
      </c>
      <c r="E7" s="169">
        <v>80</v>
      </c>
      <c r="F7" s="168">
        <v>20</v>
      </c>
      <c r="G7" s="168">
        <v>25</v>
      </c>
      <c r="H7" s="170">
        <v>45</v>
      </c>
      <c r="I7" s="168">
        <v>2086</v>
      </c>
      <c r="J7" s="168">
        <v>3584</v>
      </c>
      <c r="K7" s="169">
        <v>5670</v>
      </c>
      <c r="L7" s="168">
        <v>4360</v>
      </c>
      <c r="M7" s="168">
        <v>5644</v>
      </c>
      <c r="N7" s="169">
        <v>10004</v>
      </c>
      <c r="O7" s="168">
        <v>68</v>
      </c>
      <c r="P7" s="168">
        <v>85</v>
      </c>
      <c r="Q7" s="169">
        <v>153</v>
      </c>
      <c r="R7" s="168">
        <v>45</v>
      </c>
      <c r="S7" s="168">
        <v>62</v>
      </c>
      <c r="T7" s="169">
        <v>107</v>
      </c>
      <c r="U7" s="168">
        <v>0</v>
      </c>
      <c r="V7" s="168">
        <v>0</v>
      </c>
      <c r="W7" s="169">
        <v>0</v>
      </c>
      <c r="X7" s="168">
        <v>0</v>
      </c>
      <c r="Y7" s="168">
        <v>0</v>
      </c>
      <c r="Z7" s="169">
        <v>0</v>
      </c>
      <c r="AA7" s="170">
        <v>6611</v>
      </c>
      <c r="AB7" s="170">
        <v>9448</v>
      </c>
      <c r="AC7" s="643">
        <v>16059</v>
      </c>
    </row>
    <row r="8" spans="1:29" s="163" customFormat="1" ht="20.25" customHeight="1">
      <c r="A8" s="166">
        <v>4</v>
      </c>
      <c r="B8" s="171" t="s">
        <v>17</v>
      </c>
      <c r="C8" s="168">
        <v>0</v>
      </c>
      <c r="D8" s="168">
        <v>0</v>
      </c>
      <c r="E8" s="169">
        <v>0</v>
      </c>
      <c r="F8" s="168">
        <v>0</v>
      </c>
      <c r="G8" s="168">
        <v>0</v>
      </c>
      <c r="H8" s="170">
        <v>0</v>
      </c>
      <c r="I8" s="168">
        <v>14807</v>
      </c>
      <c r="J8" s="168">
        <v>21805</v>
      </c>
      <c r="K8" s="169">
        <v>36612</v>
      </c>
      <c r="L8" s="168">
        <v>28394</v>
      </c>
      <c r="M8" s="168">
        <v>18435</v>
      </c>
      <c r="N8" s="169">
        <v>46829</v>
      </c>
      <c r="O8" s="168">
        <v>1210</v>
      </c>
      <c r="P8" s="168">
        <v>954</v>
      </c>
      <c r="Q8" s="169">
        <v>2164</v>
      </c>
      <c r="R8" s="168">
        <v>484</v>
      </c>
      <c r="S8" s="168">
        <v>704</v>
      </c>
      <c r="T8" s="169">
        <v>1188</v>
      </c>
      <c r="U8" s="168">
        <v>4</v>
      </c>
      <c r="V8" s="168">
        <v>11</v>
      </c>
      <c r="W8" s="169">
        <v>15</v>
      </c>
      <c r="X8" s="168">
        <v>0</v>
      </c>
      <c r="Y8" s="168">
        <v>0</v>
      </c>
      <c r="Z8" s="169">
        <v>0</v>
      </c>
      <c r="AA8" s="170">
        <v>44899</v>
      </c>
      <c r="AB8" s="170">
        <v>41909</v>
      </c>
      <c r="AC8" s="643">
        <v>86808</v>
      </c>
    </row>
    <row r="9" spans="1:29" s="163" customFormat="1" ht="20.25" customHeight="1">
      <c r="A9" s="166">
        <v>5</v>
      </c>
      <c r="B9" s="171" t="s">
        <v>18</v>
      </c>
      <c r="C9" s="168">
        <v>0</v>
      </c>
      <c r="D9" s="168">
        <v>0</v>
      </c>
      <c r="E9" s="169">
        <v>0</v>
      </c>
      <c r="F9" s="168">
        <v>0</v>
      </c>
      <c r="G9" s="168">
        <v>0</v>
      </c>
      <c r="H9" s="170">
        <v>0</v>
      </c>
      <c r="I9" s="168">
        <v>23918</v>
      </c>
      <c r="J9" s="168">
        <v>23768</v>
      </c>
      <c r="K9" s="169">
        <v>47686</v>
      </c>
      <c r="L9" s="168">
        <v>54544</v>
      </c>
      <c r="M9" s="168">
        <v>30035</v>
      </c>
      <c r="N9" s="169">
        <v>84579</v>
      </c>
      <c r="O9" s="168">
        <v>1026</v>
      </c>
      <c r="P9" s="168">
        <v>400</v>
      </c>
      <c r="Q9" s="169">
        <v>1426</v>
      </c>
      <c r="R9" s="168">
        <v>557</v>
      </c>
      <c r="S9" s="168">
        <v>630</v>
      </c>
      <c r="T9" s="169">
        <v>1187</v>
      </c>
      <c r="U9" s="168">
        <v>5</v>
      </c>
      <c r="V9" s="168">
        <v>2</v>
      </c>
      <c r="W9" s="169">
        <v>7</v>
      </c>
      <c r="X9" s="168">
        <v>0</v>
      </c>
      <c r="Y9" s="168">
        <v>0</v>
      </c>
      <c r="Z9" s="169">
        <v>0</v>
      </c>
      <c r="AA9" s="170">
        <v>80050</v>
      </c>
      <c r="AB9" s="170">
        <v>54835</v>
      </c>
      <c r="AC9" s="643">
        <v>134885</v>
      </c>
    </row>
    <row r="10" spans="1:29" s="163" customFormat="1" ht="20.25" customHeight="1">
      <c r="A10" s="166">
        <v>6</v>
      </c>
      <c r="B10" s="171" t="s">
        <v>19</v>
      </c>
      <c r="C10" s="168">
        <v>0</v>
      </c>
      <c r="D10" s="168">
        <v>0</v>
      </c>
      <c r="E10" s="169">
        <v>0</v>
      </c>
      <c r="F10" s="168">
        <v>0</v>
      </c>
      <c r="G10" s="168">
        <v>0</v>
      </c>
      <c r="H10" s="170">
        <v>0</v>
      </c>
      <c r="I10" s="168">
        <v>4078</v>
      </c>
      <c r="J10" s="168">
        <v>5482</v>
      </c>
      <c r="K10" s="169">
        <v>9560</v>
      </c>
      <c r="L10" s="168">
        <v>12481</v>
      </c>
      <c r="M10" s="168">
        <v>5693</v>
      </c>
      <c r="N10" s="169">
        <v>18174</v>
      </c>
      <c r="O10" s="168">
        <v>801</v>
      </c>
      <c r="P10" s="168">
        <v>678</v>
      </c>
      <c r="Q10" s="169">
        <v>1479</v>
      </c>
      <c r="R10" s="168">
        <v>293</v>
      </c>
      <c r="S10" s="168">
        <v>721</v>
      </c>
      <c r="T10" s="169">
        <v>1014</v>
      </c>
      <c r="U10" s="168">
        <v>10</v>
      </c>
      <c r="V10" s="168">
        <v>22</v>
      </c>
      <c r="W10" s="169">
        <v>32</v>
      </c>
      <c r="X10" s="168">
        <v>0</v>
      </c>
      <c r="Y10" s="168">
        <v>0</v>
      </c>
      <c r="Z10" s="169">
        <v>0</v>
      </c>
      <c r="AA10" s="170">
        <v>17663</v>
      </c>
      <c r="AB10" s="170">
        <v>12596</v>
      </c>
      <c r="AC10" s="643">
        <v>30259</v>
      </c>
    </row>
    <row r="11" spans="1:29" s="163" customFormat="1" ht="20.25" customHeight="1">
      <c r="A11" s="166">
        <v>7</v>
      </c>
      <c r="B11" s="171" t="s">
        <v>20</v>
      </c>
      <c r="C11" s="168">
        <v>0</v>
      </c>
      <c r="D11" s="168">
        <v>0</v>
      </c>
      <c r="E11" s="169">
        <v>0</v>
      </c>
      <c r="F11" s="168">
        <v>0</v>
      </c>
      <c r="G11" s="168">
        <v>0</v>
      </c>
      <c r="H11" s="170">
        <v>0</v>
      </c>
      <c r="I11" s="168">
        <v>7097</v>
      </c>
      <c r="J11" s="168">
        <v>5921</v>
      </c>
      <c r="K11" s="169">
        <v>13018</v>
      </c>
      <c r="L11" s="168">
        <v>13901</v>
      </c>
      <c r="M11" s="168">
        <v>8442</v>
      </c>
      <c r="N11" s="169">
        <v>22343</v>
      </c>
      <c r="O11" s="168">
        <v>9314</v>
      </c>
      <c r="P11" s="168">
        <v>9297</v>
      </c>
      <c r="Q11" s="169">
        <v>18611</v>
      </c>
      <c r="R11" s="168">
        <v>16164</v>
      </c>
      <c r="S11" s="168">
        <v>12224</v>
      </c>
      <c r="T11" s="169">
        <v>28388</v>
      </c>
      <c r="U11" s="168">
        <v>0</v>
      </c>
      <c r="V11" s="168">
        <v>0</v>
      </c>
      <c r="W11" s="169">
        <v>0</v>
      </c>
      <c r="X11" s="168">
        <v>0</v>
      </c>
      <c r="Y11" s="168">
        <v>0</v>
      </c>
      <c r="Z11" s="169">
        <v>0</v>
      </c>
      <c r="AA11" s="170">
        <v>46476</v>
      </c>
      <c r="AB11" s="170">
        <v>35884</v>
      </c>
      <c r="AC11" s="643">
        <v>82360</v>
      </c>
    </row>
    <row r="12" spans="1:29" s="163" customFormat="1" ht="20.25" customHeight="1">
      <c r="A12" s="166">
        <v>8</v>
      </c>
      <c r="B12" s="171" t="s">
        <v>155</v>
      </c>
      <c r="C12" s="168">
        <v>0</v>
      </c>
      <c r="D12" s="168">
        <v>0</v>
      </c>
      <c r="E12" s="169">
        <v>0</v>
      </c>
      <c r="F12" s="168">
        <v>0</v>
      </c>
      <c r="G12" s="168">
        <v>0</v>
      </c>
      <c r="H12" s="170">
        <v>0</v>
      </c>
      <c r="I12" s="168">
        <v>0</v>
      </c>
      <c r="J12" s="168">
        <v>0</v>
      </c>
      <c r="K12" s="169">
        <v>0</v>
      </c>
      <c r="L12" s="168">
        <v>0</v>
      </c>
      <c r="M12" s="168">
        <v>0</v>
      </c>
      <c r="N12" s="169">
        <v>0</v>
      </c>
      <c r="O12" s="168">
        <v>0</v>
      </c>
      <c r="P12" s="168">
        <v>0</v>
      </c>
      <c r="Q12" s="169">
        <v>0</v>
      </c>
      <c r="R12" s="168">
        <v>0</v>
      </c>
      <c r="S12" s="168">
        <v>0</v>
      </c>
      <c r="T12" s="169">
        <v>0</v>
      </c>
      <c r="U12" s="168">
        <v>0</v>
      </c>
      <c r="V12" s="168">
        <v>0</v>
      </c>
      <c r="W12" s="169">
        <v>0</v>
      </c>
      <c r="X12" s="168">
        <v>0</v>
      </c>
      <c r="Y12" s="168">
        <v>0</v>
      </c>
      <c r="Z12" s="169">
        <v>0</v>
      </c>
      <c r="AA12" s="170">
        <v>0</v>
      </c>
      <c r="AB12" s="170">
        <v>0</v>
      </c>
      <c r="AC12" s="643">
        <v>0</v>
      </c>
    </row>
    <row r="13" spans="1:29" s="163" customFormat="1" ht="20.25" customHeight="1">
      <c r="A13" s="166">
        <v>9</v>
      </c>
      <c r="B13" s="171" t="s">
        <v>156</v>
      </c>
      <c r="C13" s="168">
        <v>0</v>
      </c>
      <c r="D13" s="168">
        <v>0</v>
      </c>
      <c r="E13" s="169">
        <v>0</v>
      </c>
      <c r="F13" s="168">
        <v>0</v>
      </c>
      <c r="G13" s="168">
        <v>0</v>
      </c>
      <c r="H13" s="170">
        <v>0</v>
      </c>
      <c r="I13" s="168">
        <v>0</v>
      </c>
      <c r="J13" s="168">
        <v>0</v>
      </c>
      <c r="K13" s="169">
        <v>0</v>
      </c>
      <c r="L13" s="168">
        <v>0</v>
      </c>
      <c r="M13" s="168">
        <v>0</v>
      </c>
      <c r="N13" s="169">
        <v>0</v>
      </c>
      <c r="O13" s="168">
        <v>0</v>
      </c>
      <c r="P13" s="168">
        <v>0</v>
      </c>
      <c r="Q13" s="169">
        <v>0</v>
      </c>
      <c r="R13" s="168">
        <v>0</v>
      </c>
      <c r="S13" s="168">
        <v>0</v>
      </c>
      <c r="T13" s="169">
        <v>0</v>
      </c>
      <c r="U13" s="168">
        <v>0</v>
      </c>
      <c r="V13" s="168">
        <v>0</v>
      </c>
      <c r="W13" s="169">
        <v>0</v>
      </c>
      <c r="X13" s="168">
        <v>0</v>
      </c>
      <c r="Y13" s="168">
        <v>0</v>
      </c>
      <c r="Z13" s="169">
        <v>0</v>
      </c>
      <c r="AA13" s="170">
        <v>0</v>
      </c>
      <c r="AB13" s="170">
        <v>0</v>
      </c>
      <c r="AC13" s="643">
        <v>0</v>
      </c>
    </row>
    <row r="14" spans="1:29" s="163" customFormat="1" ht="20.25" customHeight="1">
      <c r="A14" s="166">
        <v>10</v>
      </c>
      <c r="B14" s="171" t="s">
        <v>23</v>
      </c>
      <c r="C14" s="168">
        <v>0</v>
      </c>
      <c r="D14" s="168">
        <v>0</v>
      </c>
      <c r="E14" s="169">
        <v>0</v>
      </c>
      <c r="F14" s="168">
        <v>0</v>
      </c>
      <c r="G14" s="168">
        <v>0</v>
      </c>
      <c r="H14" s="170">
        <v>0</v>
      </c>
      <c r="I14" s="168">
        <v>47099</v>
      </c>
      <c r="J14" s="168">
        <v>79637</v>
      </c>
      <c r="K14" s="169">
        <v>126736</v>
      </c>
      <c r="L14" s="168">
        <v>304606</v>
      </c>
      <c r="M14" s="168">
        <v>240686</v>
      </c>
      <c r="N14" s="169">
        <v>545292</v>
      </c>
      <c r="O14" s="168">
        <v>3362</v>
      </c>
      <c r="P14" s="168">
        <v>2543</v>
      </c>
      <c r="Q14" s="169">
        <v>5905</v>
      </c>
      <c r="R14" s="168">
        <v>1111</v>
      </c>
      <c r="S14" s="168">
        <v>2090</v>
      </c>
      <c r="T14" s="169">
        <v>3201</v>
      </c>
      <c r="U14" s="168">
        <v>127</v>
      </c>
      <c r="V14" s="168">
        <v>57</v>
      </c>
      <c r="W14" s="169">
        <v>184</v>
      </c>
      <c r="X14" s="168">
        <v>0</v>
      </c>
      <c r="Y14" s="168">
        <v>0</v>
      </c>
      <c r="Z14" s="169">
        <v>0</v>
      </c>
      <c r="AA14" s="170">
        <v>356305</v>
      </c>
      <c r="AB14" s="170">
        <v>325013</v>
      </c>
      <c r="AC14" s="643">
        <v>681318</v>
      </c>
    </row>
    <row r="15" spans="1:29" s="163" customFormat="1" ht="20.25" customHeight="1">
      <c r="A15" s="166">
        <v>11</v>
      </c>
      <c r="B15" s="171" t="s">
        <v>24</v>
      </c>
      <c r="C15" s="168">
        <v>0</v>
      </c>
      <c r="D15" s="168">
        <v>0</v>
      </c>
      <c r="E15" s="169">
        <v>0</v>
      </c>
      <c r="F15" s="168">
        <v>0</v>
      </c>
      <c r="G15" s="168">
        <v>0</v>
      </c>
      <c r="H15" s="170">
        <v>0</v>
      </c>
      <c r="I15" s="168">
        <v>735</v>
      </c>
      <c r="J15" s="168">
        <v>1044</v>
      </c>
      <c r="K15" s="169">
        <v>1779</v>
      </c>
      <c r="L15" s="168">
        <v>1902</v>
      </c>
      <c r="M15" s="168">
        <v>1028</v>
      </c>
      <c r="N15" s="169">
        <v>2930</v>
      </c>
      <c r="O15" s="168">
        <v>66</v>
      </c>
      <c r="P15" s="168">
        <v>55</v>
      </c>
      <c r="Q15" s="169">
        <v>121</v>
      </c>
      <c r="R15" s="168">
        <v>27</v>
      </c>
      <c r="S15" s="168">
        <v>58</v>
      </c>
      <c r="T15" s="169">
        <v>85</v>
      </c>
      <c r="U15" s="168">
        <v>0</v>
      </c>
      <c r="V15" s="168">
        <v>0</v>
      </c>
      <c r="W15" s="169">
        <v>0</v>
      </c>
      <c r="X15" s="168">
        <v>0</v>
      </c>
      <c r="Y15" s="168">
        <v>0</v>
      </c>
      <c r="Z15" s="169">
        <v>0</v>
      </c>
      <c r="AA15" s="170">
        <v>2730</v>
      </c>
      <c r="AB15" s="170">
        <v>2185</v>
      </c>
      <c r="AC15" s="643">
        <v>4915</v>
      </c>
    </row>
    <row r="16" spans="1:29" s="163" customFormat="1" ht="20.25" customHeight="1">
      <c r="A16" s="166">
        <v>12</v>
      </c>
      <c r="B16" s="171" t="s">
        <v>25</v>
      </c>
      <c r="C16" s="168">
        <v>0</v>
      </c>
      <c r="D16" s="168">
        <v>0</v>
      </c>
      <c r="E16" s="169">
        <v>0</v>
      </c>
      <c r="F16" s="168">
        <v>0</v>
      </c>
      <c r="G16" s="168">
        <v>0</v>
      </c>
      <c r="H16" s="170">
        <v>0</v>
      </c>
      <c r="I16" s="168">
        <v>4904</v>
      </c>
      <c r="J16" s="168">
        <v>6241</v>
      </c>
      <c r="K16" s="169">
        <v>11145</v>
      </c>
      <c r="L16" s="168">
        <v>28324</v>
      </c>
      <c r="M16" s="168">
        <v>16967</v>
      </c>
      <c r="N16" s="169">
        <v>45291</v>
      </c>
      <c r="O16" s="168">
        <v>725</v>
      </c>
      <c r="P16" s="168">
        <v>447</v>
      </c>
      <c r="Q16" s="169">
        <v>1172</v>
      </c>
      <c r="R16" s="168">
        <v>206</v>
      </c>
      <c r="S16" s="168">
        <v>715</v>
      </c>
      <c r="T16" s="169">
        <v>921</v>
      </c>
      <c r="U16" s="168">
        <v>1821</v>
      </c>
      <c r="V16" s="168">
        <v>2761</v>
      </c>
      <c r="W16" s="169">
        <v>4582</v>
      </c>
      <c r="X16" s="168">
        <v>0</v>
      </c>
      <c r="Y16" s="168">
        <v>0</v>
      </c>
      <c r="Z16" s="169">
        <v>0</v>
      </c>
      <c r="AA16" s="170">
        <v>35980</v>
      </c>
      <c r="AB16" s="170">
        <v>27131</v>
      </c>
      <c r="AC16" s="643">
        <v>63111</v>
      </c>
    </row>
    <row r="17" spans="1:29" s="163" customFormat="1" ht="20.25" customHeight="1">
      <c r="A17" s="166">
        <v>13</v>
      </c>
      <c r="B17" s="171" t="s">
        <v>26</v>
      </c>
      <c r="C17" s="168">
        <v>0</v>
      </c>
      <c r="D17" s="168">
        <v>0</v>
      </c>
      <c r="E17" s="169">
        <v>0</v>
      </c>
      <c r="F17" s="168">
        <v>0</v>
      </c>
      <c r="G17" s="168">
        <v>0</v>
      </c>
      <c r="H17" s="170">
        <v>0</v>
      </c>
      <c r="I17" s="168">
        <v>13259</v>
      </c>
      <c r="J17" s="168">
        <v>17259</v>
      </c>
      <c r="K17" s="169">
        <v>30518</v>
      </c>
      <c r="L17" s="168">
        <v>71395</v>
      </c>
      <c r="M17" s="168">
        <v>34615</v>
      </c>
      <c r="N17" s="169">
        <v>106010</v>
      </c>
      <c r="O17" s="168">
        <v>687</v>
      </c>
      <c r="P17" s="168">
        <v>312</v>
      </c>
      <c r="Q17" s="169">
        <v>999</v>
      </c>
      <c r="R17" s="168">
        <v>438</v>
      </c>
      <c r="S17" s="168">
        <v>284</v>
      </c>
      <c r="T17" s="169">
        <v>722</v>
      </c>
      <c r="U17" s="168">
        <v>0</v>
      </c>
      <c r="V17" s="168">
        <v>0</v>
      </c>
      <c r="W17" s="169">
        <v>0</v>
      </c>
      <c r="X17" s="168">
        <v>588</v>
      </c>
      <c r="Y17" s="168">
        <v>2848</v>
      </c>
      <c r="Z17" s="169">
        <v>3436</v>
      </c>
      <c r="AA17" s="170">
        <v>86367</v>
      </c>
      <c r="AB17" s="170">
        <v>55318</v>
      </c>
      <c r="AC17" s="643">
        <v>141685</v>
      </c>
    </row>
    <row r="18" spans="1:29" s="163" customFormat="1" ht="20.25" customHeight="1">
      <c r="A18" s="166">
        <v>14</v>
      </c>
      <c r="B18" s="171" t="s">
        <v>27</v>
      </c>
      <c r="C18" s="168">
        <v>0</v>
      </c>
      <c r="D18" s="168">
        <v>0</v>
      </c>
      <c r="E18" s="169">
        <v>0</v>
      </c>
      <c r="F18" s="168">
        <v>0</v>
      </c>
      <c r="G18" s="168">
        <v>0</v>
      </c>
      <c r="H18" s="170">
        <v>0</v>
      </c>
      <c r="I18" s="168">
        <v>4808</v>
      </c>
      <c r="J18" s="168">
        <v>5151</v>
      </c>
      <c r="K18" s="169">
        <v>9959</v>
      </c>
      <c r="L18" s="168">
        <v>18674</v>
      </c>
      <c r="M18" s="168">
        <v>15745</v>
      </c>
      <c r="N18" s="169">
        <v>34419</v>
      </c>
      <c r="O18" s="168">
        <v>695</v>
      </c>
      <c r="P18" s="168">
        <v>558</v>
      </c>
      <c r="Q18" s="169">
        <v>1253</v>
      </c>
      <c r="R18" s="168">
        <v>66</v>
      </c>
      <c r="S18" s="168">
        <v>445</v>
      </c>
      <c r="T18" s="169">
        <v>511</v>
      </c>
      <c r="U18" s="168">
        <v>1</v>
      </c>
      <c r="V18" s="168">
        <v>1</v>
      </c>
      <c r="W18" s="169">
        <v>2</v>
      </c>
      <c r="X18" s="168">
        <v>0</v>
      </c>
      <c r="Y18" s="168">
        <v>0</v>
      </c>
      <c r="Z18" s="169">
        <v>0</v>
      </c>
      <c r="AA18" s="170">
        <v>24244</v>
      </c>
      <c r="AB18" s="170">
        <v>21900</v>
      </c>
      <c r="AC18" s="643">
        <v>46144</v>
      </c>
    </row>
    <row r="19" spans="1:29" s="163" customFormat="1" ht="20.25" customHeight="1">
      <c r="A19" s="166">
        <v>15</v>
      </c>
      <c r="B19" s="171" t="s">
        <v>57</v>
      </c>
      <c r="C19" s="168">
        <v>0</v>
      </c>
      <c r="D19" s="168">
        <v>0</v>
      </c>
      <c r="E19" s="169">
        <v>0</v>
      </c>
      <c r="F19" s="168">
        <v>0</v>
      </c>
      <c r="G19" s="168">
        <v>0</v>
      </c>
      <c r="H19" s="170">
        <v>0</v>
      </c>
      <c r="I19" s="168">
        <v>19261</v>
      </c>
      <c r="J19" s="168">
        <v>25203</v>
      </c>
      <c r="K19" s="169">
        <v>44464</v>
      </c>
      <c r="L19" s="168">
        <v>42536</v>
      </c>
      <c r="M19" s="168">
        <v>28782</v>
      </c>
      <c r="N19" s="169">
        <v>71318</v>
      </c>
      <c r="O19" s="168">
        <v>711</v>
      </c>
      <c r="P19" s="168">
        <v>475</v>
      </c>
      <c r="Q19" s="169">
        <v>1186</v>
      </c>
      <c r="R19" s="168">
        <v>314</v>
      </c>
      <c r="S19" s="168">
        <v>441</v>
      </c>
      <c r="T19" s="169">
        <v>755</v>
      </c>
      <c r="U19" s="168">
        <v>6</v>
      </c>
      <c r="V19" s="168">
        <v>4</v>
      </c>
      <c r="W19" s="169">
        <v>10</v>
      </c>
      <c r="X19" s="168">
        <v>0</v>
      </c>
      <c r="Y19" s="168">
        <v>0</v>
      </c>
      <c r="Z19" s="169">
        <v>0</v>
      </c>
      <c r="AA19" s="170">
        <v>62828</v>
      </c>
      <c r="AB19" s="170">
        <v>54905</v>
      </c>
      <c r="AC19" s="643">
        <v>117733</v>
      </c>
    </row>
    <row r="20" spans="1:29" s="163" customFormat="1" ht="20.25" customHeight="1">
      <c r="A20" s="166">
        <v>16</v>
      </c>
      <c r="B20" s="171" t="s">
        <v>29</v>
      </c>
      <c r="C20" s="168">
        <v>0</v>
      </c>
      <c r="D20" s="168">
        <v>0</v>
      </c>
      <c r="E20" s="169">
        <v>0</v>
      </c>
      <c r="F20" s="168">
        <v>0</v>
      </c>
      <c r="G20" s="168">
        <v>0</v>
      </c>
      <c r="H20" s="170">
        <v>0</v>
      </c>
      <c r="I20" s="168">
        <v>10661</v>
      </c>
      <c r="J20" s="168">
        <v>15670</v>
      </c>
      <c r="K20" s="169">
        <v>26331</v>
      </c>
      <c r="L20" s="168">
        <v>30301</v>
      </c>
      <c r="M20" s="168">
        <v>14878</v>
      </c>
      <c r="N20" s="169">
        <v>45179</v>
      </c>
      <c r="O20" s="168">
        <v>1545</v>
      </c>
      <c r="P20" s="168">
        <v>733</v>
      </c>
      <c r="Q20" s="169">
        <v>2278</v>
      </c>
      <c r="R20" s="168">
        <v>140</v>
      </c>
      <c r="S20" s="168">
        <v>499</v>
      </c>
      <c r="T20" s="169">
        <v>639</v>
      </c>
      <c r="U20" s="168">
        <v>0</v>
      </c>
      <c r="V20" s="168">
        <v>0</v>
      </c>
      <c r="W20" s="169">
        <v>0</v>
      </c>
      <c r="X20" s="168">
        <v>0</v>
      </c>
      <c r="Y20" s="168">
        <v>0</v>
      </c>
      <c r="Z20" s="169">
        <v>0</v>
      </c>
      <c r="AA20" s="170">
        <v>42647</v>
      </c>
      <c r="AB20" s="170">
        <v>31780</v>
      </c>
      <c r="AC20" s="643">
        <v>74427</v>
      </c>
    </row>
    <row r="21" spans="1:29" s="163" customFormat="1" ht="20.25" customHeight="1">
      <c r="A21" s="166">
        <v>17</v>
      </c>
      <c r="B21" s="171" t="s">
        <v>30</v>
      </c>
      <c r="C21" s="168">
        <v>0</v>
      </c>
      <c r="D21" s="168">
        <v>0</v>
      </c>
      <c r="E21" s="169">
        <v>0</v>
      </c>
      <c r="F21" s="168">
        <v>0</v>
      </c>
      <c r="G21" s="168">
        <v>0</v>
      </c>
      <c r="H21" s="170">
        <v>0</v>
      </c>
      <c r="I21" s="168">
        <v>18751</v>
      </c>
      <c r="J21" s="168">
        <v>22584</v>
      </c>
      <c r="K21" s="169">
        <v>41335</v>
      </c>
      <c r="L21" s="168">
        <v>20320</v>
      </c>
      <c r="M21" s="168">
        <v>18802</v>
      </c>
      <c r="N21" s="169">
        <v>39122</v>
      </c>
      <c r="O21" s="168">
        <v>2568</v>
      </c>
      <c r="P21" s="168">
        <v>1654</v>
      </c>
      <c r="Q21" s="169">
        <v>4222</v>
      </c>
      <c r="R21" s="168">
        <v>589</v>
      </c>
      <c r="S21" s="168">
        <v>563</v>
      </c>
      <c r="T21" s="169">
        <v>1152</v>
      </c>
      <c r="U21" s="168">
        <v>34</v>
      </c>
      <c r="V21" s="168">
        <v>25</v>
      </c>
      <c r="W21" s="169">
        <v>59</v>
      </c>
      <c r="X21" s="168">
        <v>0</v>
      </c>
      <c r="Y21" s="168">
        <v>0</v>
      </c>
      <c r="Z21" s="169">
        <v>0</v>
      </c>
      <c r="AA21" s="170">
        <v>42262</v>
      </c>
      <c r="AB21" s="170">
        <v>43628</v>
      </c>
      <c r="AC21" s="643">
        <v>85890</v>
      </c>
    </row>
    <row r="22" spans="1:29" s="163" customFormat="1" ht="20.25" customHeight="1">
      <c r="A22" s="166">
        <v>18</v>
      </c>
      <c r="B22" s="171" t="s">
        <v>31</v>
      </c>
      <c r="C22" s="168">
        <v>0</v>
      </c>
      <c r="D22" s="168">
        <v>0</v>
      </c>
      <c r="E22" s="169">
        <v>0</v>
      </c>
      <c r="F22" s="168">
        <v>0</v>
      </c>
      <c r="G22" s="168">
        <v>0</v>
      </c>
      <c r="H22" s="170">
        <v>0</v>
      </c>
      <c r="I22" s="168">
        <v>18943</v>
      </c>
      <c r="J22" s="168">
        <v>28415</v>
      </c>
      <c r="K22" s="169">
        <v>47358</v>
      </c>
      <c r="L22" s="168">
        <v>105542</v>
      </c>
      <c r="M22" s="168">
        <v>98982</v>
      </c>
      <c r="N22" s="169">
        <v>204524</v>
      </c>
      <c r="O22" s="168">
        <v>870</v>
      </c>
      <c r="P22" s="168">
        <v>754</v>
      </c>
      <c r="Q22" s="169">
        <v>1624</v>
      </c>
      <c r="R22" s="168">
        <v>155</v>
      </c>
      <c r="S22" s="168">
        <v>332</v>
      </c>
      <c r="T22" s="169">
        <v>487</v>
      </c>
      <c r="U22" s="168">
        <v>528</v>
      </c>
      <c r="V22" s="168">
        <v>1855</v>
      </c>
      <c r="W22" s="169">
        <v>2383</v>
      </c>
      <c r="X22" s="168">
        <v>0</v>
      </c>
      <c r="Y22" s="168">
        <v>0</v>
      </c>
      <c r="Z22" s="169">
        <v>0</v>
      </c>
      <c r="AA22" s="170">
        <v>126038</v>
      </c>
      <c r="AB22" s="170">
        <v>130338</v>
      </c>
      <c r="AC22" s="643">
        <v>256376</v>
      </c>
    </row>
    <row r="23" spans="1:29" s="163" customFormat="1" ht="20.25" customHeight="1">
      <c r="A23" s="166">
        <v>19</v>
      </c>
      <c r="B23" s="137" t="s">
        <v>761</v>
      </c>
      <c r="C23" s="168">
        <v>0</v>
      </c>
      <c r="D23" s="168">
        <v>0</v>
      </c>
      <c r="E23" s="169">
        <v>0</v>
      </c>
      <c r="F23" s="168">
        <v>0</v>
      </c>
      <c r="G23" s="168">
        <v>0</v>
      </c>
      <c r="H23" s="170">
        <v>0</v>
      </c>
      <c r="I23" s="168">
        <v>0</v>
      </c>
      <c r="J23" s="168">
        <v>0</v>
      </c>
      <c r="K23" s="169">
        <v>0</v>
      </c>
      <c r="L23" s="168">
        <v>0</v>
      </c>
      <c r="M23" s="168">
        <v>0</v>
      </c>
      <c r="N23" s="169">
        <v>0</v>
      </c>
      <c r="O23" s="168">
        <v>0</v>
      </c>
      <c r="P23" s="168">
        <v>0</v>
      </c>
      <c r="Q23" s="169">
        <v>0</v>
      </c>
      <c r="R23" s="168">
        <v>0</v>
      </c>
      <c r="S23" s="168">
        <v>0</v>
      </c>
      <c r="T23" s="169">
        <v>0</v>
      </c>
      <c r="U23" s="168">
        <v>0</v>
      </c>
      <c r="V23" s="168">
        <v>0</v>
      </c>
      <c r="W23" s="169">
        <v>0</v>
      </c>
      <c r="X23" s="168">
        <v>0</v>
      </c>
      <c r="Y23" s="168">
        <v>0</v>
      </c>
      <c r="Z23" s="169">
        <v>0</v>
      </c>
      <c r="AA23" s="170">
        <v>0</v>
      </c>
      <c r="AB23" s="170">
        <v>0</v>
      </c>
      <c r="AC23" s="643">
        <v>0</v>
      </c>
    </row>
    <row r="24" spans="1:29" s="163" customFormat="1" ht="20.25" customHeight="1">
      <c r="A24" s="166">
        <v>20</v>
      </c>
      <c r="B24" s="171" t="s">
        <v>32</v>
      </c>
      <c r="C24" s="168">
        <v>0</v>
      </c>
      <c r="D24" s="168">
        <v>0</v>
      </c>
      <c r="E24" s="169">
        <v>0</v>
      </c>
      <c r="F24" s="168">
        <v>0</v>
      </c>
      <c r="G24" s="168">
        <v>0</v>
      </c>
      <c r="H24" s="170">
        <v>0</v>
      </c>
      <c r="I24" s="168">
        <v>0</v>
      </c>
      <c r="J24" s="168">
        <v>0</v>
      </c>
      <c r="K24" s="169">
        <v>0</v>
      </c>
      <c r="L24" s="168">
        <v>0</v>
      </c>
      <c r="M24" s="168">
        <v>0</v>
      </c>
      <c r="N24" s="169">
        <v>0</v>
      </c>
      <c r="O24" s="168">
        <v>0</v>
      </c>
      <c r="P24" s="168">
        <v>0</v>
      </c>
      <c r="Q24" s="169">
        <v>0</v>
      </c>
      <c r="R24" s="168">
        <v>0</v>
      </c>
      <c r="S24" s="168">
        <v>0</v>
      </c>
      <c r="T24" s="169">
        <v>0</v>
      </c>
      <c r="U24" s="168">
        <v>0</v>
      </c>
      <c r="V24" s="168">
        <v>0</v>
      </c>
      <c r="W24" s="169">
        <v>0</v>
      </c>
      <c r="X24" s="168">
        <v>0</v>
      </c>
      <c r="Y24" s="168">
        <v>0</v>
      </c>
      <c r="Z24" s="169">
        <v>0</v>
      </c>
      <c r="AA24" s="170">
        <v>0</v>
      </c>
      <c r="AB24" s="170">
        <v>0</v>
      </c>
      <c r="AC24" s="643">
        <v>0</v>
      </c>
    </row>
    <row r="25" spans="1:29" s="163" customFormat="1" ht="20.25" customHeight="1">
      <c r="A25" s="166">
        <v>21</v>
      </c>
      <c r="B25" s="171" t="s">
        <v>33</v>
      </c>
      <c r="C25" s="168">
        <v>0</v>
      </c>
      <c r="D25" s="168">
        <v>0</v>
      </c>
      <c r="E25" s="169">
        <v>0</v>
      </c>
      <c r="F25" s="168">
        <v>0</v>
      </c>
      <c r="G25" s="168">
        <v>0</v>
      </c>
      <c r="H25" s="170">
        <v>0</v>
      </c>
      <c r="I25" s="168">
        <v>9288</v>
      </c>
      <c r="J25" s="168">
        <v>8539</v>
      </c>
      <c r="K25" s="169">
        <v>17827</v>
      </c>
      <c r="L25" s="168">
        <v>83405</v>
      </c>
      <c r="M25" s="168">
        <v>48711</v>
      </c>
      <c r="N25" s="169">
        <v>132116</v>
      </c>
      <c r="O25" s="168">
        <v>1417</v>
      </c>
      <c r="P25" s="168">
        <v>998</v>
      </c>
      <c r="Q25" s="169">
        <v>2415</v>
      </c>
      <c r="R25" s="168">
        <v>1334</v>
      </c>
      <c r="S25" s="168">
        <v>1398</v>
      </c>
      <c r="T25" s="169">
        <v>2732</v>
      </c>
      <c r="U25" s="168">
        <v>1021</v>
      </c>
      <c r="V25" s="168">
        <v>174</v>
      </c>
      <c r="W25" s="169">
        <v>1195</v>
      </c>
      <c r="X25" s="168">
        <v>0</v>
      </c>
      <c r="Y25" s="168">
        <v>0</v>
      </c>
      <c r="Z25" s="169">
        <v>0</v>
      </c>
      <c r="AA25" s="170">
        <v>96465</v>
      </c>
      <c r="AB25" s="170">
        <v>59820</v>
      </c>
      <c r="AC25" s="643">
        <v>156285</v>
      </c>
    </row>
    <row r="26" spans="1:29" s="163" customFormat="1" ht="20.25" customHeight="1">
      <c r="A26" s="166">
        <v>22</v>
      </c>
      <c r="B26" s="171" t="s">
        <v>34</v>
      </c>
      <c r="C26" s="168">
        <v>0</v>
      </c>
      <c r="D26" s="168">
        <v>0</v>
      </c>
      <c r="E26" s="169">
        <v>0</v>
      </c>
      <c r="F26" s="168">
        <v>0</v>
      </c>
      <c r="G26" s="168">
        <v>0</v>
      </c>
      <c r="H26" s="170">
        <v>0</v>
      </c>
      <c r="I26" s="168">
        <v>40927</v>
      </c>
      <c r="J26" s="168">
        <v>37273</v>
      </c>
      <c r="K26" s="169">
        <v>78200</v>
      </c>
      <c r="L26" s="168">
        <v>362058</v>
      </c>
      <c r="M26" s="168">
        <v>185071</v>
      </c>
      <c r="N26" s="169">
        <v>547129</v>
      </c>
      <c r="O26" s="168">
        <v>4166</v>
      </c>
      <c r="P26" s="168">
        <v>2968</v>
      </c>
      <c r="Q26" s="169">
        <v>7134</v>
      </c>
      <c r="R26" s="168">
        <v>17569</v>
      </c>
      <c r="S26" s="168">
        <v>10537</v>
      </c>
      <c r="T26" s="169">
        <v>28106</v>
      </c>
      <c r="U26" s="168">
        <v>3735</v>
      </c>
      <c r="V26" s="168">
        <v>1497</v>
      </c>
      <c r="W26" s="169">
        <v>5232</v>
      </c>
      <c r="X26" s="168">
        <v>0</v>
      </c>
      <c r="Y26" s="168">
        <v>0</v>
      </c>
      <c r="Z26" s="169">
        <v>0</v>
      </c>
      <c r="AA26" s="170">
        <v>428455</v>
      </c>
      <c r="AB26" s="170">
        <v>237346</v>
      </c>
      <c r="AC26" s="643">
        <v>665801</v>
      </c>
    </row>
    <row r="27" spans="1:29" s="163" customFormat="1" ht="20.25" customHeight="1">
      <c r="A27" s="166">
        <v>23</v>
      </c>
      <c r="B27" s="171" t="s">
        <v>35</v>
      </c>
      <c r="C27" s="168">
        <v>0</v>
      </c>
      <c r="D27" s="168">
        <v>0</v>
      </c>
      <c r="E27" s="169">
        <v>0</v>
      </c>
      <c r="F27" s="168">
        <v>0</v>
      </c>
      <c r="G27" s="168">
        <v>0</v>
      </c>
      <c r="H27" s="170">
        <v>0</v>
      </c>
      <c r="I27" s="168">
        <v>1945</v>
      </c>
      <c r="J27" s="168">
        <v>1813</v>
      </c>
      <c r="K27" s="169">
        <v>3758</v>
      </c>
      <c r="L27" s="168">
        <v>1283</v>
      </c>
      <c r="M27" s="168">
        <v>795</v>
      </c>
      <c r="N27" s="169">
        <v>2078</v>
      </c>
      <c r="O27" s="168">
        <v>43</v>
      </c>
      <c r="P27" s="168">
        <v>11</v>
      </c>
      <c r="Q27" s="169">
        <v>54</v>
      </c>
      <c r="R27" s="168">
        <v>7</v>
      </c>
      <c r="S27" s="168">
        <v>12</v>
      </c>
      <c r="T27" s="169">
        <v>19</v>
      </c>
      <c r="U27" s="168">
        <v>22</v>
      </c>
      <c r="V27" s="168">
        <v>15</v>
      </c>
      <c r="W27" s="169">
        <v>37</v>
      </c>
      <c r="X27" s="168">
        <v>0</v>
      </c>
      <c r="Y27" s="168">
        <v>0</v>
      </c>
      <c r="Z27" s="169">
        <v>0</v>
      </c>
      <c r="AA27" s="170">
        <v>3300</v>
      </c>
      <c r="AB27" s="170">
        <v>2646</v>
      </c>
      <c r="AC27" s="643">
        <v>5946</v>
      </c>
    </row>
    <row r="28" spans="1:29" s="163" customFormat="1" ht="20.25" customHeight="1">
      <c r="A28" s="166">
        <v>24</v>
      </c>
      <c r="B28" s="171" t="s">
        <v>36</v>
      </c>
      <c r="C28" s="168">
        <v>0</v>
      </c>
      <c r="D28" s="168">
        <v>0</v>
      </c>
      <c r="E28" s="169">
        <v>0</v>
      </c>
      <c r="F28" s="168">
        <v>0</v>
      </c>
      <c r="G28" s="168">
        <v>0</v>
      </c>
      <c r="H28" s="170">
        <v>0</v>
      </c>
      <c r="I28" s="168">
        <v>1167</v>
      </c>
      <c r="J28" s="168">
        <v>1835</v>
      </c>
      <c r="K28" s="169">
        <v>3002</v>
      </c>
      <c r="L28" s="168">
        <v>1746</v>
      </c>
      <c r="M28" s="168">
        <v>2087</v>
      </c>
      <c r="N28" s="169">
        <v>3833</v>
      </c>
      <c r="O28" s="168">
        <v>82</v>
      </c>
      <c r="P28" s="168">
        <v>33</v>
      </c>
      <c r="Q28" s="169">
        <v>115</v>
      </c>
      <c r="R28" s="168">
        <v>7</v>
      </c>
      <c r="S28" s="168">
        <v>29</v>
      </c>
      <c r="T28" s="169">
        <v>36</v>
      </c>
      <c r="U28" s="168">
        <v>1</v>
      </c>
      <c r="V28" s="168">
        <v>1</v>
      </c>
      <c r="W28" s="169">
        <v>2</v>
      </c>
      <c r="X28" s="168">
        <v>0</v>
      </c>
      <c r="Y28" s="168">
        <v>0</v>
      </c>
      <c r="Z28" s="169">
        <v>0</v>
      </c>
      <c r="AA28" s="170">
        <v>3003</v>
      </c>
      <c r="AB28" s="170">
        <v>3985</v>
      </c>
      <c r="AC28" s="643">
        <v>6988</v>
      </c>
    </row>
    <row r="29" spans="1:29" s="163" customFormat="1" ht="20.25" customHeight="1">
      <c r="A29" s="166">
        <v>25</v>
      </c>
      <c r="B29" s="171" t="s">
        <v>37</v>
      </c>
      <c r="C29" s="168">
        <v>0</v>
      </c>
      <c r="D29" s="168">
        <v>0</v>
      </c>
      <c r="E29" s="169">
        <v>0</v>
      </c>
      <c r="F29" s="168">
        <v>0</v>
      </c>
      <c r="G29" s="168">
        <v>0</v>
      </c>
      <c r="H29" s="170">
        <v>0</v>
      </c>
      <c r="I29" s="168">
        <v>839</v>
      </c>
      <c r="J29" s="168">
        <v>1066</v>
      </c>
      <c r="K29" s="169">
        <v>1905</v>
      </c>
      <c r="L29" s="168">
        <v>2565</v>
      </c>
      <c r="M29" s="168">
        <v>2442</v>
      </c>
      <c r="N29" s="169">
        <v>5007</v>
      </c>
      <c r="O29" s="168">
        <v>90</v>
      </c>
      <c r="P29" s="168">
        <v>113</v>
      </c>
      <c r="Q29" s="169">
        <v>203</v>
      </c>
      <c r="R29" s="168">
        <v>27</v>
      </c>
      <c r="S29" s="168">
        <v>72</v>
      </c>
      <c r="T29" s="169">
        <v>99</v>
      </c>
      <c r="U29" s="168">
        <v>0</v>
      </c>
      <c r="V29" s="168">
        <v>0</v>
      </c>
      <c r="W29" s="169">
        <v>0</v>
      </c>
      <c r="X29" s="168">
        <v>0</v>
      </c>
      <c r="Y29" s="168">
        <v>0</v>
      </c>
      <c r="Z29" s="169">
        <v>0</v>
      </c>
      <c r="AA29" s="170">
        <v>3521</v>
      </c>
      <c r="AB29" s="170">
        <v>3693</v>
      </c>
      <c r="AC29" s="643">
        <v>7214</v>
      </c>
    </row>
    <row r="30" spans="1:29" s="163" customFormat="1" ht="20.25" customHeight="1">
      <c r="A30" s="166">
        <v>26</v>
      </c>
      <c r="B30" s="171" t="s">
        <v>38</v>
      </c>
      <c r="C30" s="168">
        <v>0</v>
      </c>
      <c r="D30" s="168">
        <v>0</v>
      </c>
      <c r="E30" s="169">
        <v>0</v>
      </c>
      <c r="F30" s="168">
        <v>0</v>
      </c>
      <c r="G30" s="168">
        <v>0</v>
      </c>
      <c r="H30" s="170">
        <v>0</v>
      </c>
      <c r="I30" s="168">
        <v>717</v>
      </c>
      <c r="J30" s="168">
        <v>1298</v>
      </c>
      <c r="K30" s="169">
        <v>2015</v>
      </c>
      <c r="L30" s="168">
        <v>540</v>
      </c>
      <c r="M30" s="168">
        <v>509</v>
      </c>
      <c r="N30" s="169">
        <v>1049</v>
      </c>
      <c r="O30" s="168">
        <v>42</v>
      </c>
      <c r="P30" s="168">
        <v>73</v>
      </c>
      <c r="Q30" s="169">
        <v>115</v>
      </c>
      <c r="R30" s="168">
        <v>15</v>
      </c>
      <c r="S30" s="168">
        <v>64</v>
      </c>
      <c r="T30" s="169">
        <v>79</v>
      </c>
      <c r="U30" s="168">
        <v>0</v>
      </c>
      <c r="V30" s="168">
        <v>0</v>
      </c>
      <c r="W30" s="169">
        <v>0</v>
      </c>
      <c r="X30" s="168">
        <v>0</v>
      </c>
      <c r="Y30" s="168">
        <v>0</v>
      </c>
      <c r="Z30" s="169">
        <v>0</v>
      </c>
      <c r="AA30" s="170">
        <v>1314</v>
      </c>
      <c r="AB30" s="170">
        <v>1944</v>
      </c>
      <c r="AC30" s="643">
        <v>3258</v>
      </c>
    </row>
    <row r="31" spans="1:29" s="163" customFormat="1" ht="20.25" customHeight="1">
      <c r="A31" s="166">
        <v>27</v>
      </c>
      <c r="B31" s="171" t="s">
        <v>39</v>
      </c>
      <c r="C31" s="168">
        <v>0</v>
      </c>
      <c r="D31" s="168">
        <v>0</v>
      </c>
      <c r="E31" s="169">
        <v>0</v>
      </c>
      <c r="F31" s="168">
        <v>0</v>
      </c>
      <c r="G31" s="168">
        <v>0</v>
      </c>
      <c r="H31" s="170">
        <v>0</v>
      </c>
      <c r="I31" s="168">
        <v>12040</v>
      </c>
      <c r="J31" s="168">
        <v>16068</v>
      </c>
      <c r="K31" s="169">
        <v>28108</v>
      </c>
      <c r="L31" s="168">
        <v>16023</v>
      </c>
      <c r="M31" s="168">
        <v>13452</v>
      </c>
      <c r="N31" s="169">
        <v>29475</v>
      </c>
      <c r="O31" s="168">
        <v>1137</v>
      </c>
      <c r="P31" s="168">
        <v>512</v>
      </c>
      <c r="Q31" s="169">
        <v>1649</v>
      </c>
      <c r="R31" s="168">
        <v>654</v>
      </c>
      <c r="S31" s="168">
        <v>514</v>
      </c>
      <c r="T31" s="169">
        <v>1168</v>
      </c>
      <c r="U31" s="168">
        <v>19</v>
      </c>
      <c r="V31" s="168">
        <v>13</v>
      </c>
      <c r="W31" s="169">
        <v>32</v>
      </c>
      <c r="X31" s="168">
        <v>0</v>
      </c>
      <c r="Y31" s="168">
        <v>0</v>
      </c>
      <c r="Z31" s="169">
        <v>0</v>
      </c>
      <c r="AA31" s="170">
        <v>29873</v>
      </c>
      <c r="AB31" s="170">
        <v>30559</v>
      </c>
      <c r="AC31" s="643">
        <v>60432</v>
      </c>
    </row>
    <row r="32" spans="1:29" s="163" customFormat="1" ht="20.25" customHeight="1">
      <c r="A32" s="166">
        <v>28</v>
      </c>
      <c r="B32" s="171" t="s">
        <v>40</v>
      </c>
      <c r="C32" s="168">
        <v>0</v>
      </c>
      <c r="D32" s="168">
        <v>0</v>
      </c>
      <c r="E32" s="169">
        <v>0</v>
      </c>
      <c r="F32" s="168">
        <v>0</v>
      </c>
      <c r="G32" s="168">
        <v>0</v>
      </c>
      <c r="H32" s="170">
        <v>0</v>
      </c>
      <c r="I32" s="168">
        <v>7397</v>
      </c>
      <c r="J32" s="168">
        <v>6255</v>
      </c>
      <c r="K32" s="169">
        <v>13652</v>
      </c>
      <c r="L32" s="168">
        <v>0</v>
      </c>
      <c r="M32" s="168">
        <v>0</v>
      </c>
      <c r="N32" s="169">
        <v>0</v>
      </c>
      <c r="O32" s="168">
        <v>0</v>
      </c>
      <c r="P32" s="168">
        <v>0</v>
      </c>
      <c r="Q32" s="169">
        <v>0</v>
      </c>
      <c r="R32" s="168">
        <v>0</v>
      </c>
      <c r="S32" s="168">
        <v>0</v>
      </c>
      <c r="T32" s="169">
        <v>0</v>
      </c>
      <c r="U32" s="168">
        <v>0</v>
      </c>
      <c r="V32" s="168">
        <v>0</v>
      </c>
      <c r="W32" s="169">
        <v>0</v>
      </c>
      <c r="X32" s="168">
        <v>0</v>
      </c>
      <c r="Y32" s="168">
        <v>0</v>
      </c>
      <c r="Z32" s="169">
        <v>0</v>
      </c>
      <c r="AA32" s="170">
        <v>7397</v>
      </c>
      <c r="AB32" s="170">
        <v>6255</v>
      </c>
      <c r="AC32" s="643">
        <v>13652</v>
      </c>
    </row>
    <row r="33" spans="1:29" s="163" customFormat="1" ht="20.25" customHeight="1">
      <c r="A33" s="166">
        <v>29</v>
      </c>
      <c r="B33" s="171" t="s">
        <v>41</v>
      </c>
      <c r="C33" s="168">
        <v>0</v>
      </c>
      <c r="D33" s="168">
        <v>0</v>
      </c>
      <c r="E33" s="169">
        <v>0</v>
      </c>
      <c r="F33" s="168">
        <v>0</v>
      </c>
      <c r="G33" s="168">
        <v>0</v>
      </c>
      <c r="H33" s="170">
        <v>0</v>
      </c>
      <c r="I33" s="168">
        <v>8960</v>
      </c>
      <c r="J33" s="168">
        <v>10402</v>
      </c>
      <c r="K33" s="169">
        <v>19362</v>
      </c>
      <c r="L33" s="168">
        <v>19324</v>
      </c>
      <c r="M33" s="168">
        <v>9650</v>
      </c>
      <c r="N33" s="169">
        <v>28974</v>
      </c>
      <c r="O33" s="168">
        <v>722</v>
      </c>
      <c r="P33" s="168">
        <v>497</v>
      </c>
      <c r="Q33" s="169">
        <v>1219</v>
      </c>
      <c r="R33" s="168">
        <v>2914</v>
      </c>
      <c r="S33" s="168">
        <v>11482</v>
      </c>
      <c r="T33" s="169">
        <v>14396</v>
      </c>
      <c r="U33" s="168">
        <v>29</v>
      </c>
      <c r="V33" s="168">
        <v>51</v>
      </c>
      <c r="W33" s="169">
        <v>80</v>
      </c>
      <c r="X33" s="168">
        <v>0</v>
      </c>
      <c r="Y33" s="168">
        <v>0</v>
      </c>
      <c r="Z33" s="169">
        <v>0</v>
      </c>
      <c r="AA33" s="170">
        <v>31949</v>
      </c>
      <c r="AB33" s="170">
        <v>32082</v>
      </c>
      <c r="AC33" s="643">
        <v>64031</v>
      </c>
    </row>
    <row r="34" spans="1:29" s="163" customFormat="1" ht="20.25" customHeight="1">
      <c r="A34" s="166">
        <v>30</v>
      </c>
      <c r="B34" s="171" t="s">
        <v>42</v>
      </c>
      <c r="C34" s="168">
        <v>0</v>
      </c>
      <c r="D34" s="168">
        <v>0</v>
      </c>
      <c r="E34" s="169">
        <v>0</v>
      </c>
      <c r="F34" s="168">
        <v>0</v>
      </c>
      <c r="G34" s="168">
        <v>0</v>
      </c>
      <c r="H34" s="170">
        <v>0</v>
      </c>
      <c r="I34" s="168">
        <v>35920</v>
      </c>
      <c r="J34" s="168">
        <v>22536</v>
      </c>
      <c r="K34" s="169">
        <v>58456</v>
      </c>
      <c r="L34" s="168">
        <v>69632</v>
      </c>
      <c r="M34" s="168">
        <v>30421</v>
      </c>
      <c r="N34" s="169">
        <v>100053</v>
      </c>
      <c r="O34" s="168">
        <v>2370</v>
      </c>
      <c r="P34" s="168">
        <v>1267</v>
      </c>
      <c r="Q34" s="169">
        <v>3637</v>
      </c>
      <c r="R34" s="168">
        <v>6843</v>
      </c>
      <c r="S34" s="168">
        <v>4621</v>
      </c>
      <c r="T34" s="169">
        <v>11464</v>
      </c>
      <c r="U34" s="168">
        <v>1741</v>
      </c>
      <c r="V34" s="168">
        <v>1188</v>
      </c>
      <c r="W34" s="169">
        <v>2929</v>
      </c>
      <c r="X34" s="168">
        <v>4</v>
      </c>
      <c r="Y34" s="168">
        <v>4</v>
      </c>
      <c r="Z34" s="169">
        <v>8</v>
      </c>
      <c r="AA34" s="170">
        <v>116510</v>
      </c>
      <c r="AB34" s="170">
        <v>60037</v>
      </c>
      <c r="AC34" s="643">
        <v>176547</v>
      </c>
    </row>
    <row r="35" spans="1:29" s="163" customFormat="1" ht="20.25" customHeight="1">
      <c r="A35" s="166">
        <v>31</v>
      </c>
      <c r="B35" s="171" t="s">
        <v>43</v>
      </c>
      <c r="C35" s="168">
        <v>0</v>
      </c>
      <c r="D35" s="168">
        <v>0</v>
      </c>
      <c r="E35" s="169">
        <v>0</v>
      </c>
      <c r="F35" s="168">
        <v>0</v>
      </c>
      <c r="G35" s="168">
        <v>0</v>
      </c>
      <c r="H35" s="170">
        <v>0</v>
      </c>
      <c r="I35" s="168">
        <v>16255</v>
      </c>
      <c r="J35" s="168">
        <v>9127</v>
      </c>
      <c r="K35" s="169">
        <v>25382</v>
      </c>
      <c r="L35" s="168">
        <v>5722</v>
      </c>
      <c r="M35" s="168">
        <v>3070</v>
      </c>
      <c r="N35" s="169">
        <v>8792</v>
      </c>
      <c r="O35" s="168">
        <v>23</v>
      </c>
      <c r="P35" s="168">
        <v>18</v>
      </c>
      <c r="Q35" s="169">
        <v>41</v>
      </c>
      <c r="R35" s="168">
        <v>20</v>
      </c>
      <c r="S35" s="168">
        <v>111</v>
      </c>
      <c r="T35" s="169">
        <v>131</v>
      </c>
      <c r="U35" s="168">
        <v>0</v>
      </c>
      <c r="V35" s="168">
        <v>0</v>
      </c>
      <c r="W35" s="169">
        <v>0</v>
      </c>
      <c r="X35" s="168">
        <v>0</v>
      </c>
      <c r="Y35" s="168">
        <v>0</v>
      </c>
      <c r="Z35" s="169">
        <v>0</v>
      </c>
      <c r="AA35" s="170">
        <v>22020</v>
      </c>
      <c r="AB35" s="170">
        <v>12326</v>
      </c>
      <c r="AC35" s="643">
        <v>34346</v>
      </c>
    </row>
    <row r="36" spans="1:29" s="163" customFormat="1" ht="20.25" customHeight="1">
      <c r="A36" s="166">
        <v>32</v>
      </c>
      <c r="B36" s="171" t="s">
        <v>44</v>
      </c>
      <c r="C36" s="168">
        <v>12</v>
      </c>
      <c r="D36" s="168">
        <v>9</v>
      </c>
      <c r="E36" s="169">
        <v>21</v>
      </c>
      <c r="F36" s="168">
        <v>13</v>
      </c>
      <c r="G36" s="168">
        <v>11</v>
      </c>
      <c r="H36" s="170">
        <v>24</v>
      </c>
      <c r="I36" s="168">
        <v>82333</v>
      </c>
      <c r="J36" s="168">
        <v>114814</v>
      </c>
      <c r="K36" s="169">
        <v>197147</v>
      </c>
      <c r="L36" s="168">
        <v>165320</v>
      </c>
      <c r="M36" s="168">
        <v>136185</v>
      </c>
      <c r="N36" s="169">
        <v>301505</v>
      </c>
      <c r="O36" s="168">
        <v>7730</v>
      </c>
      <c r="P36" s="168">
        <v>5066</v>
      </c>
      <c r="Q36" s="169">
        <v>12796</v>
      </c>
      <c r="R36" s="168">
        <v>5339</v>
      </c>
      <c r="S36" s="168">
        <v>8129</v>
      </c>
      <c r="T36" s="169">
        <v>13468</v>
      </c>
      <c r="U36" s="168">
        <v>6694</v>
      </c>
      <c r="V36" s="168">
        <v>5924</v>
      </c>
      <c r="W36" s="169">
        <v>12618</v>
      </c>
      <c r="X36" s="168">
        <v>182</v>
      </c>
      <c r="Y36" s="168">
        <v>61</v>
      </c>
      <c r="Z36" s="169">
        <v>243</v>
      </c>
      <c r="AA36" s="170">
        <v>267623</v>
      </c>
      <c r="AB36" s="170">
        <v>270199</v>
      </c>
      <c r="AC36" s="643">
        <v>537822</v>
      </c>
    </row>
    <row r="37" spans="1:29" s="163" customFormat="1" ht="20.25" customHeight="1">
      <c r="A37" s="166">
        <v>33</v>
      </c>
      <c r="B37" s="171" t="s">
        <v>134</v>
      </c>
      <c r="C37" s="168">
        <v>0</v>
      </c>
      <c r="D37" s="168">
        <v>0</v>
      </c>
      <c r="E37" s="169">
        <v>0</v>
      </c>
      <c r="F37" s="168">
        <v>0</v>
      </c>
      <c r="G37" s="168">
        <v>0</v>
      </c>
      <c r="H37" s="170">
        <v>0</v>
      </c>
      <c r="I37" s="168">
        <v>15609</v>
      </c>
      <c r="J37" s="168">
        <v>20872</v>
      </c>
      <c r="K37" s="169">
        <v>36481</v>
      </c>
      <c r="L37" s="168">
        <v>8068</v>
      </c>
      <c r="M37" s="168">
        <v>6855</v>
      </c>
      <c r="N37" s="169">
        <v>14923</v>
      </c>
      <c r="O37" s="168">
        <v>1682</v>
      </c>
      <c r="P37" s="168">
        <v>1022</v>
      </c>
      <c r="Q37" s="169">
        <v>2704</v>
      </c>
      <c r="R37" s="168">
        <v>394</v>
      </c>
      <c r="S37" s="168">
        <v>563</v>
      </c>
      <c r="T37" s="169">
        <v>957</v>
      </c>
      <c r="U37" s="168">
        <v>237</v>
      </c>
      <c r="V37" s="168">
        <v>465</v>
      </c>
      <c r="W37" s="169">
        <v>702</v>
      </c>
      <c r="X37" s="168">
        <v>0</v>
      </c>
      <c r="Y37" s="168">
        <v>0</v>
      </c>
      <c r="Z37" s="169">
        <v>0</v>
      </c>
      <c r="AA37" s="170">
        <v>25990</v>
      </c>
      <c r="AB37" s="170">
        <v>29777</v>
      </c>
      <c r="AC37" s="643">
        <v>55767</v>
      </c>
    </row>
    <row r="38" spans="1:29" s="163" customFormat="1" ht="20.25" customHeight="1">
      <c r="A38" s="166">
        <v>34</v>
      </c>
      <c r="B38" s="171" t="s">
        <v>45</v>
      </c>
      <c r="C38" s="168">
        <v>0</v>
      </c>
      <c r="D38" s="168">
        <v>0</v>
      </c>
      <c r="E38" s="169">
        <v>0</v>
      </c>
      <c r="F38" s="168">
        <v>0</v>
      </c>
      <c r="G38" s="168">
        <v>0</v>
      </c>
      <c r="H38" s="170">
        <v>0</v>
      </c>
      <c r="I38" s="168">
        <v>3805</v>
      </c>
      <c r="J38" s="168">
        <v>3945</v>
      </c>
      <c r="K38" s="169">
        <v>7750</v>
      </c>
      <c r="L38" s="168">
        <v>2958</v>
      </c>
      <c r="M38" s="168">
        <v>1997</v>
      </c>
      <c r="N38" s="169">
        <v>4955</v>
      </c>
      <c r="O38" s="168">
        <v>50</v>
      </c>
      <c r="P38" s="168">
        <v>18</v>
      </c>
      <c r="Q38" s="169">
        <v>68</v>
      </c>
      <c r="R38" s="168">
        <v>18</v>
      </c>
      <c r="S38" s="168">
        <v>17</v>
      </c>
      <c r="T38" s="169">
        <v>35</v>
      </c>
      <c r="U38" s="168">
        <v>0</v>
      </c>
      <c r="V38" s="168">
        <v>0</v>
      </c>
      <c r="W38" s="169">
        <v>0</v>
      </c>
      <c r="X38" s="168">
        <v>0</v>
      </c>
      <c r="Y38" s="168">
        <v>0</v>
      </c>
      <c r="Z38" s="169">
        <v>0</v>
      </c>
      <c r="AA38" s="170">
        <v>6831</v>
      </c>
      <c r="AB38" s="170">
        <v>5977</v>
      </c>
      <c r="AC38" s="643">
        <v>12808</v>
      </c>
    </row>
    <row r="39" spans="1:29" s="163" customFormat="1" ht="20.25" customHeight="1">
      <c r="A39" s="166">
        <v>35</v>
      </c>
      <c r="B39" s="171" t="s">
        <v>47</v>
      </c>
      <c r="C39" s="168">
        <v>0</v>
      </c>
      <c r="D39" s="168">
        <v>0</v>
      </c>
      <c r="E39" s="169">
        <v>0</v>
      </c>
      <c r="F39" s="168">
        <v>0</v>
      </c>
      <c r="G39" s="168">
        <v>0</v>
      </c>
      <c r="H39" s="170">
        <v>0</v>
      </c>
      <c r="I39" s="168">
        <v>23200</v>
      </c>
      <c r="J39" s="168">
        <v>20237</v>
      </c>
      <c r="K39" s="169">
        <v>43437</v>
      </c>
      <c r="L39" s="168">
        <v>41503</v>
      </c>
      <c r="M39" s="168">
        <v>23289</v>
      </c>
      <c r="N39" s="169">
        <v>64792</v>
      </c>
      <c r="O39" s="168">
        <v>5938</v>
      </c>
      <c r="P39" s="168">
        <v>5254</v>
      </c>
      <c r="Q39" s="169">
        <v>11192</v>
      </c>
      <c r="R39" s="168">
        <v>1897</v>
      </c>
      <c r="S39" s="168">
        <v>2282</v>
      </c>
      <c r="T39" s="169">
        <v>4179</v>
      </c>
      <c r="U39" s="168">
        <v>1482</v>
      </c>
      <c r="V39" s="168">
        <v>1375</v>
      </c>
      <c r="W39" s="169">
        <v>2857</v>
      </c>
      <c r="X39" s="168">
        <v>0</v>
      </c>
      <c r="Y39" s="168">
        <v>0</v>
      </c>
      <c r="Z39" s="169">
        <v>0</v>
      </c>
      <c r="AA39" s="170">
        <v>74020</v>
      </c>
      <c r="AB39" s="170">
        <v>52437</v>
      </c>
      <c r="AC39" s="643">
        <v>126457</v>
      </c>
    </row>
    <row r="40" spans="1:29" s="163" customFormat="1" ht="20.25" customHeight="1">
      <c r="A40" s="166">
        <v>36</v>
      </c>
      <c r="B40" s="171" t="s">
        <v>46</v>
      </c>
      <c r="C40" s="168">
        <v>0</v>
      </c>
      <c r="D40" s="168">
        <v>0</v>
      </c>
      <c r="E40" s="169">
        <v>0</v>
      </c>
      <c r="F40" s="168">
        <v>0</v>
      </c>
      <c r="G40" s="168">
        <v>0</v>
      </c>
      <c r="H40" s="170">
        <v>0</v>
      </c>
      <c r="I40" s="168">
        <v>11157</v>
      </c>
      <c r="J40" s="168">
        <v>15453</v>
      </c>
      <c r="K40" s="169">
        <v>26610</v>
      </c>
      <c r="L40" s="168">
        <v>27184</v>
      </c>
      <c r="M40" s="168">
        <v>26373</v>
      </c>
      <c r="N40" s="169">
        <v>53557</v>
      </c>
      <c r="O40" s="168">
        <v>362</v>
      </c>
      <c r="P40" s="168">
        <v>236</v>
      </c>
      <c r="Q40" s="169">
        <v>598</v>
      </c>
      <c r="R40" s="168">
        <v>363</v>
      </c>
      <c r="S40" s="168">
        <v>348</v>
      </c>
      <c r="T40" s="169">
        <v>711</v>
      </c>
      <c r="U40" s="168">
        <v>2</v>
      </c>
      <c r="V40" s="168">
        <v>24</v>
      </c>
      <c r="W40" s="169">
        <v>26</v>
      </c>
      <c r="X40" s="168">
        <v>0</v>
      </c>
      <c r="Y40" s="168">
        <v>0</v>
      </c>
      <c r="Z40" s="169">
        <v>0</v>
      </c>
      <c r="AA40" s="170">
        <v>39068</v>
      </c>
      <c r="AB40" s="170">
        <v>42434</v>
      </c>
      <c r="AC40" s="643">
        <v>81502</v>
      </c>
    </row>
    <row r="41" spans="1:29" s="163" customFormat="1" ht="20.25" customHeight="1">
      <c r="A41" s="166">
        <v>37</v>
      </c>
      <c r="B41" s="171" t="s">
        <v>48</v>
      </c>
      <c r="C41" s="168">
        <v>0</v>
      </c>
      <c r="D41" s="168">
        <v>0</v>
      </c>
      <c r="E41" s="169">
        <v>0</v>
      </c>
      <c r="F41" s="168">
        <v>0</v>
      </c>
      <c r="G41" s="168">
        <v>0</v>
      </c>
      <c r="H41" s="170">
        <v>0</v>
      </c>
      <c r="I41" s="168">
        <v>19142</v>
      </c>
      <c r="J41" s="168">
        <v>42112</v>
      </c>
      <c r="K41" s="169">
        <v>61254</v>
      </c>
      <c r="L41" s="168">
        <v>72565</v>
      </c>
      <c r="M41" s="168">
        <v>49131</v>
      </c>
      <c r="N41" s="169">
        <v>121696</v>
      </c>
      <c r="O41" s="168">
        <v>693</v>
      </c>
      <c r="P41" s="168">
        <v>621</v>
      </c>
      <c r="Q41" s="169">
        <v>1314</v>
      </c>
      <c r="R41" s="168">
        <v>580</v>
      </c>
      <c r="S41" s="168">
        <v>764</v>
      </c>
      <c r="T41" s="169">
        <v>1344</v>
      </c>
      <c r="U41" s="168">
        <v>1276</v>
      </c>
      <c r="V41" s="168">
        <v>472</v>
      </c>
      <c r="W41" s="169">
        <v>1748</v>
      </c>
      <c r="X41" s="168">
        <v>0</v>
      </c>
      <c r="Y41" s="168">
        <v>0</v>
      </c>
      <c r="Z41" s="169">
        <v>0</v>
      </c>
      <c r="AA41" s="170">
        <v>94256</v>
      </c>
      <c r="AB41" s="170">
        <v>93100</v>
      </c>
      <c r="AC41" s="643">
        <v>187356</v>
      </c>
    </row>
    <row r="42" spans="1:29" s="173" customFormat="1" ht="20.25" customHeight="1">
      <c r="A42" s="788" t="s">
        <v>49</v>
      </c>
      <c r="B42" s="788"/>
      <c r="C42" s="172">
        <f>SUM(C5:C41)</f>
        <v>44</v>
      </c>
      <c r="D42" s="172">
        <f t="shared" ref="D42:AC42" si="0">SUM(D5:D41)</f>
        <v>57</v>
      </c>
      <c r="E42" s="172">
        <f t="shared" si="0"/>
        <v>101</v>
      </c>
      <c r="F42" s="172">
        <f t="shared" si="0"/>
        <v>33</v>
      </c>
      <c r="G42" s="172">
        <f t="shared" si="0"/>
        <v>36</v>
      </c>
      <c r="H42" s="172">
        <f t="shared" si="0"/>
        <v>69</v>
      </c>
      <c r="I42" s="172">
        <f t="shared" si="0"/>
        <v>504711</v>
      </c>
      <c r="J42" s="172">
        <f t="shared" si="0"/>
        <v>616735</v>
      </c>
      <c r="K42" s="172">
        <f t="shared" si="0"/>
        <v>1121446</v>
      </c>
      <c r="L42" s="172">
        <f t="shared" si="0"/>
        <v>1745438</v>
      </c>
      <c r="M42" s="172">
        <f t="shared" si="0"/>
        <v>1172409</v>
      </c>
      <c r="N42" s="172">
        <f t="shared" si="0"/>
        <v>2917847</v>
      </c>
      <c r="O42" s="172">
        <f t="shared" si="0"/>
        <v>50863</v>
      </c>
      <c r="P42" s="172">
        <f t="shared" si="0"/>
        <v>38103</v>
      </c>
      <c r="Q42" s="172">
        <f t="shared" si="0"/>
        <v>88966</v>
      </c>
      <c r="R42" s="172">
        <f t="shared" si="0"/>
        <v>58916</v>
      </c>
      <c r="S42" s="172">
        <f t="shared" si="0"/>
        <v>61144</v>
      </c>
      <c r="T42" s="172">
        <f t="shared" si="0"/>
        <v>120060</v>
      </c>
      <c r="U42" s="172">
        <f t="shared" si="0"/>
        <v>18795</v>
      </c>
      <c r="V42" s="172">
        <f t="shared" si="0"/>
        <v>15951</v>
      </c>
      <c r="W42" s="172">
        <f t="shared" si="0"/>
        <v>34746</v>
      </c>
      <c r="X42" s="172">
        <f t="shared" si="0"/>
        <v>774</v>
      </c>
      <c r="Y42" s="172">
        <f t="shared" si="0"/>
        <v>2913</v>
      </c>
      <c r="Z42" s="172">
        <f t="shared" si="0"/>
        <v>3687</v>
      </c>
      <c r="AA42" s="172">
        <f t="shared" si="0"/>
        <v>2379574</v>
      </c>
      <c r="AB42" s="172">
        <f t="shared" si="0"/>
        <v>1907348</v>
      </c>
      <c r="AC42" s="172">
        <f t="shared" si="0"/>
        <v>4286922</v>
      </c>
    </row>
  </sheetData>
  <mergeCells count="15">
    <mergeCell ref="U1:AC1"/>
    <mergeCell ref="C1:K1"/>
    <mergeCell ref="I2:K2"/>
    <mergeCell ref="L2:N2"/>
    <mergeCell ref="A42:B42"/>
    <mergeCell ref="A2:A3"/>
    <mergeCell ref="B2:B3"/>
    <mergeCell ref="C2:E2"/>
    <mergeCell ref="F2:H2"/>
    <mergeCell ref="L1:T1"/>
    <mergeCell ref="O2:Q2"/>
    <mergeCell ref="R2:T2"/>
    <mergeCell ref="U2:W2"/>
    <mergeCell ref="X2:Z2"/>
    <mergeCell ref="AA2:AC2"/>
  </mergeCells>
  <printOptions horizontalCentered="1"/>
  <pageMargins left="0.70866141732283505" right="0.15748031496063" top="0.511811023622047" bottom="0.39370078740157499" header="0.196850393700787" footer="0.15748031496063"/>
  <pageSetup paperSize="9" scale="88" firstPageNumber="15" orientation="portrait" useFirstPageNumber="1" r:id="rId1"/>
  <headerFooter>
    <oddFooter>&amp;LAISHE 2019-20&amp;CT-6b</oddFooter>
  </headerFooter>
  <colBreaks count="2" manualBreakCount="2">
    <brk id="11" max="39" man="1"/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</sheetPr>
  <dimension ref="A1:AE43"/>
  <sheetViews>
    <sheetView view="pageBreakPreview" zoomScale="85" zoomScaleSheetLayoutView="85" workbookViewId="0">
      <pane xSplit="2" ySplit="3" topLeftCell="U26" activePane="bottomRight" state="frozen"/>
      <selection activeCell="B4" sqref="B4"/>
      <selection pane="topRight" activeCell="B4" sqref="B4"/>
      <selection pane="bottomLeft" activeCell="B4" sqref="B4"/>
      <selection pane="bottomRight" activeCell="AF1" sqref="AF1:AL1048576"/>
    </sheetView>
  </sheetViews>
  <sheetFormatPr defaultColWidth="9.140625" defaultRowHeight="15"/>
  <cols>
    <col min="1" max="1" width="5.140625" style="179" customWidth="1"/>
    <col min="2" max="2" width="23.5703125" style="179" customWidth="1"/>
    <col min="3" max="3" width="7.28515625" style="179" customWidth="1"/>
    <col min="4" max="4" width="12.42578125" style="179" customWidth="1"/>
    <col min="5" max="5" width="7.28515625" style="179" customWidth="1"/>
    <col min="6" max="7" width="8.140625" style="179" customWidth="1"/>
    <col min="8" max="8" width="6.5703125" style="179" customWidth="1"/>
    <col min="9" max="9" width="8.140625" style="179" customWidth="1"/>
    <col min="10" max="10" width="9" style="179" bestFit="1" customWidth="1"/>
    <col min="11" max="13" width="9.28515625" style="179" customWidth="1"/>
    <col min="14" max="14" width="9.5703125" style="179" customWidth="1"/>
    <col min="15" max="16" width="11.28515625" style="179" customWidth="1"/>
    <col min="17" max="17" width="8.85546875" style="179" customWidth="1"/>
    <col min="18" max="18" width="9.42578125" style="179" customWidth="1"/>
    <col min="19" max="19" width="10.28515625" style="179" customWidth="1"/>
    <col min="20" max="22" width="9.28515625" style="179" customWidth="1"/>
    <col min="23" max="23" width="8.42578125" style="179" customWidth="1"/>
    <col min="24" max="24" width="8.85546875" style="179" customWidth="1"/>
    <col min="25" max="25" width="8.28515625" style="179" customWidth="1"/>
    <col min="26" max="26" width="9.42578125" style="179" customWidth="1"/>
    <col min="27" max="27" width="10.28515625" style="179" customWidth="1"/>
    <col min="28" max="28" width="9.5703125" style="179" customWidth="1"/>
    <col min="29" max="31" width="11" style="179" customWidth="1"/>
    <col min="32" max="16384" width="9.140625" style="179"/>
  </cols>
  <sheetData>
    <row r="1" spans="1:31" s="175" customFormat="1" ht="32.450000000000003" customHeight="1">
      <c r="B1" s="150" t="s">
        <v>100</v>
      </c>
      <c r="C1" s="779" t="s">
        <v>908</v>
      </c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 t="str">
        <f>C1</f>
        <v>Enrolment in Universities Teaching Departments and its Constituent Units/Off-campus Centres (Based on actual Response)</v>
      </c>
      <c r="O1" s="779"/>
      <c r="P1" s="779"/>
      <c r="Q1" s="779"/>
      <c r="R1" s="779"/>
      <c r="S1" s="779"/>
      <c r="T1" s="779"/>
      <c r="U1" s="779"/>
      <c r="V1" s="779"/>
      <c r="W1" s="779" t="str">
        <f>C1</f>
        <v>Enrolment in Universities Teaching Departments and its Constituent Units/Off-campus Centres (Based on actual Response)</v>
      </c>
      <c r="X1" s="779"/>
      <c r="Y1" s="779"/>
      <c r="Z1" s="779"/>
      <c r="AA1" s="779"/>
      <c r="AB1" s="779"/>
      <c r="AC1" s="779"/>
      <c r="AD1" s="779"/>
      <c r="AE1" s="779"/>
    </row>
    <row r="2" spans="1:31" s="180" customFormat="1" ht="33" customHeight="1">
      <c r="A2" s="797" t="s">
        <v>165</v>
      </c>
      <c r="B2" s="799" t="s">
        <v>713</v>
      </c>
      <c r="C2" s="799" t="s">
        <v>808</v>
      </c>
      <c r="D2" s="799"/>
      <c r="E2" s="793" t="s">
        <v>89</v>
      </c>
      <c r="F2" s="794"/>
      <c r="G2" s="795"/>
      <c r="H2" s="793" t="s">
        <v>90</v>
      </c>
      <c r="I2" s="794"/>
      <c r="J2" s="795"/>
      <c r="K2" s="793" t="s">
        <v>85</v>
      </c>
      <c r="L2" s="794"/>
      <c r="M2" s="795"/>
      <c r="N2" s="793" t="s">
        <v>86</v>
      </c>
      <c r="O2" s="794"/>
      <c r="P2" s="795"/>
      <c r="Q2" s="793" t="s">
        <v>91</v>
      </c>
      <c r="R2" s="794"/>
      <c r="S2" s="795"/>
      <c r="T2" s="793" t="s">
        <v>92</v>
      </c>
      <c r="U2" s="794"/>
      <c r="V2" s="795"/>
      <c r="W2" s="793" t="s">
        <v>93</v>
      </c>
      <c r="X2" s="794"/>
      <c r="Y2" s="795"/>
      <c r="Z2" s="793" t="s">
        <v>94</v>
      </c>
      <c r="AA2" s="794"/>
      <c r="AB2" s="795"/>
      <c r="AC2" s="793" t="s">
        <v>60</v>
      </c>
      <c r="AD2" s="794"/>
      <c r="AE2" s="795"/>
    </row>
    <row r="3" spans="1:31" s="183" customFormat="1" ht="24.75" customHeight="1">
      <c r="A3" s="798"/>
      <c r="B3" s="799"/>
      <c r="C3" s="465" t="s">
        <v>12</v>
      </c>
      <c r="D3" s="466" t="s">
        <v>98</v>
      </c>
      <c r="E3" s="467" t="s">
        <v>87</v>
      </c>
      <c r="F3" s="467" t="s">
        <v>88</v>
      </c>
      <c r="G3" s="467" t="s">
        <v>12</v>
      </c>
      <c r="H3" s="467" t="s">
        <v>87</v>
      </c>
      <c r="I3" s="467" t="s">
        <v>88</v>
      </c>
      <c r="J3" s="467" t="s">
        <v>12</v>
      </c>
      <c r="K3" s="467" t="s">
        <v>87</v>
      </c>
      <c r="L3" s="467" t="s">
        <v>88</v>
      </c>
      <c r="M3" s="467" t="s">
        <v>12</v>
      </c>
      <c r="N3" s="467" t="s">
        <v>87</v>
      </c>
      <c r="O3" s="467" t="s">
        <v>88</v>
      </c>
      <c r="P3" s="467" t="s">
        <v>12</v>
      </c>
      <c r="Q3" s="467" t="s">
        <v>87</v>
      </c>
      <c r="R3" s="467" t="s">
        <v>88</v>
      </c>
      <c r="S3" s="467" t="s">
        <v>12</v>
      </c>
      <c r="T3" s="467" t="s">
        <v>87</v>
      </c>
      <c r="U3" s="467" t="s">
        <v>88</v>
      </c>
      <c r="V3" s="467" t="s">
        <v>12</v>
      </c>
      <c r="W3" s="467" t="s">
        <v>87</v>
      </c>
      <c r="X3" s="467" t="s">
        <v>88</v>
      </c>
      <c r="Y3" s="467" t="s">
        <v>12</v>
      </c>
      <c r="Z3" s="467" t="s">
        <v>87</v>
      </c>
      <c r="AA3" s="467" t="s">
        <v>88</v>
      </c>
      <c r="AB3" s="467" t="s">
        <v>12</v>
      </c>
      <c r="AC3" s="467" t="s">
        <v>87</v>
      </c>
      <c r="AD3" s="467" t="s">
        <v>88</v>
      </c>
      <c r="AE3" s="467" t="s">
        <v>12</v>
      </c>
    </row>
    <row r="4" spans="1:31" s="176" customFormat="1" ht="15" customHeight="1">
      <c r="A4" s="177">
        <v>1</v>
      </c>
      <c r="B4" s="177">
        <v>2</v>
      </c>
      <c r="C4" s="177">
        <v>3</v>
      </c>
      <c r="D4" s="177">
        <v>4</v>
      </c>
      <c r="E4" s="177">
        <v>5</v>
      </c>
      <c r="F4" s="177">
        <v>6</v>
      </c>
      <c r="G4" s="177">
        <v>7</v>
      </c>
      <c r="H4" s="177">
        <v>8</v>
      </c>
      <c r="I4" s="177">
        <v>9</v>
      </c>
      <c r="J4" s="177">
        <v>10</v>
      </c>
      <c r="K4" s="177">
        <v>11</v>
      </c>
      <c r="L4" s="177">
        <v>12</v>
      </c>
      <c r="M4" s="177">
        <v>13</v>
      </c>
      <c r="N4" s="177">
        <v>14</v>
      </c>
      <c r="O4" s="177">
        <v>15</v>
      </c>
      <c r="P4" s="177">
        <v>16</v>
      </c>
      <c r="Q4" s="177">
        <v>17</v>
      </c>
      <c r="R4" s="177">
        <v>18</v>
      </c>
      <c r="S4" s="177">
        <v>19</v>
      </c>
      <c r="T4" s="177">
        <v>20</v>
      </c>
      <c r="U4" s="177">
        <v>21</v>
      </c>
      <c r="V4" s="177">
        <v>22</v>
      </c>
      <c r="W4" s="177">
        <v>23</v>
      </c>
      <c r="X4" s="177">
        <v>24</v>
      </c>
      <c r="Y4" s="177">
        <v>25</v>
      </c>
      <c r="Z4" s="177">
        <v>26</v>
      </c>
      <c r="AA4" s="177">
        <v>27</v>
      </c>
      <c r="AB4" s="177">
        <v>28</v>
      </c>
      <c r="AC4" s="177">
        <v>29</v>
      </c>
      <c r="AD4" s="177">
        <v>30</v>
      </c>
      <c r="AE4" s="177">
        <v>31</v>
      </c>
    </row>
    <row r="5" spans="1:31" s="176" customFormat="1" ht="30.75" customHeight="1">
      <c r="A5" s="178">
        <v>1</v>
      </c>
      <c r="B5" s="145" t="s">
        <v>154</v>
      </c>
      <c r="C5" s="184">
        <v>0</v>
      </c>
      <c r="D5" s="184">
        <v>0</v>
      </c>
      <c r="E5" s="184">
        <v>0</v>
      </c>
      <c r="F5" s="184">
        <v>0</v>
      </c>
      <c r="G5" s="185">
        <v>0</v>
      </c>
      <c r="H5" s="184">
        <v>0</v>
      </c>
      <c r="I5" s="184">
        <v>0</v>
      </c>
      <c r="J5" s="185">
        <v>0</v>
      </c>
      <c r="K5" s="184">
        <v>502</v>
      </c>
      <c r="L5" s="184">
        <v>686</v>
      </c>
      <c r="M5" s="185">
        <v>1188</v>
      </c>
      <c r="N5" s="184">
        <v>1464</v>
      </c>
      <c r="O5" s="184">
        <v>1302</v>
      </c>
      <c r="P5" s="185">
        <v>2766</v>
      </c>
      <c r="Q5" s="184">
        <v>58</v>
      </c>
      <c r="R5" s="184">
        <v>40</v>
      </c>
      <c r="S5" s="185">
        <v>98</v>
      </c>
      <c r="T5" s="184">
        <v>17</v>
      </c>
      <c r="U5" s="184">
        <v>31</v>
      </c>
      <c r="V5" s="185">
        <v>48</v>
      </c>
      <c r="W5" s="184">
        <v>0</v>
      </c>
      <c r="X5" s="184">
        <v>0</v>
      </c>
      <c r="Y5" s="185">
        <v>0</v>
      </c>
      <c r="Z5" s="184">
        <v>0</v>
      </c>
      <c r="AA5" s="184">
        <v>0</v>
      </c>
      <c r="AB5" s="185">
        <v>0</v>
      </c>
      <c r="AC5" s="185">
        <v>2041</v>
      </c>
      <c r="AD5" s="185">
        <v>2059</v>
      </c>
      <c r="AE5" s="186">
        <f>AC5+AD5</f>
        <v>4100</v>
      </c>
    </row>
    <row r="6" spans="1:31" s="176" customFormat="1" ht="21.75" customHeight="1">
      <c r="A6" s="178">
        <v>2</v>
      </c>
      <c r="B6" s="91" t="s">
        <v>15</v>
      </c>
      <c r="C6" s="184">
        <v>41</v>
      </c>
      <c r="D6" s="184">
        <v>39</v>
      </c>
      <c r="E6" s="184">
        <v>2875</v>
      </c>
      <c r="F6" s="184">
        <v>2265</v>
      </c>
      <c r="G6" s="185">
        <v>5140</v>
      </c>
      <c r="H6" s="184">
        <v>73</v>
      </c>
      <c r="I6" s="184">
        <v>68</v>
      </c>
      <c r="J6" s="185">
        <v>141</v>
      </c>
      <c r="K6" s="184">
        <v>38271</v>
      </c>
      <c r="L6" s="184">
        <v>37614</v>
      </c>
      <c r="M6" s="185">
        <v>75885</v>
      </c>
      <c r="N6" s="184">
        <v>179720</v>
      </c>
      <c r="O6" s="184">
        <v>132311</v>
      </c>
      <c r="P6" s="185">
        <v>312031</v>
      </c>
      <c r="Q6" s="184">
        <v>688</v>
      </c>
      <c r="R6" s="184">
        <v>476</v>
      </c>
      <c r="S6" s="185">
        <v>1164</v>
      </c>
      <c r="T6" s="184">
        <v>591</v>
      </c>
      <c r="U6" s="184">
        <v>718</v>
      </c>
      <c r="V6" s="185">
        <v>1309</v>
      </c>
      <c r="W6" s="184">
        <v>2943</v>
      </c>
      <c r="X6" s="184">
        <v>4981</v>
      </c>
      <c r="Y6" s="185">
        <v>7924</v>
      </c>
      <c r="Z6" s="184">
        <v>2922</v>
      </c>
      <c r="AA6" s="184">
        <v>2038</v>
      </c>
      <c r="AB6" s="185">
        <v>4960</v>
      </c>
      <c r="AC6" s="185">
        <v>228083</v>
      </c>
      <c r="AD6" s="185">
        <v>180471</v>
      </c>
      <c r="AE6" s="186">
        <f t="shared" ref="AE6:AE22" si="0">AC6+AD6</f>
        <v>408554</v>
      </c>
    </row>
    <row r="7" spans="1:31" s="176" customFormat="1" ht="21.75" customHeight="1">
      <c r="A7" s="178">
        <v>3</v>
      </c>
      <c r="B7" s="91" t="s">
        <v>16</v>
      </c>
      <c r="C7" s="184">
        <v>10</v>
      </c>
      <c r="D7" s="184">
        <v>10</v>
      </c>
      <c r="E7" s="184">
        <v>593</v>
      </c>
      <c r="F7" s="184">
        <v>459</v>
      </c>
      <c r="G7" s="185">
        <v>1052</v>
      </c>
      <c r="H7" s="184">
        <v>77</v>
      </c>
      <c r="I7" s="184">
        <v>113</v>
      </c>
      <c r="J7" s="185">
        <v>190</v>
      </c>
      <c r="K7" s="184">
        <v>4898</v>
      </c>
      <c r="L7" s="184">
        <v>5740</v>
      </c>
      <c r="M7" s="185">
        <v>10638</v>
      </c>
      <c r="N7" s="184">
        <v>10261</v>
      </c>
      <c r="O7" s="184">
        <v>8582</v>
      </c>
      <c r="P7" s="185">
        <v>18843</v>
      </c>
      <c r="Q7" s="184">
        <v>127</v>
      </c>
      <c r="R7" s="184">
        <v>144</v>
      </c>
      <c r="S7" s="185">
        <v>271</v>
      </c>
      <c r="T7" s="184">
        <v>739</v>
      </c>
      <c r="U7" s="184">
        <v>505</v>
      </c>
      <c r="V7" s="185">
        <v>1244</v>
      </c>
      <c r="W7" s="184">
        <v>299</v>
      </c>
      <c r="X7" s="184">
        <v>119</v>
      </c>
      <c r="Y7" s="185">
        <v>418</v>
      </c>
      <c r="Z7" s="184">
        <v>899</v>
      </c>
      <c r="AA7" s="184">
        <v>539</v>
      </c>
      <c r="AB7" s="185">
        <v>1438</v>
      </c>
      <c r="AC7" s="185">
        <v>17893</v>
      </c>
      <c r="AD7" s="185">
        <v>16201</v>
      </c>
      <c r="AE7" s="186">
        <f t="shared" si="0"/>
        <v>34094</v>
      </c>
    </row>
    <row r="8" spans="1:31" s="176" customFormat="1" ht="21.75" customHeight="1">
      <c r="A8" s="178">
        <v>4</v>
      </c>
      <c r="B8" s="91" t="s">
        <v>17</v>
      </c>
      <c r="C8" s="184">
        <v>26</v>
      </c>
      <c r="D8" s="184">
        <v>26</v>
      </c>
      <c r="E8" s="184">
        <v>2935</v>
      </c>
      <c r="F8" s="184">
        <v>2146</v>
      </c>
      <c r="G8" s="185">
        <v>5081</v>
      </c>
      <c r="H8" s="184">
        <v>243</v>
      </c>
      <c r="I8" s="184">
        <v>345</v>
      </c>
      <c r="J8" s="185">
        <v>588</v>
      </c>
      <c r="K8" s="184">
        <v>23406</v>
      </c>
      <c r="L8" s="184">
        <v>33948</v>
      </c>
      <c r="M8" s="185">
        <v>57354</v>
      </c>
      <c r="N8" s="184">
        <v>44712</v>
      </c>
      <c r="O8" s="184">
        <v>28131</v>
      </c>
      <c r="P8" s="185">
        <v>72843</v>
      </c>
      <c r="Q8" s="184">
        <v>1279</v>
      </c>
      <c r="R8" s="184">
        <v>1064</v>
      </c>
      <c r="S8" s="185">
        <v>2343</v>
      </c>
      <c r="T8" s="184">
        <v>586</v>
      </c>
      <c r="U8" s="184">
        <v>826</v>
      </c>
      <c r="V8" s="185">
        <v>1412</v>
      </c>
      <c r="W8" s="184">
        <v>27</v>
      </c>
      <c r="X8" s="184">
        <v>29</v>
      </c>
      <c r="Y8" s="185">
        <v>56</v>
      </c>
      <c r="Z8" s="184">
        <v>1220</v>
      </c>
      <c r="AA8" s="184">
        <v>1032</v>
      </c>
      <c r="AB8" s="185">
        <v>2252</v>
      </c>
      <c r="AC8" s="185">
        <v>74408</v>
      </c>
      <c r="AD8" s="185">
        <v>67521</v>
      </c>
      <c r="AE8" s="186">
        <f t="shared" si="0"/>
        <v>141929</v>
      </c>
    </row>
    <row r="9" spans="1:31" s="176" customFormat="1" ht="21.75" customHeight="1">
      <c r="A9" s="178">
        <v>5</v>
      </c>
      <c r="B9" s="91" t="s">
        <v>18</v>
      </c>
      <c r="C9" s="184">
        <v>35</v>
      </c>
      <c r="D9" s="184">
        <v>35</v>
      </c>
      <c r="E9" s="184">
        <v>1635</v>
      </c>
      <c r="F9" s="184">
        <v>997</v>
      </c>
      <c r="G9" s="185">
        <v>2632</v>
      </c>
      <c r="H9" s="184">
        <v>55</v>
      </c>
      <c r="I9" s="184">
        <v>15</v>
      </c>
      <c r="J9" s="185">
        <v>70</v>
      </c>
      <c r="K9" s="184">
        <v>39522</v>
      </c>
      <c r="L9" s="184">
        <v>38672</v>
      </c>
      <c r="M9" s="185">
        <v>78194</v>
      </c>
      <c r="N9" s="184">
        <v>81226</v>
      </c>
      <c r="O9" s="184">
        <v>47700</v>
      </c>
      <c r="P9" s="185">
        <v>128926</v>
      </c>
      <c r="Q9" s="184">
        <v>1171</v>
      </c>
      <c r="R9" s="184">
        <v>496</v>
      </c>
      <c r="S9" s="185">
        <v>1667</v>
      </c>
      <c r="T9" s="184">
        <v>1548</v>
      </c>
      <c r="U9" s="184">
        <v>863</v>
      </c>
      <c r="V9" s="185">
        <v>2411</v>
      </c>
      <c r="W9" s="184">
        <v>470</v>
      </c>
      <c r="X9" s="184">
        <v>131</v>
      </c>
      <c r="Y9" s="185">
        <v>601</v>
      </c>
      <c r="Z9" s="184">
        <v>1212</v>
      </c>
      <c r="AA9" s="184">
        <v>657</v>
      </c>
      <c r="AB9" s="185">
        <v>1869</v>
      </c>
      <c r="AC9" s="185">
        <v>126839</v>
      </c>
      <c r="AD9" s="185">
        <v>89531</v>
      </c>
      <c r="AE9" s="186">
        <f t="shared" si="0"/>
        <v>216370</v>
      </c>
    </row>
    <row r="10" spans="1:31" s="176" customFormat="1" ht="21.75" customHeight="1">
      <c r="A10" s="178">
        <v>6</v>
      </c>
      <c r="B10" s="91" t="s">
        <v>19</v>
      </c>
      <c r="C10" s="184">
        <v>3</v>
      </c>
      <c r="D10" s="184">
        <v>3</v>
      </c>
      <c r="E10" s="184">
        <v>404</v>
      </c>
      <c r="F10" s="184">
        <v>491</v>
      </c>
      <c r="G10" s="185">
        <v>895</v>
      </c>
      <c r="H10" s="184">
        <v>140</v>
      </c>
      <c r="I10" s="184">
        <v>48</v>
      </c>
      <c r="J10" s="185">
        <v>188</v>
      </c>
      <c r="K10" s="184">
        <v>7131</v>
      </c>
      <c r="L10" s="184">
        <v>9284</v>
      </c>
      <c r="M10" s="185">
        <v>16415</v>
      </c>
      <c r="N10" s="184">
        <v>19364</v>
      </c>
      <c r="O10" s="184">
        <v>9704</v>
      </c>
      <c r="P10" s="185">
        <v>29068</v>
      </c>
      <c r="Q10" s="184">
        <v>838</v>
      </c>
      <c r="R10" s="184">
        <v>708</v>
      </c>
      <c r="S10" s="185">
        <v>1546</v>
      </c>
      <c r="T10" s="184">
        <v>370</v>
      </c>
      <c r="U10" s="184">
        <v>807</v>
      </c>
      <c r="V10" s="185">
        <v>1177</v>
      </c>
      <c r="W10" s="184">
        <v>419</v>
      </c>
      <c r="X10" s="184">
        <v>281</v>
      </c>
      <c r="Y10" s="185">
        <v>700</v>
      </c>
      <c r="Z10" s="184">
        <v>1081</v>
      </c>
      <c r="AA10" s="184">
        <v>1164</v>
      </c>
      <c r="AB10" s="185">
        <v>2245</v>
      </c>
      <c r="AC10" s="185">
        <v>29747</v>
      </c>
      <c r="AD10" s="185">
        <v>22487</v>
      </c>
      <c r="AE10" s="186">
        <f t="shared" si="0"/>
        <v>52234</v>
      </c>
    </row>
    <row r="11" spans="1:31" s="176" customFormat="1" ht="21.75" customHeight="1">
      <c r="A11" s="178">
        <v>7</v>
      </c>
      <c r="B11" s="91" t="s">
        <v>20</v>
      </c>
      <c r="C11" s="184">
        <v>28</v>
      </c>
      <c r="D11" s="184">
        <v>28</v>
      </c>
      <c r="E11" s="184">
        <v>651</v>
      </c>
      <c r="F11" s="184">
        <v>516</v>
      </c>
      <c r="G11" s="185">
        <v>1167</v>
      </c>
      <c r="H11" s="184">
        <v>109</v>
      </c>
      <c r="I11" s="184">
        <v>89</v>
      </c>
      <c r="J11" s="185">
        <v>198</v>
      </c>
      <c r="K11" s="184">
        <v>12638</v>
      </c>
      <c r="L11" s="184">
        <v>10869</v>
      </c>
      <c r="M11" s="185">
        <v>23507</v>
      </c>
      <c r="N11" s="184">
        <v>32223</v>
      </c>
      <c r="O11" s="184">
        <v>18333</v>
      </c>
      <c r="P11" s="185">
        <v>50556</v>
      </c>
      <c r="Q11" s="184">
        <v>9979</v>
      </c>
      <c r="R11" s="184">
        <v>9741</v>
      </c>
      <c r="S11" s="185">
        <v>19720</v>
      </c>
      <c r="T11" s="184">
        <v>18948</v>
      </c>
      <c r="U11" s="184">
        <v>13141</v>
      </c>
      <c r="V11" s="185">
        <v>32089</v>
      </c>
      <c r="W11" s="184">
        <v>47</v>
      </c>
      <c r="X11" s="184">
        <v>47</v>
      </c>
      <c r="Y11" s="185">
        <v>94</v>
      </c>
      <c r="Z11" s="184">
        <v>1485</v>
      </c>
      <c r="AA11" s="184">
        <v>1246</v>
      </c>
      <c r="AB11" s="185">
        <v>2731</v>
      </c>
      <c r="AC11" s="185">
        <v>76080</v>
      </c>
      <c r="AD11" s="185">
        <v>53982</v>
      </c>
      <c r="AE11" s="186">
        <f t="shared" si="0"/>
        <v>130062</v>
      </c>
    </row>
    <row r="12" spans="1:31" s="176" customFormat="1" ht="21.75" customHeight="1">
      <c r="A12" s="178">
        <v>8</v>
      </c>
      <c r="B12" s="91" t="s">
        <v>155</v>
      </c>
      <c r="C12" s="184">
        <v>0</v>
      </c>
      <c r="D12" s="184">
        <v>0</v>
      </c>
      <c r="E12" s="184">
        <v>0</v>
      </c>
      <c r="F12" s="184">
        <v>0</v>
      </c>
      <c r="G12" s="185">
        <v>0</v>
      </c>
      <c r="H12" s="184">
        <v>0</v>
      </c>
      <c r="I12" s="184">
        <v>0</v>
      </c>
      <c r="J12" s="185">
        <v>0</v>
      </c>
      <c r="K12" s="184">
        <v>56</v>
      </c>
      <c r="L12" s="184">
        <v>62</v>
      </c>
      <c r="M12" s="185">
        <v>118</v>
      </c>
      <c r="N12" s="184">
        <v>0</v>
      </c>
      <c r="O12" s="184">
        <v>0</v>
      </c>
      <c r="P12" s="185">
        <v>0</v>
      </c>
      <c r="Q12" s="184">
        <v>0</v>
      </c>
      <c r="R12" s="184">
        <v>0</v>
      </c>
      <c r="S12" s="185">
        <v>0</v>
      </c>
      <c r="T12" s="184">
        <v>0</v>
      </c>
      <c r="U12" s="184">
        <v>0</v>
      </c>
      <c r="V12" s="185">
        <v>0</v>
      </c>
      <c r="W12" s="184">
        <v>0</v>
      </c>
      <c r="X12" s="184">
        <v>0</v>
      </c>
      <c r="Y12" s="185">
        <v>0</v>
      </c>
      <c r="Z12" s="184">
        <v>0</v>
      </c>
      <c r="AA12" s="184">
        <v>0</v>
      </c>
      <c r="AB12" s="185">
        <v>0</v>
      </c>
      <c r="AC12" s="185">
        <v>56</v>
      </c>
      <c r="AD12" s="185">
        <v>62</v>
      </c>
      <c r="AE12" s="186">
        <f t="shared" si="0"/>
        <v>118</v>
      </c>
    </row>
    <row r="13" spans="1:31" s="176" customFormat="1" ht="21.75" customHeight="1">
      <c r="A13" s="178">
        <v>9</v>
      </c>
      <c r="B13" s="91" t="s">
        <v>156</v>
      </c>
      <c r="C13" s="184">
        <v>0</v>
      </c>
      <c r="D13" s="184">
        <v>0</v>
      </c>
      <c r="E13" s="184">
        <v>0</v>
      </c>
      <c r="F13" s="184">
        <v>0</v>
      </c>
      <c r="G13" s="185">
        <v>0</v>
      </c>
      <c r="H13" s="184">
        <v>0</v>
      </c>
      <c r="I13" s="184">
        <v>0</v>
      </c>
      <c r="J13" s="185">
        <v>0</v>
      </c>
      <c r="K13" s="184">
        <v>0</v>
      </c>
      <c r="L13" s="184">
        <v>0</v>
      </c>
      <c r="M13" s="185">
        <v>0</v>
      </c>
      <c r="N13" s="184">
        <v>0</v>
      </c>
      <c r="O13" s="184">
        <v>0</v>
      </c>
      <c r="P13" s="185">
        <v>0</v>
      </c>
      <c r="Q13" s="184">
        <v>0</v>
      </c>
      <c r="R13" s="184">
        <v>0</v>
      </c>
      <c r="S13" s="185">
        <v>0</v>
      </c>
      <c r="T13" s="184">
        <v>0</v>
      </c>
      <c r="U13" s="184">
        <v>0</v>
      </c>
      <c r="V13" s="185">
        <v>0</v>
      </c>
      <c r="W13" s="184">
        <v>0</v>
      </c>
      <c r="X13" s="184">
        <v>0</v>
      </c>
      <c r="Y13" s="185">
        <v>0</v>
      </c>
      <c r="Z13" s="184">
        <v>0</v>
      </c>
      <c r="AA13" s="184">
        <v>0</v>
      </c>
      <c r="AB13" s="185">
        <v>0</v>
      </c>
      <c r="AC13" s="185">
        <v>0</v>
      </c>
      <c r="AD13" s="185">
        <v>0</v>
      </c>
      <c r="AE13" s="186">
        <f t="shared" si="0"/>
        <v>0</v>
      </c>
    </row>
    <row r="14" spans="1:31" s="176" customFormat="1" ht="21.75" customHeight="1">
      <c r="A14" s="178">
        <v>10</v>
      </c>
      <c r="B14" s="91" t="s">
        <v>23</v>
      </c>
      <c r="C14" s="184">
        <v>28</v>
      </c>
      <c r="D14" s="184">
        <v>27</v>
      </c>
      <c r="E14" s="184">
        <v>8749</v>
      </c>
      <c r="F14" s="184">
        <v>7384</v>
      </c>
      <c r="G14" s="185">
        <v>16133</v>
      </c>
      <c r="H14" s="184">
        <v>650</v>
      </c>
      <c r="I14" s="184">
        <v>672</v>
      </c>
      <c r="J14" s="185">
        <v>1322</v>
      </c>
      <c r="K14" s="184">
        <v>60600</v>
      </c>
      <c r="L14" s="184">
        <v>91738</v>
      </c>
      <c r="M14" s="185">
        <v>152338</v>
      </c>
      <c r="N14" s="184">
        <v>338247</v>
      </c>
      <c r="O14" s="184">
        <v>287634</v>
      </c>
      <c r="P14" s="185">
        <v>625881</v>
      </c>
      <c r="Q14" s="184">
        <v>3908</v>
      </c>
      <c r="R14" s="184">
        <v>2868</v>
      </c>
      <c r="S14" s="185">
        <v>6776</v>
      </c>
      <c r="T14" s="184">
        <v>4441</v>
      </c>
      <c r="U14" s="184">
        <v>3074</v>
      </c>
      <c r="V14" s="185">
        <v>7515</v>
      </c>
      <c r="W14" s="184">
        <v>1694</v>
      </c>
      <c r="X14" s="184">
        <v>755</v>
      </c>
      <c r="Y14" s="185">
        <v>2449</v>
      </c>
      <c r="Z14" s="184">
        <v>2560</v>
      </c>
      <c r="AA14" s="184">
        <v>1136</v>
      </c>
      <c r="AB14" s="185">
        <v>3696</v>
      </c>
      <c r="AC14" s="185">
        <v>420849</v>
      </c>
      <c r="AD14" s="185">
        <v>395261</v>
      </c>
      <c r="AE14" s="186">
        <f t="shared" si="0"/>
        <v>816110</v>
      </c>
    </row>
    <row r="15" spans="1:31" s="176" customFormat="1" ht="21.75" customHeight="1">
      <c r="A15" s="178">
        <v>11</v>
      </c>
      <c r="B15" s="91" t="s">
        <v>24</v>
      </c>
      <c r="C15" s="184">
        <v>3</v>
      </c>
      <c r="D15" s="184">
        <v>3</v>
      </c>
      <c r="E15" s="184">
        <v>150</v>
      </c>
      <c r="F15" s="184">
        <v>129</v>
      </c>
      <c r="G15" s="185">
        <v>279</v>
      </c>
      <c r="H15" s="184">
        <v>0</v>
      </c>
      <c r="I15" s="184">
        <v>2</v>
      </c>
      <c r="J15" s="185">
        <v>2</v>
      </c>
      <c r="K15" s="184">
        <v>1379</v>
      </c>
      <c r="L15" s="184">
        <v>2229</v>
      </c>
      <c r="M15" s="185">
        <v>3608</v>
      </c>
      <c r="N15" s="184">
        <v>2626</v>
      </c>
      <c r="O15" s="184">
        <v>1184</v>
      </c>
      <c r="P15" s="185">
        <v>3810</v>
      </c>
      <c r="Q15" s="184">
        <v>67</v>
      </c>
      <c r="R15" s="184">
        <v>68</v>
      </c>
      <c r="S15" s="185">
        <v>135</v>
      </c>
      <c r="T15" s="184">
        <v>27</v>
      </c>
      <c r="U15" s="184">
        <v>58</v>
      </c>
      <c r="V15" s="185">
        <v>85</v>
      </c>
      <c r="W15" s="184">
        <v>5</v>
      </c>
      <c r="X15" s="184">
        <v>4</v>
      </c>
      <c r="Y15" s="185">
        <v>9</v>
      </c>
      <c r="Z15" s="184">
        <v>82</v>
      </c>
      <c r="AA15" s="184">
        <v>50</v>
      </c>
      <c r="AB15" s="185">
        <v>132</v>
      </c>
      <c r="AC15" s="185">
        <v>4336</v>
      </c>
      <c r="AD15" s="185">
        <v>3724</v>
      </c>
      <c r="AE15" s="186">
        <f t="shared" si="0"/>
        <v>8060</v>
      </c>
    </row>
    <row r="16" spans="1:31" s="176" customFormat="1" ht="21.75" customHeight="1">
      <c r="A16" s="178">
        <v>12</v>
      </c>
      <c r="B16" s="91" t="s">
        <v>25</v>
      </c>
      <c r="C16" s="184">
        <v>76</v>
      </c>
      <c r="D16" s="184">
        <v>76</v>
      </c>
      <c r="E16" s="184">
        <v>3981</v>
      </c>
      <c r="F16" s="184">
        <v>2825</v>
      </c>
      <c r="G16" s="185">
        <v>6806</v>
      </c>
      <c r="H16" s="184">
        <v>305</v>
      </c>
      <c r="I16" s="184">
        <v>377</v>
      </c>
      <c r="J16" s="185">
        <v>682</v>
      </c>
      <c r="K16" s="184">
        <v>30934</v>
      </c>
      <c r="L16" s="184">
        <v>35180</v>
      </c>
      <c r="M16" s="185">
        <v>66114</v>
      </c>
      <c r="N16" s="184">
        <v>131699</v>
      </c>
      <c r="O16" s="184">
        <v>81926</v>
      </c>
      <c r="P16" s="185">
        <v>213625</v>
      </c>
      <c r="Q16" s="184">
        <v>2054</v>
      </c>
      <c r="R16" s="184">
        <v>1826</v>
      </c>
      <c r="S16" s="185">
        <v>3880</v>
      </c>
      <c r="T16" s="184">
        <v>10208</v>
      </c>
      <c r="U16" s="184">
        <v>4722</v>
      </c>
      <c r="V16" s="185">
        <v>14930</v>
      </c>
      <c r="W16" s="184">
        <v>2192</v>
      </c>
      <c r="X16" s="184">
        <v>3099</v>
      </c>
      <c r="Y16" s="185">
        <v>5291</v>
      </c>
      <c r="Z16" s="184">
        <v>5757</v>
      </c>
      <c r="AA16" s="184">
        <v>5383</v>
      </c>
      <c r="AB16" s="185">
        <v>11140</v>
      </c>
      <c r="AC16" s="185">
        <v>187130</v>
      </c>
      <c r="AD16" s="185">
        <v>135338</v>
      </c>
      <c r="AE16" s="186">
        <f t="shared" si="0"/>
        <v>322468</v>
      </c>
    </row>
    <row r="17" spans="1:31" s="176" customFormat="1" ht="21.75" customHeight="1">
      <c r="A17" s="178">
        <v>13</v>
      </c>
      <c r="B17" s="91" t="s">
        <v>26</v>
      </c>
      <c r="C17" s="184">
        <v>53</v>
      </c>
      <c r="D17" s="184">
        <v>51</v>
      </c>
      <c r="E17" s="184">
        <v>1644</v>
      </c>
      <c r="F17" s="184">
        <v>2071</v>
      </c>
      <c r="G17" s="185">
        <v>3715</v>
      </c>
      <c r="H17" s="184">
        <v>80</v>
      </c>
      <c r="I17" s="184">
        <v>219</v>
      </c>
      <c r="J17" s="185">
        <v>299</v>
      </c>
      <c r="K17" s="184">
        <v>27496</v>
      </c>
      <c r="L17" s="184">
        <v>36084</v>
      </c>
      <c r="M17" s="185">
        <v>63580</v>
      </c>
      <c r="N17" s="184">
        <v>124584</v>
      </c>
      <c r="O17" s="184">
        <v>62065</v>
      </c>
      <c r="P17" s="185">
        <v>186649</v>
      </c>
      <c r="Q17" s="184">
        <v>1231</v>
      </c>
      <c r="R17" s="184">
        <v>826</v>
      </c>
      <c r="S17" s="185">
        <v>2057</v>
      </c>
      <c r="T17" s="184">
        <v>2707</v>
      </c>
      <c r="U17" s="184">
        <v>773</v>
      </c>
      <c r="V17" s="185">
        <v>3480</v>
      </c>
      <c r="W17" s="184">
        <v>250</v>
      </c>
      <c r="X17" s="184">
        <v>162</v>
      </c>
      <c r="Y17" s="185">
        <v>412</v>
      </c>
      <c r="Z17" s="184">
        <v>6071</v>
      </c>
      <c r="AA17" s="184">
        <v>5251</v>
      </c>
      <c r="AB17" s="185">
        <v>11322</v>
      </c>
      <c r="AC17" s="185">
        <v>164063</v>
      </c>
      <c r="AD17" s="185">
        <v>107451</v>
      </c>
      <c r="AE17" s="186">
        <f t="shared" si="0"/>
        <v>271514</v>
      </c>
    </row>
    <row r="18" spans="1:31" s="176" customFormat="1" ht="21.75" customHeight="1">
      <c r="A18" s="178">
        <v>14</v>
      </c>
      <c r="B18" s="91" t="s">
        <v>27</v>
      </c>
      <c r="C18" s="184">
        <v>27</v>
      </c>
      <c r="D18" s="184">
        <v>27</v>
      </c>
      <c r="E18" s="184">
        <v>1022</v>
      </c>
      <c r="F18" s="184">
        <v>895</v>
      </c>
      <c r="G18" s="185">
        <v>1917</v>
      </c>
      <c r="H18" s="184">
        <v>118</v>
      </c>
      <c r="I18" s="184">
        <v>214</v>
      </c>
      <c r="J18" s="185">
        <v>332</v>
      </c>
      <c r="K18" s="184">
        <v>10083</v>
      </c>
      <c r="L18" s="184">
        <v>10115</v>
      </c>
      <c r="M18" s="185">
        <v>20198</v>
      </c>
      <c r="N18" s="184">
        <v>36070</v>
      </c>
      <c r="O18" s="184">
        <v>25018</v>
      </c>
      <c r="P18" s="185">
        <v>61088</v>
      </c>
      <c r="Q18" s="184">
        <v>870</v>
      </c>
      <c r="R18" s="184">
        <v>843</v>
      </c>
      <c r="S18" s="185">
        <v>1713</v>
      </c>
      <c r="T18" s="184">
        <v>1400</v>
      </c>
      <c r="U18" s="184">
        <v>1020</v>
      </c>
      <c r="V18" s="185">
        <v>2420</v>
      </c>
      <c r="W18" s="184">
        <v>96</v>
      </c>
      <c r="X18" s="184">
        <v>74</v>
      </c>
      <c r="Y18" s="185">
        <v>170</v>
      </c>
      <c r="Z18" s="184">
        <v>933</v>
      </c>
      <c r="AA18" s="184">
        <v>466</v>
      </c>
      <c r="AB18" s="185">
        <v>1399</v>
      </c>
      <c r="AC18" s="185">
        <v>50592</v>
      </c>
      <c r="AD18" s="185">
        <v>38645</v>
      </c>
      <c r="AE18" s="186">
        <f t="shared" si="0"/>
        <v>89237</v>
      </c>
    </row>
    <row r="19" spans="1:31" s="176" customFormat="1" ht="21.75" customHeight="1">
      <c r="A19" s="178">
        <v>15</v>
      </c>
      <c r="B19" s="91" t="s">
        <v>57</v>
      </c>
      <c r="C19" s="184">
        <v>15</v>
      </c>
      <c r="D19" s="184">
        <v>15</v>
      </c>
      <c r="E19" s="184">
        <v>2018</v>
      </c>
      <c r="F19" s="184">
        <v>1822</v>
      </c>
      <c r="G19" s="185">
        <v>3840</v>
      </c>
      <c r="H19" s="184">
        <v>94</v>
      </c>
      <c r="I19" s="184">
        <v>149</v>
      </c>
      <c r="J19" s="185">
        <v>243</v>
      </c>
      <c r="K19" s="184">
        <v>26558</v>
      </c>
      <c r="L19" s="184">
        <v>32631</v>
      </c>
      <c r="M19" s="185">
        <v>59189</v>
      </c>
      <c r="N19" s="184">
        <v>50747</v>
      </c>
      <c r="O19" s="184">
        <v>32963</v>
      </c>
      <c r="P19" s="185">
        <v>83710</v>
      </c>
      <c r="Q19" s="184">
        <v>758</v>
      </c>
      <c r="R19" s="184">
        <v>510</v>
      </c>
      <c r="S19" s="185">
        <v>1268</v>
      </c>
      <c r="T19" s="184">
        <v>313</v>
      </c>
      <c r="U19" s="184">
        <v>370</v>
      </c>
      <c r="V19" s="185">
        <v>683</v>
      </c>
      <c r="W19" s="184">
        <v>58</v>
      </c>
      <c r="X19" s="184">
        <v>16</v>
      </c>
      <c r="Y19" s="185">
        <v>74</v>
      </c>
      <c r="Z19" s="184">
        <v>1146</v>
      </c>
      <c r="AA19" s="184">
        <v>1629</v>
      </c>
      <c r="AB19" s="185">
        <v>2775</v>
      </c>
      <c r="AC19" s="185">
        <v>81692</v>
      </c>
      <c r="AD19" s="185">
        <v>70090</v>
      </c>
      <c r="AE19" s="186">
        <f t="shared" si="0"/>
        <v>151782</v>
      </c>
    </row>
    <row r="20" spans="1:31" s="176" customFormat="1" ht="21.75" customHeight="1">
      <c r="A20" s="178">
        <v>16</v>
      </c>
      <c r="B20" s="91" t="s">
        <v>29</v>
      </c>
      <c r="C20" s="184">
        <v>32</v>
      </c>
      <c r="D20" s="184">
        <v>31</v>
      </c>
      <c r="E20" s="184">
        <v>2438</v>
      </c>
      <c r="F20" s="184">
        <v>1005</v>
      </c>
      <c r="G20" s="185">
        <v>3443</v>
      </c>
      <c r="H20" s="184">
        <v>8</v>
      </c>
      <c r="I20" s="184">
        <v>20</v>
      </c>
      <c r="J20" s="185">
        <v>28</v>
      </c>
      <c r="K20" s="184">
        <v>29945</v>
      </c>
      <c r="L20" s="184">
        <v>39137</v>
      </c>
      <c r="M20" s="185">
        <v>69082</v>
      </c>
      <c r="N20" s="184">
        <v>55139</v>
      </c>
      <c r="O20" s="184">
        <v>32305</v>
      </c>
      <c r="P20" s="185">
        <v>87444</v>
      </c>
      <c r="Q20" s="184">
        <v>1933</v>
      </c>
      <c r="R20" s="184">
        <v>943</v>
      </c>
      <c r="S20" s="185">
        <v>2876</v>
      </c>
      <c r="T20" s="184">
        <v>4354</v>
      </c>
      <c r="U20" s="184">
        <v>2546</v>
      </c>
      <c r="V20" s="185">
        <v>6900</v>
      </c>
      <c r="W20" s="184">
        <v>112</v>
      </c>
      <c r="X20" s="184">
        <v>106</v>
      </c>
      <c r="Y20" s="185">
        <v>218</v>
      </c>
      <c r="Z20" s="184">
        <v>1725</v>
      </c>
      <c r="AA20" s="184">
        <v>965</v>
      </c>
      <c r="AB20" s="185">
        <v>2690</v>
      </c>
      <c r="AC20" s="185">
        <v>95654</v>
      </c>
      <c r="AD20" s="185">
        <v>77027</v>
      </c>
      <c r="AE20" s="186">
        <f t="shared" si="0"/>
        <v>172681</v>
      </c>
    </row>
    <row r="21" spans="1:31" s="176" customFormat="1" ht="21.75" customHeight="1">
      <c r="A21" s="178">
        <v>17</v>
      </c>
      <c r="B21" s="91" t="s">
        <v>30</v>
      </c>
      <c r="C21" s="184">
        <v>69</v>
      </c>
      <c r="D21" s="184">
        <v>69</v>
      </c>
      <c r="E21" s="184">
        <v>7501</v>
      </c>
      <c r="F21" s="184">
        <v>5943</v>
      </c>
      <c r="G21" s="185">
        <v>13444</v>
      </c>
      <c r="H21" s="184">
        <v>160</v>
      </c>
      <c r="I21" s="184">
        <v>368</v>
      </c>
      <c r="J21" s="185">
        <v>528</v>
      </c>
      <c r="K21" s="184">
        <v>53858</v>
      </c>
      <c r="L21" s="184">
        <v>65454</v>
      </c>
      <c r="M21" s="185">
        <v>119312</v>
      </c>
      <c r="N21" s="184">
        <v>115522</v>
      </c>
      <c r="O21" s="184">
        <v>89581</v>
      </c>
      <c r="P21" s="185">
        <v>205103</v>
      </c>
      <c r="Q21" s="184">
        <v>3173</v>
      </c>
      <c r="R21" s="184">
        <v>2128</v>
      </c>
      <c r="S21" s="185">
        <v>5301</v>
      </c>
      <c r="T21" s="184">
        <v>1198</v>
      </c>
      <c r="U21" s="184">
        <v>1124</v>
      </c>
      <c r="V21" s="185">
        <v>2322</v>
      </c>
      <c r="W21" s="184">
        <v>404</v>
      </c>
      <c r="X21" s="184">
        <v>364</v>
      </c>
      <c r="Y21" s="185">
        <v>768</v>
      </c>
      <c r="Z21" s="184">
        <v>3029</v>
      </c>
      <c r="AA21" s="184">
        <v>2252</v>
      </c>
      <c r="AB21" s="185">
        <v>5281</v>
      </c>
      <c r="AC21" s="185">
        <v>184845</v>
      </c>
      <c r="AD21" s="185">
        <v>167214</v>
      </c>
      <c r="AE21" s="186">
        <f t="shared" si="0"/>
        <v>352059</v>
      </c>
    </row>
    <row r="22" spans="1:31" s="176" customFormat="1" ht="21.75" customHeight="1">
      <c r="A22" s="178">
        <v>18</v>
      </c>
      <c r="B22" s="91" t="s">
        <v>31</v>
      </c>
      <c r="C22" s="184">
        <v>23</v>
      </c>
      <c r="D22" s="184">
        <v>23</v>
      </c>
      <c r="E22" s="184">
        <v>1842</v>
      </c>
      <c r="F22" s="184">
        <v>2666</v>
      </c>
      <c r="G22" s="185">
        <v>4508</v>
      </c>
      <c r="H22" s="184">
        <v>171</v>
      </c>
      <c r="I22" s="184">
        <v>553</v>
      </c>
      <c r="J22" s="185">
        <v>724</v>
      </c>
      <c r="K22" s="184">
        <v>24415</v>
      </c>
      <c r="L22" s="184">
        <v>38598</v>
      </c>
      <c r="M22" s="185">
        <v>63013</v>
      </c>
      <c r="N22" s="184">
        <v>124010</v>
      </c>
      <c r="O22" s="184">
        <v>113314</v>
      </c>
      <c r="P22" s="185">
        <v>237324</v>
      </c>
      <c r="Q22" s="184">
        <v>932</v>
      </c>
      <c r="R22" s="184">
        <v>812</v>
      </c>
      <c r="S22" s="185">
        <v>1744</v>
      </c>
      <c r="T22" s="184">
        <v>327</v>
      </c>
      <c r="U22" s="184">
        <v>555</v>
      </c>
      <c r="V22" s="185">
        <v>882</v>
      </c>
      <c r="W22" s="184">
        <v>960</v>
      </c>
      <c r="X22" s="184">
        <v>1990</v>
      </c>
      <c r="Y22" s="185">
        <v>2950</v>
      </c>
      <c r="Z22" s="184">
        <v>876</v>
      </c>
      <c r="AA22" s="184">
        <v>814</v>
      </c>
      <c r="AB22" s="185">
        <v>1690</v>
      </c>
      <c r="AC22" s="185">
        <v>153533</v>
      </c>
      <c r="AD22" s="185">
        <v>159302</v>
      </c>
      <c r="AE22" s="186">
        <f t="shared" si="0"/>
        <v>312835</v>
      </c>
    </row>
    <row r="23" spans="1:31" s="176" customFormat="1" ht="21.75" customHeight="1">
      <c r="A23" s="178">
        <v>19</v>
      </c>
      <c r="B23" s="137" t="s">
        <v>761</v>
      </c>
      <c r="C23" s="184">
        <v>1</v>
      </c>
      <c r="D23" s="184">
        <v>1</v>
      </c>
      <c r="E23" s="184">
        <v>6</v>
      </c>
      <c r="F23" s="184">
        <v>2</v>
      </c>
      <c r="G23" s="185">
        <v>8</v>
      </c>
      <c r="H23" s="184">
        <v>0</v>
      </c>
      <c r="I23" s="184">
        <v>0</v>
      </c>
      <c r="J23" s="185">
        <v>0</v>
      </c>
      <c r="K23" s="184">
        <v>26</v>
      </c>
      <c r="L23" s="184">
        <v>28</v>
      </c>
      <c r="M23" s="185">
        <v>54</v>
      </c>
      <c r="N23" s="184">
        <v>77</v>
      </c>
      <c r="O23" s="184">
        <v>69</v>
      </c>
      <c r="P23" s="185">
        <v>146</v>
      </c>
      <c r="Q23" s="184">
        <v>0</v>
      </c>
      <c r="R23" s="184">
        <v>0</v>
      </c>
      <c r="S23" s="185">
        <v>0</v>
      </c>
      <c r="T23" s="184">
        <v>0</v>
      </c>
      <c r="U23" s="184">
        <v>0</v>
      </c>
      <c r="V23" s="185">
        <v>0</v>
      </c>
      <c r="W23" s="184">
        <v>0</v>
      </c>
      <c r="X23" s="184">
        <v>0</v>
      </c>
      <c r="Y23" s="185">
        <v>0</v>
      </c>
      <c r="Z23" s="184">
        <v>57</v>
      </c>
      <c r="AA23" s="184">
        <v>98</v>
      </c>
      <c r="AB23" s="185">
        <v>155</v>
      </c>
      <c r="AC23" s="185">
        <v>166</v>
      </c>
      <c r="AD23" s="185">
        <v>197</v>
      </c>
      <c r="AE23" s="186">
        <f>AC23+AD23</f>
        <v>363</v>
      </c>
    </row>
    <row r="24" spans="1:31" s="176" customFormat="1" ht="21.75" customHeight="1">
      <c r="A24" s="178">
        <v>20</v>
      </c>
      <c r="B24" s="91" t="s">
        <v>32</v>
      </c>
      <c r="C24" s="184">
        <v>0</v>
      </c>
      <c r="D24" s="184">
        <v>0</v>
      </c>
      <c r="E24" s="184">
        <v>0</v>
      </c>
      <c r="F24" s="184">
        <v>0</v>
      </c>
      <c r="G24" s="185">
        <v>0</v>
      </c>
      <c r="H24" s="184">
        <v>0</v>
      </c>
      <c r="I24" s="184">
        <v>0</v>
      </c>
      <c r="J24" s="185">
        <v>0</v>
      </c>
      <c r="K24" s="184">
        <v>0</v>
      </c>
      <c r="L24" s="184">
        <v>26</v>
      </c>
      <c r="M24" s="185">
        <v>26</v>
      </c>
      <c r="N24" s="184">
        <v>133</v>
      </c>
      <c r="O24" s="184">
        <v>401</v>
      </c>
      <c r="P24" s="185">
        <v>534</v>
      </c>
      <c r="Q24" s="184">
        <v>0</v>
      </c>
      <c r="R24" s="184">
        <v>0</v>
      </c>
      <c r="S24" s="185">
        <v>0</v>
      </c>
      <c r="T24" s="184">
        <v>0</v>
      </c>
      <c r="U24" s="184">
        <v>0</v>
      </c>
      <c r="V24" s="185">
        <v>0</v>
      </c>
      <c r="W24" s="184">
        <v>0</v>
      </c>
      <c r="X24" s="184">
        <v>0</v>
      </c>
      <c r="Y24" s="185">
        <v>0</v>
      </c>
      <c r="Z24" s="184">
        <v>0</v>
      </c>
      <c r="AA24" s="184">
        <v>0</v>
      </c>
      <c r="AB24" s="185">
        <v>0</v>
      </c>
      <c r="AC24" s="185">
        <v>133</v>
      </c>
      <c r="AD24" s="185">
        <v>427</v>
      </c>
      <c r="AE24" s="186">
        <f>AC24+AD24</f>
        <v>560</v>
      </c>
    </row>
    <row r="25" spans="1:31" s="176" customFormat="1" ht="21.75" customHeight="1">
      <c r="A25" s="178">
        <v>21</v>
      </c>
      <c r="B25" s="91" t="s">
        <v>33</v>
      </c>
      <c r="C25" s="184">
        <v>66</v>
      </c>
      <c r="D25" s="184">
        <v>59</v>
      </c>
      <c r="E25" s="184">
        <v>2460</v>
      </c>
      <c r="F25" s="184">
        <v>1704</v>
      </c>
      <c r="G25" s="185">
        <v>4164</v>
      </c>
      <c r="H25" s="184">
        <v>365</v>
      </c>
      <c r="I25" s="184">
        <v>338</v>
      </c>
      <c r="J25" s="185">
        <v>703</v>
      </c>
      <c r="K25" s="184">
        <v>38474</v>
      </c>
      <c r="L25" s="184">
        <v>39614</v>
      </c>
      <c r="M25" s="185">
        <v>78088</v>
      </c>
      <c r="N25" s="184">
        <v>218008</v>
      </c>
      <c r="O25" s="184">
        <v>127514</v>
      </c>
      <c r="P25" s="185">
        <v>345522</v>
      </c>
      <c r="Q25" s="184">
        <v>13626</v>
      </c>
      <c r="R25" s="184">
        <v>16235</v>
      </c>
      <c r="S25" s="185">
        <v>29861</v>
      </c>
      <c r="T25" s="184">
        <v>36444</v>
      </c>
      <c r="U25" s="184">
        <v>19504</v>
      </c>
      <c r="V25" s="185">
        <v>55948</v>
      </c>
      <c r="W25" s="184">
        <v>1617</v>
      </c>
      <c r="X25" s="184">
        <v>457</v>
      </c>
      <c r="Y25" s="185">
        <v>2074</v>
      </c>
      <c r="Z25" s="184">
        <v>5732</v>
      </c>
      <c r="AA25" s="184">
        <v>3757</v>
      </c>
      <c r="AB25" s="185">
        <v>9489</v>
      </c>
      <c r="AC25" s="185">
        <v>316726</v>
      </c>
      <c r="AD25" s="185">
        <v>209123</v>
      </c>
      <c r="AE25" s="186">
        <f t="shared" ref="AE25:AE41" si="1">AC25+AD25</f>
        <v>525849</v>
      </c>
    </row>
    <row r="26" spans="1:31" s="176" customFormat="1" ht="21.75" customHeight="1">
      <c r="A26" s="178">
        <v>22</v>
      </c>
      <c r="B26" s="91" t="s">
        <v>34</v>
      </c>
      <c r="C26" s="184">
        <v>65</v>
      </c>
      <c r="D26" s="184">
        <v>65</v>
      </c>
      <c r="E26" s="184">
        <v>5009</v>
      </c>
      <c r="F26" s="184">
        <v>3314</v>
      </c>
      <c r="G26" s="185">
        <v>8323</v>
      </c>
      <c r="H26" s="184">
        <v>604</v>
      </c>
      <c r="I26" s="184">
        <v>543</v>
      </c>
      <c r="J26" s="185">
        <v>1147</v>
      </c>
      <c r="K26" s="184">
        <v>105831</v>
      </c>
      <c r="L26" s="184">
        <v>103838</v>
      </c>
      <c r="M26" s="185">
        <v>209669</v>
      </c>
      <c r="N26" s="184">
        <v>444375</v>
      </c>
      <c r="O26" s="184">
        <v>247422</v>
      </c>
      <c r="P26" s="185">
        <v>691797</v>
      </c>
      <c r="Q26" s="184">
        <v>5823</v>
      </c>
      <c r="R26" s="184">
        <v>4747</v>
      </c>
      <c r="S26" s="185">
        <v>10570</v>
      </c>
      <c r="T26" s="184">
        <v>19373</v>
      </c>
      <c r="U26" s="184">
        <v>11936</v>
      </c>
      <c r="V26" s="185">
        <v>31309</v>
      </c>
      <c r="W26" s="184">
        <v>5256</v>
      </c>
      <c r="X26" s="184">
        <v>3351</v>
      </c>
      <c r="Y26" s="185">
        <v>8607</v>
      </c>
      <c r="Z26" s="184">
        <v>3341</v>
      </c>
      <c r="AA26" s="184">
        <v>2271</v>
      </c>
      <c r="AB26" s="185">
        <v>5612</v>
      </c>
      <c r="AC26" s="185">
        <v>589612</v>
      </c>
      <c r="AD26" s="185">
        <v>377422</v>
      </c>
      <c r="AE26" s="186">
        <f t="shared" si="1"/>
        <v>967034</v>
      </c>
    </row>
    <row r="27" spans="1:31" s="176" customFormat="1" ht="21.75" customHeight="1">
      <c r="A27" s="178">
        <v>23</v>
      </c>
      <c r="B27" s="91" t="s">
        <v>35</v>
      </c>
      <c r="C27" s="184">
        <v>8</v>
      </c>
      <c r="D27" s="184">
        <v>7</v>
      </c>
      <c r="E27" s="184">
        <v>538</v>
      </c>
      <c r="F27" s="184">
        <v>505</v>
      </c>
      <c r="G27" s="185">
        <v>1043</v>
      </c>
      <c r="H27" s="184">
        <v>0</v>
      </c>
      <c r="I27" s="184">
        <v>0</v>
      </c>
      <c r="J27" s="185">
        <v>0</v>
      </c>
      <c r="K27" s="184">
        <v>3935</v>
      </c>
      <c r="L27" s="184">
        <v>3771</v>
      </c>
      <c r="M27" s="185">
        <v>7706</v>
      </c>
      <c r="N27" s="184">
        <v>3582</v>
      </c>
      <c r="O27" s="184">
        <v>2589</v>
      </c>
      <c r="P27" s="185">
        <v>6171</v>
      </c>
      <c r="Q27" s="184">
        <v>105</v>
      </c>
      <c r="R27" s="184">
        <v>39</v>
      </c>
      <c r="S27" s="185">
        <v>144</v>
      </c>
      <c r="T27" s="184">
        <v>78</v>
      </c>
      <c r="U27" s="184">
        <v>69</v>
      </c>
      <c r="V27" s="185">
        <v>147</v>
      </c>
      <c r="W27" s="184">
        <v>44</v>
      </c>
      <c r="X27" s="184">
        <v>17</v>
      </c>
      <c r="Y27" s="185">
        <v>61</v>
      </c>
      <c r="Z27" s="184">
        <v>0</v>
      </c>
      <c r="AA27" s="184">
        <v>0</v>
      </c>
      <c r="AB27" s="185">
        <v>0</v>
      </c>
      <c r="AC27" s="185">
        <v>8282</v>
      </c>
      <c r="AD27" s="185">
        <v>6990</v>
      </c>
      <c r="AE27" s="186">
        <f t="shared" si="1"/>
        <v>15272</v>
      </c>
    </row>
    <row r="28" spans="1:31" s="176" customFormat="1" ht="21.75" customHeight="1">
      <c r="A28" s="178">
        <v>24</v>
      </c>
      <c r="B28" s="91" t="s">
        <v>36</v>
      </c>
      <c r="C28" s="184">
        <v>10</v>
      </c>
      <c r="D28" s="184">
        <v>9</v>
      </c>
      <c r="E28" s="184">
        <v>492</v>
      </c>
      <c r="F28" s="184">
        <v>378</v>
      </c>
      <c r="G28" s="185">
        <v>870</v>
      </c>
      <c r="H28" s="184">
        <v>10</v>
      </c>
      <c r="I28" s="184">
        <v>23</v>
      </c>
      <c r="J28" s="185">
        <v>33</v>
      </c>
      <c r="K28" s="184">
        <v>4028</v>
      </c>
      <c r="L28" s="184">
        <v>5887</v>
      </c>
      <c r="M28" s="185">
        <v>9915</v>
      </c>
      <c r="N28" s="184">
        <v>5143</v>
      </c>
      <c r="O28" s="184">
        <v>4432</v>
      </c>
      <c r="P28" s="185">
        <v>9575</v>
      </c>
      <c r="Q28" s="184">
        <v>106</v>
      </c>
      <c r="R28" s="184">
        <v>58</v>
      </c>
      <c r="S28" s="185">
        <v>164</v>
      </c>
      <c r="T28" s="184">
        <v>153</v>
      </c>
      <c r="U28" s="184">
        <v>177</v>
      </c>
      <c r="V28" s="185">
        <v>330</v>
      </c>
      <c r="W28" s="184">
        <v>48</v>
      </c>
      <c r="X28" s="184">
        <v>48</v>
      </c>
      <c r="Y28" s="185">
        <v>96</v>
      </c>
      <c r="Z28" s="184">
        <v>70</v>
      </c>
      <c r="AA28" s="184">
        <v>52</v>
      </c>
      <c r="AB28" s="185">
        <v>122</v>
      </c>
      <c r="AC28" s="185">
        <v>10050</v>
      </c>
      <c r="AD28" s="185">
        <v>11055</v>
      </c>
      <c r="AE28" s="186">
        <f t="shared" si="1"/>
        <v>21105</v>
      </c>
    </row>
    <row r="29" spans="1:31" s="176" customFormat="1" ht="21.75" customHeight="1">
      <c r="A29" s="178">
        <v>25</v>
      </c>
      <c r="B29" s="91" t="s">
        <v>37</v>
      </c>
      <c r="C29" s="184">
        <v>3</v>
      </c>
      <c r="D29" s="184">
        <v>3</v>
      </c>
      <c r="E29" s="184">
        <v>474</v>
      </c>
      <c r="F29" s="184">
        <v>379</v>
      </c>
      <c r="G29" s="185">
        <v>853</v>
      </c>
      <c r="H29" s="184">
        <v>74</v>
      </c>
      <c r="I29" s="184">
        <v>74</v>
      </c>
      <c r="J29" s="185">
        <v>148</v>
      </c>
      <c r="K29" s="184">
        <v>1842</v>
      </c>
      <c r="L29" s="184">
        <v>2146</v>
      </c>
      <c r="M29" s="185">
        <v>3988</v>
      </c>
      <c r="N29" s="184">
        <v>3489</v>
      </c>
      <c r="O29" s="184">
        <v>2734</v>
      </c>
      <c r="P29" s="185">
        <v>6223</v>
      </c>
      <c r="Q29" s="184">
        <v>90</v>
      </c>
      <c r="R29" s="184">
        <v>113</v>
      </c>
      <c r="S29" s="185">
        <v>203</v>
      </c>
      <c r="T29" s="184">
        <v>27</v>
      </c>
      <c r="U29" s="184">
        <v>72</v>
      </c>
      <c r="V29" s="185">
        <v>99</v>
      </c>
      <c r="W29" s="184">
        <v>0</v>
      </c>
      <c r="X29" s="184">
        <v>0</v>
      </c>
      <c r="Y29" s="185">
        <v>0</v>
      </c>
      <c r="Z29" s="184">
        <v>47</v>
      </c>
      <c r="AA29" s="184">
        <v>26</v>
      </c>
      <c r="AB29" s="185">
        <v>73</v>
      </c>
      <c r="AC29" s="185">
        <v>6043</v>
      </c>
      <c r="AD29" s="185">
        <v>5544</v>
      </c>
      <c r="AE29" s="186">
        <f t="shared" si="1"/>
        <v>11587</v>
      </c>
    </row>
    <row r="30" spans="1:31" s="176" customFormat="1" ht="21.75" customHeight="1">
      <c r="A30" s="178">
        <v>26</v>
      </c>
      <c r="B30" s="91" t="s">
        <v>38</v>
      </c>
      <c r="C30" s="184">
        <v>5</v>
      </c>
      <c r="D30" s="184">
        <v>5</v>
      </c>
      <c r="E30" s="184">
        <v>265</v>
      </c>
      <c r="F30" s="184">
        <v>306</v>
      </c>
      <c r="G30" s="185">
        <v>571</v>
      </c>
      <c r="H30" s="184">
        <v>10</v>
      </c>
      <c r="I30" s="184">
        <v>28</v>
      </c>
      <c r="J30" s="185">
        <v>38</v>
      </c>
      <c r="K30" s="184">
        <v>1792</v>
      </c>
      <c r="L30" s="184">
        <v>3096</v>
      </c>
      <c r="M30" s="185">
        <v>4888</v>
      </c>
      <c r="N30" s="184">
        <v>2064</v>
      </c>
      <c r="O30" s="184">
        <v>1587</v>
      </c>
      <c r="P30" s="185">
        <v>3651</v>
      </c>
      <c r="Q30" s="184">
        <v>46</v>
      </c>
      <c r="R30" s="184">
        <v>89</v>
      </c>
      <c r="S30" s="185">
        <v>135</v>
      </c>
      <c r="T30" s="184">
        <v>15</v>
      </c>
      <c r="U30" s="184">
        <v>64</v>
      </c>
      <c r="V30" s="185">
        <v>79</v>
      </c>
      <c r="W30" s="184">
        <v>5</v>
      </c>
      <c r="X30" s="184">
        <v>3</v>
      </c>
      <c r="Y30" s="185">
        <v>8</v>
      </c>
      <c r="Z30" s="184">
        <v>6</v>
      </c>
      <c r="AA30" s="184">
        <v>0</v>
      </c>
      <c r="AB30" s="185">
        <v>6</v>
      </c>
      <c r="AC30" s="185">
        <v>4203</v>
      </c>
      <c r="AD30" s="185">
        <v>5173</v>
      </c>
      <c r="AE30" s="186">
        <f t="shared" si="1"/>
        <v>9376</v>
      </c>
    </row>
    <row r="31" spans="1:31" s="176" customFormat="1" ht="21.75" customHeight="1">
      <c r="A31" s="178">
        <v>27</v>
      </c>
      <c r="B31" s="91" t="s">
        <v>39</v>
      </c>
      <c r="C31" s="184">
        <v>32</v>
      </c>
      <c r="D31" s="184">
        <v>32</v>
      </c>
      <c r="E31" s="184">
        <v>1871</v>
      </c>
      <c r="F31" s="184">
        <v>1321</v>
      </c>
      <c r="G31" s="185">
        <v>3192</v>
      </c>
      <c r="H31" s="184">
        <v>356</v>
      </c>
      <c r="I31" s="184">
        <v>521</v>
      </c>
      <c r="J31" s="185">
        <v>877</v>
      </c>
      <c r="K31" s="184">
        <v>25224</v>
      </c>
      <c r="L31" s="184">
        <v>31077</v>
      </c>
      <c r="M31" s="185">
        <v>56301</v>
      </c>
      <c r="N31" s="184">
        <v>50915</v>
      </c>
      <c r="O31" s="184">
        <v>43480</v>
      </c>
      <c r="P31" s="185">
        <v>94395</v>
      </c>
      <c r="Q31" s="184">
        <v>1149</v>
      </c>
      <c r="R31" s="184">
        <v>517</v>
      </c>
      <c r="S31" s="185">
        <v>1666</v>
      </c>
      <c r="T31" s="184">
        <v>1593</v>
      </c>
      <c r="U31" s="184">
        <v>563</v>
      </c>
      <c r="V31" s="185">
        <v>2156</v>
      </c>
      <c r="W31" s="184">
        <v>93</v>
      </c>
      <c r="X31" s="184">
        <v>137</v>
      </c>
      <c r="Y31" s="185">
        <v>230</v>
      </c>
      <c r="Z31" s="184">
        <v>2303</v>
      </c>
      <c r="AA31" s="184">
        <v>2058</v>
      </c>
      <c r="AB31" s="185">
        <v>4361</v>
      </c>
      <c r="AC31" s="185">
        <v>83504</v>
      </c>
      <c r="AD31" s="185">
        <v>79674</v>
      </c>
      <c r="AE31" s="186">
        <f t="shared" si="1"/>
        <v>163178</v>
      </c>
    </row>
    <row r="32" spans="1:31" s="176" customFormat="1" ht="21.75" customHeight="1">
      <c r="A32" s="178">
        <v>28</v>
      </c>
      <c r="B32" s="91" t="s">
        <v>40</v>
      </c>
      <c r="C32" s="184">
        <v>4</v>
      </c>
      <c r="D32" s="184">
        <v>4</v>
      </c>
      <c r="E32" s="184">
        <v>245</v>
      </c>
      <c r="F32" s="184">
        <v>145</v>
      </c>
      <c r="G32" s="185">
        <v>390</v>
      </c>
      <c r="H32" s="184">
        <v>14</v>
      </c>
      <c r="I32" s="184">
        <v>6</v>
      </c>
      <c r="J32" s="185">
        <v>20</v>
      </c>
      <c r="K32" s="184">
        <v>10276</v>
      </c>
      <c r="L32" s="184">
        <v>9211</v>
      </c>
      <c r="M32" s="185">
        <v>19487</v>
      </c>
      <c r="N32" s="184">
        <v>4243</v>
      </c>
      <c r="O32" s="184">
        <v>4829</v>
      </c>
      <c r="P32" s="185">
        <v>9072</v>
      </c>
      <c r="Q32" s="184">
        <v>49</v>
      </c>
      <c r="R32" s="184">
        <v>46</v>
      </c>
      <c r="S32" s="185">
        <v>95</v>
      </c>
      <c r="T32" s="184">
        <v>1</v>
      </c>
      <c r="U32" s="184">
        <v>14</v>
      </c>
      <c r="V32" s="185">
        <v>15</v>
      </c>
      <c r="W32" s="184">
        <v>0</v>
      </c>
      <c r="X32" s="184">
        <v>0</v>
      </c>
      <c r="Y32" s="185">
        <v>0</v>
      </c>
      <c r="Z32" s="184">
        <v>530</v>
      </c>
      <c r="AA32" s="184">
        <v>487</v>
      </c>
      <c r="AB32" s="185">
        <v>1017</v>
      </c>
      <c r="AC32" s="185">
        <v>15358</v>
      </c>
      <c r="AD32" s="185">
        <v>14738</v>
      </c>
      <c r="AE32" s="186">
        <f t="shared" si="1"/>
        <v>30096</v>
      </c>
    </row>
    <row r="33" spans="1:31" s="176" customFormat="1" ht="21.75" customHeight="1">
      <c r="A33" s="178">
        <v>29</v>
      </c>
      <c r="B33" s="91" t="s">
        <v>41</v>
      </c>
      <c r="C33" s="184">
        <v>32</v>
      </c>
      <c r="D33" s="184">
        <v>32</v>
      </c>
      <c r="E33" s="184">
        <v>4107</v>
      </c>
      <c r="F33" s="184">
        <v>4888</v>
      </c>
      <c r="G33" s="185">
        <v>8995</v>
      </c>
      <c r="H33" s="184">
        <v>303</v>
      </c>
      <c r="I33" s="184">
        <v>293</v>
      </c>
      <c r="J33" s="185">
        <v>596</v>
      </c>
      <c r="K33" s="184">
        <v>23410</v>
      </c>
      <c r="L33" s="184">
        <v>27671</v>
      </c>
      <c r="M33" s="185">
        <v>51081</v>
      </c>
      <c r="N33" s="184">
        <v>99715</v>
      </c>
      <c r="O33" s="184">
        <v>53465</v>
      </c>
      <c r="P33" s="185">
        <v>153180</v>
      </c>
      <c r="Q33" s="184">
        <v>952</v>
      </c>
      <c r="R33" s="184">
        <v>877</v>
      </c>
      <c r="S33" s="185">
        <v>1829</v>
      </c>
      <c r="T33" s="184">
        <v>7606</v>
      </c>
      <c r="U33" s="184">
        <v>12709</v>
      </c>
      <c r="V33" s="185">
        <v>20315</v>
      </c>
      <c r="W33" s="184">
        <v>282</v>
      </c>
      <c r="X33" s="184">
        <v>257</v>
      </c>
      <c r="Y33" s="185">
        <v>539</v>
      </c>
      <c r="Z33" s="184">
        <v>3615</v>
      </c>
      <c r="AA33" s="184">
        <v>3666</v>
      </c>
      <c r="AB33" s="185">
        <v>7281</v>
      </c>
      <c r="AC33" s="185">
        <v>139990</v>
      </c>
      <c r="AD33" s="185">
        <v>103826</v>
      </c>
      <c r="AE33" s="186">
        <f t="shared" si="1"/>
        <v>243816</v>
      </c>
    </row>
    <row r="34" spans="1:31" s="176" customFormat="1" ht="21.75" customHeight="1">
      <c r="A34" s="178">
        <v>30</v>
      </c>
      <c r="B34" s="91" t="s">
        <v>42</v>
      </c>
      <c r="C34" s="184">
        <v>89</v>
      </c>
      <c r="D34" s="184">
        <v>85</v>
      </c>
      <c r="E34" s="184">
        <v>4989</v>
      </c>
      <c r="F34" s="184">
        <v>5093</v>
      </c>
      <c r="G34" s="185">
        <v>10082</v>
      </c>
      <c r="H34" s="184">
        <v>261</v>
      </c>
      <c r="I34" s="184">
        <v>203</v>
      </c>
      <c r="J34" s="185">
        <v>464</v>
      </c>
      <c r="K34" s="184">
        <v>71936</v>
      </c>
      <c r="L34" s="184">
        <v>45325</v>
      </c>
      <c r="M34" s="185">
        <v>117261</v>
      </c>
      <c r="N34" s="184">
        <v>168208</v>
      </c>
      <c r="O34" s="184">
        <v>85050</v>
      </c>
      <c r="P34" s="185">
        <v>253258</v>
      </c>
      <c r="Q34" s="184">
        <v>3566</v>
      </c>
      <c r="R34" s="184">
        <v>1905</v>
      </c>
      <c r="S34" s="185">
        <v>5471</v>
      </c>
      <c r="T34" s="184">
        <v>19816</v>
      </c>
      <c r="U34" s="184">
        <v>7517</v>
      </c>
      <c r="V34" s="185">
        <v>27333</v>
      </c>
      <c r="W34" s="184">
        <v>2427</v>
      </c>
      <c r="X34" s="184">
        <v>1572</v>
      </c>
      <c r="Y34" s="185">
        <v>3999</v>
      </c>
      <c r="Z34" s="184">
        <v>10163</v>
      </c>
      <c r="AA34" s="184">
        <v>6100</v>
      </c>
      <c r="AB34" s="185">
        <v>16263</v>
      </c>
      <c r="AC34" s="185">
        <v>281366</v>
      </c>
      <c r="AD34" s="185">
        <v>152765</v>
      </c>
      <c r="AE34" s="186">
        <f t="shared" si="1"/>
        <v>434131</v>
      </c>
    </row>
    <row r="35" spans="1:31" s="176" customFormat="1" ht="21.75" customHeight="1">
      <c r="A35" s="178">
        <v>31</v>
      </c>
      <c r="B35" s="91" t="s">
        <v>43</v>
      </c>
      <c r="C35" s="184">
        <v>8</v>
      </c>
      <c r="D35" s="184">
        <v>7</v>
      </c>
      <c r="E35" s="184">
        <v>212</v>
      </c>
      <c r="F35" s="184">
        <v>191</v>
      </c>
      <c r="G35" s="185">
        <v>403</v>
      </c>
      <c r="H35" s="184">
        <v>43</v>
      </c>
      <c r="I35" s="184">
        <v>44</v>
      </c>
      <c r="J35" s="185">
        <v>87</v>
      </c>
      <c r="K35" s="184">
        <v>17312</v>
      </c>
      <c r="L35" s="184">
        <v>10545</v>
      </c>
      <c r="M35" s="185">
        <v>27857</v>
      </c>
      <c r="N35" s="184">
        <v>9249</v>
      </c>
      <c r="O35" s="184">
        <v>6183</v>
      </c>
      <c r="P35" s="185">
        <v>15432</v>
      </c>
      <c r="Q35" s="184">
        <v>23</v>
      </c>
      <c r="R35" s="184">
        <v>18</v>
      </c>
      <c r="S35" s="185">
        <v>41</v>
      </c>
      <c r="T35" s="184">
        <v>134</v>
      </c>
      <c r="U35" s="184">
        <v>459</v>
      </c>
      <c r="V35" s="185">
        <v>593</v>
      </c>
      <c r="W35" s="184">
        <v>0</v>
      </c>
      <c r="X35" s="184">
        <v>0</v>
      </c>
      <c r="Y35" s="185">
        <v>0</v>
      </c>
      <c r="Z35" s="184">
        <v>21</v>
      </c>
      <c r="AA35" s="184">
        <v>33</v>
      </c>
      <c r="AB35" s="185">
        <v>54</v>
      </c>
      <c r="AC35" s="185">
        <v>26994</v>
      </c>
      <c r="AD35" s="185">
        <v>17473</v>
      </c>
      <c r="AE35" s="186">
        <f t="shared" si="1"/>
        <v>44467</v>
      </c>
    </row>
    <row r="36" spans="1:31" s="176" customFormat="1" ht="21.75" customHeight="1">
      <c r="A36" s="178">
        <v>32</v>
      </c>
      <c r="B36" s="91" t="s">
        <v>44</v>
      </c>
      <c r="C36" s="184">
        <v>59</v>
      </c>
      <c r="D36" s="184">
        <v>59</v>
      </c>
      <c r="E36" s="184">
        <v>12930</v>
      </c>
      <c r="F36" s="184">
        <v>10571</v>
      </c>
      <c r="G36" s="185">
        <v>23501</v>
      </c>
      <c r="H36" s="184">
        <v>675</v>
      </c>
      <c r="I36" s="184">
        <v>2713</v>
      </c>
      <c r="J36" s="185">
        <v>3388</v>
      </c>
      <c r="K36" s="184">
        <v>113084</v>
      </c>
      <c r="L36" s="184">
        <v>150077</v>
      </c>
      <c r="M36" s="185">
        <v>263161</v>
      </c>
      <c r="N36" s="184">
        <v>346695</v>
      </c>
      <c r="O36" s="184">
        <v>230905</v>
      </c>
      <c r="P36" s="185">
        <v>577600</v>
      </c>
      <c r="Q36" s="184">
        <v>7923</v>
      </c>
      <c r="R36" s="184">
        <v>5349</v>
      </c>
      <c r="S36" s="185">
        <v>13272</v>
      </c>
      <c r="T36" s="184">
        <v>7126</v>
      </c>
      <c r="U36" s="184">
        <v>9201</v>
      </c>
      <c r="V36" s="185">
        <v>16327</v>
      </c>
      <c r="W36" s="184">
        <v>6819</v>
      </c>
      <c r="X36" s="184">
        <v>6083</v>
      </c>
      <c r="Y36" s="185">
        <v>12902</v>
      </c>
      <c r="Z36" s="184">
        <v>8882</v>
      </c>
      <c r="AA36" s="184">
        <v>7457</v>
      </c>
      <c r="AB36" s="185">
        <v>16339</v>
      </c>
      <c r="AC36" s="185">
        <v>504134</v>
      </c>
      <c r="AD36" s="185">
        <v>422356</v>
      </c>
      <c r="AE36" s="186">
        <f t="shared" si="1"/>
        <v>926490</v>
      </c>
    </row>
    <row r="37" spans="1:31" s="176" customFormat="1" ht="21.75" customHeight="1">
      <c r="A37" s="178">
        <v>33</v>
      </c>
      <c r="B37" s="91" t="s">
        <v>134</v>
      </c>
      <c r="C37" s="184">
        <v>24</v>
      </c>
      <c r="D37" s="184">
        <v>24</v>
      </c>
      <c r="E37" s="184">
        <v>3488</v>
      </c>
      <c r="F37" s="184">
        <v>1962</v>
      </c>
      <c r="G37" s="185">
        <v>5450</v>
      </c>
      <c r="H37" s="184">
        <v>193</v>
      </c>
      <c r="I37" s="184">
        <v>130</v>
      </c>
      <c r="J37" s="185">
        <v>323</v>
      </c>
      <c r="K37" s="184">
        <v>28792</v>
      </c>
      <c r="L37" s="184">
        <v>31202</v>
      </c>
      <c r="M37" s="185">
        <v>59994</v>
      </c>
      <c r="N37" s="184">
        <v>23113</v>
      </c>
      <c r="O37" s="184">
        <v>17955</v>
      </c>
      <c r="P37" s="185">
        <v>41068</v>
      </c>
      <c r="Q37" s="184">
        <v>1816</v>
      </c>
      <c r="R37" s="184">
        <v>1149</v>
      </c>
      <c r="S37" s="185">
        <v>2965</v>
      </c>
      <c r="T37" s="184">
        <v>1699</v>
      </c>
      <c r="U37" s="184">
        <v>648</v>
      </c>
      <c r="V37" s="185">
        <v>2347</v>
      </c>
      <c r="W37" s="184">
        <v>771</v>
      </c>
      <c r="X37" s="184">
        <v>465</v>
      </c>
      <c r="Y37" s="185">
        <v>1236</v>
      </c>
      <c r="Z37" s="184">
        <v>2249</v>
      </c>
      <c r="AA37" s="184">
        <v>1535</v>
      </c>
      <c r="AB37" s="185">
        <v>3784</v>
      </c>
      <c r="AC37" s="185">
        <v>62121</v>
      </c>
      <c r="AD37" s="185">
        <v>55046</v>
      </c>
      <c r="AE37" s="186">
        <f t="shared" si="1"/>
        <v>117167</v>
      </c>
    </row>
    <row r="38" spans="1:31" s="176" customFormat="1" ht="21.75" customHeight="1">
      <c r="A38" s="178">
        <v>34</v>
      </c>
      <c r="B38" s="91" t="s">
        <v>45</v>
      </c>
      <c r="C38" s="184">
        <v>4</v>
      </c>
      <c r="D38" s="184">
        <v>4</v>
      </c>
      <c r="E38" s="184">
        <v>381</v>
      </c>
      <c r="F38" s="184">
        <v>223</v>
      </c>
      <c r="G38" s="185">
        <v>604</v>
      </c>
      <c r="H38" s="184">
        <v>0</v>
      </c>
      <c r="I38" s="184">
        <v>0</v>
      </c>
      <c r="J38" s="185">
        <v>0</v>
      </c>
      <c r="K38" s="184">
        <v>5812</v>
      </c>
      <c r="L38" s="184">
        <v>5716</v>
      </c>
      <c r="M38" s="185">
        <v>11528</v>
      </c>
      <c r="N38" s="184">
        <v>6887</v>
      </c>
      <c r="O38" s="184">
        <v>2735</v>
      </c>
      <c r="P38" s="185">
        <v>9622</v>
      </c>
      <c r="Q38" s="184">
        <v>67</v>
      </c>
      <c r="R38" s="184">
        <v>64</v>
      </c>
      <c r="S38" s="185">
        <v>131</v>
      </c>
      <c r="T38" s="184">
        <v>18</v>
      </c>
      <c r="U38" s="184">
        <v>17</v>
      </c>
      <c r="V38" s="185">
        <v>35</v>
      </c>
      <c r="W38" s="184">
        <v>0</v>
      </c>
      <c r="X38" s="184">
        <v>0</v>
      </c>
      <c r="Y38" s="185">
        <v>0</v>
      </c>
      <c r="Z38" s="184">
        <v>396</v>
      </c>
      <c r="AA38" s="184">
        <v>242</v>
      </c>
      <c r="AB38" s="185">
        <v>638</v>
      </c>
      <c r="AC38" s="185">
        <v>13561</v>
      </c>
      <c r="AD38" s="185">
        <v>8997</v>
      </c>
      <c r="AE38" s="186">
        <f t="shared" si="1"/>
        <v>22558</v>
      </c>
    </row>
    <row r="39" spans="1:31" s="176" customFormat="1" ht="21.75" customHeight="1">
      <c r="A39" s="178">
        <v>35</v>
      </c>
      <c r="B39" s="91" t="s">
        <v>47</v>
      </c>
      <c r="C39" s="184">
        <v>81</v>
      </c>
      <c r="D39" s="184">
        <v>77</v>
      </c>
      <c r="E39" s="184">
        <v>12829</v>
      </c>
      <c r="F39" s="184">
        <v>9383</v>
      </c>
      <c r="G39" s="185">
        <v>22212</v>
      </c>
      <c r="H39" s="184">
        <v>187</v>
      </c>
      <c r="I39" s="184">
        <v>303</v>
      </c>
      <c r="J39" s="185">
        <v>490</v>
      </c>
      <c r="K39" s="184">
        <v>70214</v>
      </c>
      <c r="L39" s="184">
        <v>58064</v>
      </c>
      <c r="M39" s="185">
        <v>128278</v>
      </c>
      <c r="N39" s="184">
        <v>224551</v>
      </c>
      <c r="O39" s="184">
        <v>117701</v>
      </c>
      <c r="P39" s="185">
        <v>342252</v>
      </c>
      <c r="Q39" s="184">
        <v>8379</v>
      </c>
      <c r="R39" s="184">
        <v>7089</v>
      </c>
      <c r="S39" s="185">
        <v>15468</v>
      </c>
      <c r="T39" s="184">
        <v>24836</v>
      </c>
      <c r="U39" s="184">
        <v>7712</v>
      </c>
      <c r="V39" s="185">
        <v>32548</v>
      </c>
      <c r="W39" s="184">
        <v>2455</v>
      </c>
      <c r="X39" s="184">
        <v>1972</v>
      </c>
      <c r="Y39" s="185">
        <v>4427</v>
      </c>
      <c r="Z39" s="184">
        <v>10696</v>
      </c>
      <c r="AA39" s="184">
        <v>6952</v>
      </c>
      <c r="AB39" s="185">
        <v>17648</v>
      </c>
      <c r="AC39" s="185">
        <v>354147</v>
      </c>
      <c r="AD39" s="185">
        <v>209176</v>
      </c>
      <c r="AE39" s="186">
        <f t="shared" si="1"/>
        <v>563323</v>
      </c>
    </row>
    <row r="40" spans="1:31" s="176" customFormat="1" ht="21.75" customHeight="1">
      <c r="A40" s="178">
        <v>36</v>
      </c>
      <c r="B40" s="91" t="s">
        <v>46</v>
      </c>
      <c r="C40" s="184">
        <v>36</v>
      </c>
      <c r="D40" s="184">
        <v>36</v>
      </c>
      <c r="E40" s="184">
        <v>3006</v>
      </c>
      <c r="F40" s="184">
        <v>1497</v>
      </c>
      <c r="G40" s="185">
        <v>4503</v>
      </c>
      <c r="H40" s="184">
        <v>21</v>
      </c>
      <c r="I40" s="184">
        <v>13</v>
      </c>
      <c r="J40" s="185">
        <v>34</v>
      </c>
      <c r="K40" s="184">
        <v>21898</v>
      </c>
      <c r="L40" s="184">
        <v>25754</v>
      </c>
      <c r="M40" s="185">
        <v>47652</v>
      </c>
      <c r="N40" s="184">
        <v>85651</v>
      </c>
      <c r="O40" s="184">
        <v>66951</v>
      </c>
      <c r="P40" s="185">
        <v>152602</v>
      </c>
      <c r="Q40" s="184">
        <v>636</v>
      </c>
      <c r="R40" s="184">
        <v>374</v>
      </c>
      <c r="S40" s="185">
        <v>1010</v>
      </c>
      <c r="T40" s="184">
        <v>2959</v>
      </c>
      <c r="U40" s="184">
        <v>994</v>
      </c>
      <c r="V40" s="185">
        <v>3953</v>
      </c>
      <c r="W40" s="184">
        <v>61</v>
      </c>
      <c r="X40" s="184">
        <v>31</v>
      </c>
      <c r="Y40" s="185">
        <v>92</v>
      </c>
      <c r="Z40" s="184">
        <v>2809</v>
      </c>
      <c r="AA40" s="184">
        <v>2000</v>
      </c>
      <c r="AB40" s="185">
        <v>4809</v>
      </c>
      <c r="AC40" s="185">
        <v>117041</v>
      </c>
      <c r="AD40" s="185">
        <v>97614</v>
      </c>
      <c r="AE40" s="186">
        <f t="shared" si="1"/>
        <v>214655</v>
      </c>
    </row>
    <row r="41" spans="1:31" s="176" customFormat="1" ht="21.75" customHeight="1">
      <c r="A41" s="178">
        <v>37</v>
      </c>
      <c r="B41" s="91" t="s">
        <v>48</v>
      </c>
      <c r="C41" s="184">
        <v>47</v>
      </c>
      <c r="D41" s="184">
        <v>47</v>
      </c>
      <c r="E41" s="184">
        <v>7919</v>
      </c>
      <c r="F41" s="184">
        <v>4741</v>
      </c>
      <c r="G41" s="185">
        <v>12660</v>
      </c>
      <c r="H41" s="184">
        <v>1062</v>
      </c>
      <c r="I41" s="184">
        <v>929</v>
      </c>
      <c r="J41" s="185">
        <v>1991</v>
      </c>
      <c r="K41" s="184">
        <v>47888</v>
      </c>
      <c r="L41" s="184">
        <v>71996</v>
      </c>
      <c r="M41" s="185">
        <v>119884</v>
      </c>
      <c r="N41" s="184">
        <v>116827</v>
      </c>
      <c r="O41" s="184">
        <v>73752</v>
      </c>
      <c r="P41" s="185">
        <v>190579</v>
      </c>
      <c r="Q41" s="184">
        <v>1210</v>
      </c>
      <c r="R41" s="184">
        <v>891</v>
      </c>
      <c r="S41" s="185">
        <v>2101</v>
      </c>
      <c r="T41" s="184">
        <v>2341</v>
      </c>
      <c r="U41" s="184">
        <v>1376</v>
      </c>
      <c r="V41" s="185">
        <v>3717</v>
      </c>
      <c r="W41" s="184">
        <v>2944</v>
      </c>
      <c r="X41" s="184">
        <v>1500</v>
      </c>
      <c r="Y41" s="185">
        <v>4444</v>
      </c>
      <c r="Z41" s="184">
        <v>5807</v>
      </c>
      <c r="AA41" s="184">
        <v>1951</v>
      </c>
      <c r="AB41" s="185">
        <v>7758</v>
      </c>
      <c r="AC41" s="185">
        <v>185998</v>
      </c>
      <c r="AD41" s="185">
        <v>157136</v>
      </c>
      <c r="AE41" s="186">
        <f t="shared" si="1"/>
        <v>343134</v>
      </c>
    </row>
    <row r="42" spans="1:31" s="188" customFormat="1" ht="21.75" customHeight="1">
      <c r="A42" s="796" t="s">
        <v>49</v>
      </c>
      <c r="B42" s="796"/>
      <c r="C42" s="181">
        <f>SUM(C5:C41)</f>
        <v>1043</v>
      </c>
      <c r="D42" s="182">
        <f>SUM(D5:D41)</f>
        <v>1019</v>
      </c>
      <c r="E42" s="187">
        <f t="shared" ref="E42:G42" si="2">SUM(E5:E41)</f>
        <v>99659</v>
      </c>
      <c r="F42" s="187">
        <f t="shared" si="2"/>
        <v>78217</v>
      </c>
      <c r="G42" s="187">
        <f t="shared" si="2"/>
        <v>177876</v>
      </c>
      <c r="H42" s="187">
        <f t="shared" ref="H42:AD42" si="3">SUM(H5:H41)</f>
        <v>6461</v>
      </c>
      <c r="I42" s="187">
        <f t="shared" si="3"/>
        <v>9413</v>
      </c>
      <c r="J42" s="187">
        <f t="shared" si="3"/>
        <v>15874</v>
      </c>
      <c r="K42" s="187">
        <f>SUM(K5:K41)</f>
        <v>983466</v>
      </c>
      <c r="L42" s="187">
        <f t="shared" si="3"/>
        <v>1113085</v>
      </c>
      <c r="M42" s="187">
        <f t="shared" si="3"/>
        <v>2096551</v>
      </c>
      <c r="N42" s="187">
        <f>SUM(N5:N41)</f>
        <v>3160539</v>
      </c>
      <c r="O42" s="187">
        <f t="shared" si="3"/>
        <v>2061807</v>
      </c>
      <c r="P42" s="187">
        <f t="shared" si="3"/>
        <v>5222346</v>
      </c>
      <c r="Q42" s="187">
        <f>SUM(Q5:Q41)</f>
        <v>74632</v>
      </c>
      <c r="R42" s="187">
        <f t="shared" si="3"/>
        <v>63053</v>
      </c>
      <c r="S42" s="187">
        <f t="shared" si="3"/>
        <v>137685</v>
      </c>
      <c r="T42" s="187">
        <f>SUM(T5:T41)</f>
        <v>171993</v>
      </c>
      <c r="U42" s="187">
        <f t="shared" si="3"/>
        <v>104165</v>
      </c>
      <c r="V42" s="187">
        <f t="shared" si="3"/>
        <v>276158</v>
      </c>
      <c r="W42" s="187">
        <f>SUM(W5:W41)</f>
        <v>32798</v>
      </c>
      <c r="X42" s="187">
        <f t="shared" si="3"/>
        <v>28051</v>
      </c>
      <c r="Y42" s="187">
        <f t="shared" si="3"/>
        <v>60849</v>
      </c>
      <c r="Z42" s="187">
        <f>SUM(Z5:Z41)</f>
        <v>87722</v>
      </c>
      <c r="AA42" s="187">
        <f t="shared" si="3"/>
        <v>63307</v>
      </c>
      <c r="AB42" s="187">
        <f t="shared" si="3"/>
        <v>151029</v>
      </c>
      <c r="AC42" s="187">
        <f t="shared" si="3"/>
        <v>4617270</v>
      </c>
      <c r="AD42" s="187">
        <f t="shared" si="3"/>
        <v>3521098</v>
      </c>
      <c r="AE42" s="186">
        <f>AC42+AD42</f>
        <v>8138368</v>
      </c>
    </row>
    <row r="43" spans="1:31" s="176" customFormat="1" ht="19.5" customHeight="1">
      <c r="C43" s="451" t="s">
        <v>99</v>
      </c>
      <c r="N43" s="176" t="str">
        <f>C43</f>
        <v>Note - Constituent Colleges of State/Central University not included.</v>
      </c>
      <c r="W43" s="176" t="str">
        <f>C43</f>
        <v>Note - Constituent Colleges of State/Central University not included.</v>
      </c>
    </row>
  </sheetData>
  <mergeCells count="16">
    <mergeCell ref="A42:B42"/>
    <mergeCell ref="N2:P2"/>
    <mergeCell ref="Q2:S2"/>
    <mergeCell ref="T2:V2"/>
    <mergeCell ref="W2:Y2"/>
    <mergeCell ref="A2:A3"/>
    <mergeCell ref="B2:B3"/>
    <mergeCell ref="C2:D2"/>
    <mergeCell ref="E2:G2"/>
    <mergeCell ref="H2:J2"/>
    <mergeCell ref="C1:M1"/>
    <mergeCell ref="N1:V1"/>
    <mergeCell ref="W1:AE1"/>
    <mergeCell ref="Z2:AB2"/>
    <mergeCell ref="AC2:AE2"/>
    <mergeCell ref="K2:M2"/>
  </mergeCells>
  <printOptions horizontalCentered="1"/>
  <pageMargins left="0.43307086614173229" right="0.15748031496062992" top="0.51181102362204722" bottom="0.27559055118110237" header="0.19685039370078741" footer="0.15748031496062992"/>
  <pageSetup paperSize="9" scale="80" firstPageNumber="7" orientation="portrait" useFirstPageNumber="1" r:id="rId1"/>
  <headerFooter>
    <oddFooter>&amp;LAISHE 2019-20&amp;CT-7</oddFooter>
  </headerFooter>
  <colBreaks count="2" manualBreakCount="2">
    <brk id="13" max="1048575" man="1"/>
    <brk id="2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50"/>
  </sheetPr>
  <dimension ref="A1:AH42"/>
  <sheetViews>
    <sheetView view="pageBreakPreview" zoomScale="90" zoomScaleSheetLayoutView="90" workbookViewId="0">
      <pane xSplit="2" ySplit="4" topLeftCell="W35" activePane="bottomRight" state="frozen"/>
      <selection activeCell="B4" sqref="B4"/>
      <selection pane="topRight" activeCell="B4" sqref="B4"/>
      <selection pane="bottomLeft" activeCell="B4" sqref="B4"/>
      <selection pane="bottomRight" activeCell="AF5" sqref="AF5"/>
    </sheetView>
  </sheetViews>
  <sheetFormatPr defaultColWidth="9.140625" defaultRowHeight="15"/>
  <cols>
    <col min="1" max="1" width="5.140625" style="191" customWidth="1"/>
    <col min="2" max="2" width="27" style="191" customWidth="1"/>
    <col min="3" max="3" width="7.85546875" style="191" customWidth="1"/>
    <col min="4" max="4" width="12.5703125" style="191" customWidth="1"/>
    <col min="5" max="5" width="8.42578125" style="191" customWidth="1"/>
    <col min="6" max="7" width="7.85546875" style="191" customWidth="1"/>
    <col min="8" max="8" width="7.28515625" style="191" customWidth="1"/>
    <col min="9" max="9" width="8.28515625" style="191" customWidth="1"/>
    <col min="10" max="10" width="6.42578125" style="191" customWidth="1"/>
    <col min="11" max="11" width="8.5703125" style="191" customWidth="1"/>
    <col min="12" max="12" width="9.85546875" style="191" customWidth="1"/>
    <col min="13" max="13" width="9.140625" style="191"/>
    <col min="14" max="14" width="11.85546875" style="191" customWidth="1"/>
    <col min="15" max="15" width="12" style="191" customWidth="1"/>
    <col min="16" max="16" width="10.28515625" style="191" customWidth="1"/>
    <col min="17" max="22" width="9.7109375" style="191" customWidth="1"/>
    <col min="23" max="28" width="9.85546875" style="191" customWidth="1"/>
    <col min="29" max="29" width="11.140625" style="191" customWidth="1"/>
    <col min="30" max="30" width="11.7109375" style="191" customWidth="1"/>
    <col min="31" max="31" width="10.42578125" style="191" customWidth="1"/>
    <col min="32" max="32" width="12.28515625" style="191" customWidth="1"/>
    <col min="33" max="33" width="9.140625" style="191"/>
    <col min="34" max="34" width="12" style="191" customWidth="1"/>
    <col min="35" max="16384" width="9.140625" style="191"/>
  </cols>
  <sheetData>
    <row r="1" spans="1:34" s="452" customFormat="1" ht="34.5" customHeight="1">
      <c r="B1" s="150" t="s">
        <v>152</v>
      </c>
      <c r="C1" s="800" t="s">
        <v>909</v>
      </c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 t="str">
        <f>C1</f>
        <v>Number of Colleges and Enrolment in responding Colleges at various levels 
(Based on actual Response)</v>
      </c>
      <c r="O1" s="800"/>
      <c r="P1" s="800"/>
      <c r="Q1" s="800"/>
      <c r="R1" s="800"/>
      <c r="S1" s="800"/>
      <c r="T1" s="800"/>
      <c r="U1" s="800"/>
      <c r="V1" s="800"/>
      <c r="W1" s="800" t="str">
        <f>N1</f>
        <v>Number of Colleges and Enrolment in responding Colleges at various levels 
(Based on actual Response)</v>
      </c>
      <c r="X1" s="800"/>
      <c r="Y1" s="800"/>
      <c r="Z1" s="800"/>
      <c r="AA1" s="800"/>
      <c r="AB1" s="800"/>
      <c r="AC1" s="800"/>
      <c r="AD1" s="800"/>
      <c r="AE1" s="800"/>
    </row>
    <row r="2" spans="1:34" s="196" customFormat="1" ht="31.9" customHeight="1">
      <c r="A2" s="805" t="s">
        <v>165</v>
      </c>
      <c r="B2" s="807" t="s">
        <v>713</v>
      </c>
      <c r="C2" s="801" t="s">
        <v>101</v>
      </c>
      <c r="D2" s="803"/>
      <c r="E2" s="801" t="s">
        <v>89</v>
      </c>
      <c r="F2" s="802"/>
      <c r="G2" s="803"/>
      <c r="H2" s="801" t="s">
        <v>90</v>
      </c>
      <c r="I2" s="802"/>
      <c r="J2" s="803"/>
      <c r="K2" s="801" t="s">
        <v>85</v>
      </c>
      <c r="L2" s="802"/>
      <c r="M2" s="803"/>
      <c r="N2" s="801" t="s">
        <v>86</v>
      </c>
      <c r="O2" s="802"/>
      <c r="P2" s="803"/>
      <c r="Q2" s="801" t="s">
        <v>91</v>
      </c>
      <c r="R2" s="802"/>
      <c r="S2" s="803"/>
      <c r="T2" s="801" t="s">
        <v>92</v>
      </c>
      <c r="U2" s="802"/>
      <c r="V2" s="803"/>
      <c r="W2" s="801" t="s">
        <v>93</v>
      </c>
      <c r="X2" s="802"/>
      <c r="Y2" s="803"/>
      <c r="Z2" s="801" t="s">
        <v>94</v>
      </c>
      <c r="AA2" s="802"/>
      <c r="AB2" s="803"/>
      <c r="AC2" s="801" t="s">
        <v>60</v>
      </c>
      <c r="AD2" s="802"/>
      <c r="AE2" s="803"/>
    </row>
    <row r="3" spans="1:34" s="194" customFormat="1" ht="31.9" customHeight="1">
      <c r="A3" s="806"/>
      <c r="B3" s="807"/>
      <c r="C3" s="468" t="s">
        <v>12</v>
      </c>
      <c r="D3" s="468" t="s">
        <v>98</v>
      </c>
      <c r="E3" s="469" t="s">
        <v>87</v>
      </c>
      <c r="F3" s="469" t="s">
        <v>88</v>
      </c>
      <c r="G3" s="469" t="s">
        <v>12</v>
      </c>
      <c r="H3" s="469" t="s">
        <v>87</v>
      </c>
      <c r="I3" s="469" t="s">
        <v>88</v>
      </c>
      <c r="J3" s="469" t="s">
        <v>12</v>
      </c>
      <c r="K3" s="469" t="s">
        <v>87</v>
      </c>
      <c r="L3" s="469" t="s">
        <v>88</v>
      </c>
      <c r="M3" s="469" t="s">
        <v>12</v>
      </c>
      <c r="N3" s="469" t="s">
        <v>87</v>
      </c>
      <c r="O3" s="469" t="s">
        <v>88</v>
      </c>
      <c r="P3" s="469" t="s">
        <v>12</v>
      </c>
      <c r="Q3" s="469" t="s">
        <v>87</v>
      </c>
      <c r="R3" s="469" t="s">
        <v>88</v>
      </c>
      <c r="S3" s="469" t="s">
        <v>12</v>
      </c>
      <c r="T3" s="469" t="s">
        <v>87</v>
      </c>
      <c r="U3" s="469" t="s">
        <v>88</v>
      </c>
      <c r="V3" s="469" t="s">
        <v>12</v>
      </c>
      <c r="W3" s="469" t="s">
        <v>87</v>
      </c>
      <c r="X3" s="469" t="s">
        <v>88</v>
      </c>
      <c r="Y3" s="469" t="s">
        <v>12</v>
      </c>
      <c r="Z3" s="469" t="s">
        <v>87</v>
      </c>
      <c r="AA3" s="469" t="s">
        <v>88</v>
      </c>
      <c r="AB3" s="469" t="s">
        <v>12</v>
      </c>
      <c r="AC3" s="469" t="s">
        <v>87</v>
      </c>
      <c r="AD3" s="469" t="s">
        <v>88</v>
      </c>
      <c r="AE3" s="469" t="s">
        <v>12</v>
      </c>
    </row>
    <row r="4" spans="1:34" s="153" customFormat="1" ht="15" customHeight="1">
      <c r="A4" s="152">
        <v>1</v>
      </c>
      <c r="B4" s="152">
        <v>2</v>
      </c>
      <c r="C4" s="152">
        <v>3</v>
      </c>
      <c r="D4" s="152">
        <v>4</v>
      </c>
      <c r="E4" s="152">
        <v>5</v>
      </c>
      <c r="F4" s="152">
        <v>6</v>
      </c>
      <c r="G4" s="152">
        <v>7</v>
      </c>
      <c r="H4" s="152">
        <v>8</v>
      </c>
      <c r="I4" s="152">
        <v>9</v>
      </c>
      <c r="J4" s="152">
        <v>10</v>
      </c>
      <c r="K4" s="152">
        <v>11</v>
      </c>
      <c r="L4" s="152">
        <v>12</v>
      </c>
      <c r="M4" s="152">
        <v>13</v>
      </c>
      <c r="N4" s="152">
        <v>14</v>
      </c>
      <c r="O4" s="152">
        <v>15</v>
      </c>
      <c r="P4" s="152">
        <v>16</v>
      </c>
      <c r="Q4" s="152">
        <v>17</v>
      </c>
      <c r="R4" s="152">
        <v>18</v>
      </c>
      <c r="S4" s="152">
        <v>19</v>
      </c>
      <c r="T4" s="152">
        <v>20</v>
      </c>
      <c r="U4" s="152">
        <v>21</v>
      </c>
      <c r="V4" s="152">
        <v>22</v>
      </c>
      <c r="W4" s="152">
        <v>23</v>
      </c>
      <c r="X4" s="152">
        <v>24</v>
      </c>
      <c r="Y4" s="152">
        <v>25</v>
      </c>
      <c r="Z4" s="152">
        <v>26</v>
      </c>
      <c r="AA4" s="152">
        <v>27</v>
      </c>
      <c r="AB4" s="152">
        <v>28</v>
      </c>
      <c r="AC4" s="152">
        <v>29</v>
      </c>
      <c r="AD4" s="152">
        <v>30</v>
      </c>
      <c r="AE4" s="152">
        <v>31</v>
      </c>
    </row>
    <row r="5" spans="1:34" s="153" customFormat="1" ht="30" customHeight="1">
      <c r="A5" s="189">
        <v>1</v>
      </c>
      <c r="B5" s="190" t="s">
        <v>154</v>
      </c>
      <c r="C5" s="184">
        <v>8</v>
      </c>
      <c r="D5" s="184">
        <v>8</v>
      </c>
      <c r="E5" s="184">
        <v>5</v>
      </c>
      <c r="F5" s="184">
        <v>9</v>
      </c>
      <c r="G5" s="184">
        <v>14</v>
      </c>
      <c r="H5" s="184">
        <v>0</v>
      </c>
      <c r="I5" s="184">
        <v>0</v>
      </c>
      <c r="J5" s="184">
        <v>0</v>
      </c>
      <c r="K5" s="184">
        <v>69</v>
      </c>
      <c r="L5" s="184">
        <v>283</v>
      </c>
      <c r="M5" s="184">
        <v>352</v>
      </c>
      <c r="N5" s="184">
        <v>1933</v>
      </c>
      <c r="O5" s="184">
        <v>2757</v>
      </c>
      <c r="P5" s="184">
        <v>4690</v>
      </c>
      <c r="Q5" s="184">
        <v>0</v>
      </c>
      <c r="R5" s="184">
        <v>0</v>
      </c>
      <c r="S5" s="184">
        <v>0</v>
      </c>
      <c r="T5" s="184">
        <v>273</v>
      </c>
      <c r="U5" s="184">
        <v>128</v>
      </c>
      <c r="V5" s="184">
        <v>401</v>
      </c>
      <c r="W5" s="184">
        <v>46</v>
      </c>
      <c r="X5" s="184">
        <v>36</v>
      </c>
      <c r="Y5" s="184">
        <v>82</v>
      </c>
      <c r="Z5" s="184">
        <v>145</v>
      </c>
      <c r="AA5" s="184">
        <v>224</v>
      </c>
      <c r="AB5" s="184">
        <v>369</v>
      </c>
      <c r="AC5" s="184">
        <v>2471</v>
      </c>
      <c r="AD5" s="184">
        <v>3437</v>
      </c>
      <c r="AE5" s="645">
        <f>AC5+AD5</f>
        <v>5908</v>
      </c>
      <c r="AF5" s="153">
        <f>'10CollegeEst'!E5+'10CollegeEst'!H5</f>
        <v>5042</v>
      </c>
      <c r="AG5" s="739">
        <f>M5+P5</f>
        <v>5042</v>
      </c>
      <c r="AH5" s="739">
        <f>AE5+AF5-AG5</f>
        <v>5908</v>
      </c>
    </row>
    <row r="6" spans="1:34" s="153" customFormat="1" ht="24.75" customHeight="1">
      <c r="A6" s="189">
        <v>2</v>
      </c>
      <c r="B6" s="106" t="s">
        <v>15</v>
      </c>
      <c r="C6" s="184">
        <v>2750</v>
      </c>
      <c r="D6" s="184">
        <v>2501</v>
      </c>
      <c r="E6" s="184">
        <v>962</v>
      </c>
      <c r="F6" s="184">
        <v>614</v>
      </c>
      <c r="G6" s="184">
        <v>1576</v>
      </c>
      <c r="H6" s="184">
        <v>102</v>
      </c>
      <c r="I6" s="184">
        <v>34</v>
      </c>
      <c r="J6" s="184">
        <v>136</v>
      </c>
      <c r="K6" s="184">
        <v>73624</v>
      </c>
      <c r="L6" s="184">
        <v>68039</v>
      </c>
      <c r="M6" s="184">
        <v>141663</v>
      </c>
      <c r="N6" s="184">
        <v>617882</v>
      </c>
      <c r="O6" s="184">
        <v>561805</v>
      </c>
      <c r="P6" s="184">
        <v>1179687</v>
      </c>
      <c r="Q6" s="184">
        <v>266</v>
      </c>
      <c r="R6" s="184">
        <v>211</v>
      </c>
      <c r="S6" s="184">
        <v>477</v>
      </c>
      <c r="T6" s="184">
        <v>25687</v>
      </c>
      <c r="U6" s="184">
        <v>6912</v>
      </c>
      <c r="V6" s="184">
        <v>32599</v>
      </c>
      <c r="W6" s="184">
        <v>978</v>
      </c>
      <c r="X6" s="184">
        <v>1697</v>
      </c>
      <c r="Y6" s="184">
        <v>2675</v>
      </c>
      <c r="Z6" s="184">
        <v>5728</v>
      </c>
      <c r="AA6" s="184">
        <v>2324</v>
      </c>
      <c r="AB6" s="184">
        <v>8052</v>
      </c>
      <c r="AC6" s="184">
        <v>725229</v>
      </c>
      <c r="AD6" s="184">
        <v>641636</v>
      </c>
      <c r="AE6" s="645">
        <f t="shared" ref="AE6:AE41" si="0">AC6+AD6</f>
        <v>1366865</v>
      </c>
      <c r="AF6" s="153">
        <f>'10CollegeEst'!E6+'10CollegeEst'!H6</f>
        <v>1321350</v>
      </c>
      <c r="AG6" s="739">
        <f t="shared" ref="AG6:AG41" si="1">M6+P6</f>
        <v>1321350</v>
      </c>
      <c r="AH6" s="739">
        <f t="shared" ref="AH6:AH41" si="2">AE6+AF6-AG6</f>
        <v>1366865</v>
      </c>
    </row>
    <row r="7" spans="1:34" s="153" customFormat="1" ht="24.75" customHeight="1">
      <c r="A7" s="189">
        <v>3</v>
      </c>
      <c r="B7" s="106" t="s">
        <v>16</v>
      </c>
      <c r="C7" s="184">
        <v>39</v>
      </c>
      <c r="D7" s="184">
        <v>38</v>
      </c>
      <c r="E7" s="184">
        <v>4</v>
      </c>
      <c r="F7" s="184">
        <v>10</v>
      </c>
      <c r="G7" s="184">
        <v>14</v>
      </c>
      <c r="H7" s="184">
        <v>0</v>
      </c>
      <c r="I7" s="184">
        <v>0</v>
      </c>
      <c r="J7" s="184">
        <v>0</v>
      </c>
      <c r="K7" s="184">
        <v>62</v>
      </c>
      <c r="L7" s="184">
        <v>140</v>
      </c>
      <c r="M7" s="184">
        <v>202</v>
      </c>
      <c r="N7" s="184">
        <v>10157</v>
      </c>
      <c r="O7" s="184">
        <v>10435</v>
      </c>
      <c r="P7" s="184">
        <v>20592</v>
      </c>
      <c r="Q7" s="184">
        <v>0</v>
      </c>
      <c r="R7" s="184">
        <v>0</v>
      </c>
      <c r="S7" s="184">
        <v>0</v>
      </c>
      <c r="T7" s="184">
        <v>0</v>
      </c>
      <c r="U7" s="184">
        <v>0</v>
      </c>
      <c r="V7" s="184">
        <v>0</v>
      </c>
      <c r="W7" s="184">
        <v>0</v>
      </c>
      <c r="X7" s="184">
        <v>0</v>
      </c>
      <c r="Y7" s="184">
        <v>0</v>
      </c>
      <c r="Z7" s="184">
        <v>116</v>
      </c>
      <c r="AA7" s="184">
        <v>89</v>
      </c>
      <c r="AB7" s="184">
        <v>205</v>
      </c>
      <c r="AC7" s="184">
        <v>10339</v>
      </c>
      <c r="AD7" s="184">
        <v>10674</v>
      </c>
      <c r="AE7" s="645">
        <f t="shared" si="0"/>
        <v>21013</v>
      </c>
      <c r="AF7" s="153">
        <f>'10CollegeEst'!E7+'10CollegeEst'!H7</f>
        <v>20794</v>
      </c>
      <c r="AG7" s="739">
        <f t="shared" si="1"/>
        <v>20794</v>
      </c>
      <c r="AH7" s="739">
        <f t="shared" si="2"/>
        <v>21013</v>
      </c>
    </row>
    <row r="8" spans="1:34" s="153" customFormat="1" ht="24.75" customHeight="1">
      <c r="A8" s="189">
        <v>4</v>
      </c>
      <c r="B8" s="106" t="s">
        <v>17</v>
      </c>
      <c r="C8" s="184">
        <v>558</v>
      </c>
      <c r="D8" s="184">
        <v>533</v>
      </c>
      <c r="E8" s="184">
        <v>129</v>
      </c>
      <c r="F8" s="184">
        <v>87</v>
      </c>
      <c r="G8" s="184">
        <v>216</v>
      </c>
      <c r="H8" s="184">
        <v>2</v>
      </c>
      <c r="I8" s="184">
        <v>26</v>
      </c>
      <c r="J8" s="184">
        <v>28</v>
      </c>
      <c r="K8" s="184">
        <v>3286</v>
      </c>
      <c r="L8" s="184">
        <v>5224</v>
      </c>
      <c r="M8" s="184">
        <v>8510</v>
      </c>
      <c r="N8" s="184">
        <v>212550</v>
      </c>
      <c r="O8" s="184">
        <v>235704</v>
      </c>
      <c r="P8" s="184">
        <v>448254</v>
      </c>
      <c r="Q8" s="184">
        <v>254</v>
      </c>
      <c r="R8" s="184">
        <v>352</v>
      </c>
      <c r="S8" s="184">
        <v>606</v>
      </c>
      <c r="T8" s="184">
        <v>996</v>
      </c>
      <c r="U8" s="184">
        <v>922</v>
      </c>
      <c r="V8" s="184">
        <v>1918</v>
      </c>
      <c r="W8" s="184">
        <v>708</v>
      </c>
      <c r="X8" s="184">
        <v>1038</v>
      </c>
      <c r="Y8" s="184">
        <v>1746</v>
      </c>
      <c r="Z8" s="184">
        <v>1226</v>
      </c>
      <c r="AA8" s="184">
        <v>1215</v>
      </c>
      <c r="AB8" s="184">
        <v>2441</v>
      </c>
      <c r="AC8" s="184">
        <v>219151</v>
      </c>
      <c r="AD8" s="184">
        <v>244568</v>
      </c>
      <c r="AE8" s="645">
        <f t="shared" si="0"/>
        <v>463719</v>
      </c>
      <c r="AF8" s="153">
        <f>'10CollegeEst'!E8+'10CollegeEst'!H8</f>
        <v>483407</v>
      </c>
      <c r="AG8" s="739">
        <f t="shared" si="1"/>
        <v>456764</v>
      </c>
      <c r="AH8" s="739">
        <f t="shared" si="2"/>
        <v>490362</v>
      </c>
    </row>
    <row r="9" spans="1:34" s="153" customFormat="1" ht="24.75" customHeight="1">
      <c r="A9" s="189">
        <v>5</v>
      </c>
      <c r="B9" s="106" t="s">
        <v>18</v>
      </c>
      <c r="C9" s="184">
        <v>874</v>
      </c>
      <c r="D9" s="184">
        <v>863</v>
      </c>
      <c r="E9" s="184">
        <v>29</v>
      </c>
      <c r="F9" s="184">
        <v>37</v>
      </c>
      <c r="G9" s="184">
        <v>66</v>
      </c>
      <c r="H9" s="184">
        <v>0</v>
      </c>
      <c r="I9" s="184">
        <v>0</v>
      </c>
      <c r="J9" s="184">
        <v>0</v>
      </c>
      <c r="K9" s="184">
        <v>21709</v>
      </c>
      <c r="L9" s="184">
        <v>20838</v>
      </c>
      <c r="M9" s="184">
        <v>42547</v>
      </c>
      <c r="N9" s="184">
        <v>773344</v>
      </c>
      <c r="O9" s="184">
        <v>628761</v>
      </c>
      <c r="P9" s="184">
        <v>1402105</v>
      </c>
      <c r="Q9" s="184">
        <v>201</v>
      </c>
      <c r="R9" s="184">
        <v>110</v>
      </c>
      <c r="S9" s="184">
        <v>311</v>
      </c>
      <c r="T9" s="184">
        <v>8717</v>
      </c>
      <c r="U9" s="184">
        <v>8960</v>
      </c>
      <c r="V9" s="184">
        <v>17677</v>
      </c>
      <c r="W9" s="184">
        <v>3392</v>
      </c>
      <c r="X9" s="184">
        <v>2220</v>
      </c>
      <c r="Y9" s="184">
        <v>5612</v>
      </c>
      <c r="Z9" s="184">
        <v>1046</v>
      </c>
      <c r="AA9" s="184">
        <v>369</v>
      </c>
      <c r="AB9" s="184">
        <v>1415</v>
      </c>
      <c r="AC9" s="184">
        <v>808438</v>
      </c>
      <c r="AD9" s="184">
        <v>661295</v>
      </c>
      <c r="AE9" s="645">
        <f t="shared" si="0"/>
        <v>1469733</v>
      </c>
      <c r="AF9" s="153">
        <f>'10CollegeEst'!E9+'10CollegeEst'!H9</f>
        <v>1444652</v>
      </c>
      <c r="AG9" s="739">
        <f t="shared" si="1"/>
        <v>1444652</v>
      </c>
      <c r="AH9" s="739">
        <f t="shared" si="2"/>
        <v>1469733</v>
      </c>
    </row>
    <row r="10" spans="1:34" s="153" customFormat="1" ht="24.75" customHeight="1">
      <c r="A10" s="189">
        <v>6</v>
      </c>
      <c r="B10" s="106" t="s">
        <v>19</v>
      </c>
      <c r="C10" s="184">
        <v>25</v>
      </c>
      <c r="D10" s="184">
        <v>25</v>
      </c>
      <c r="E10" s="184">
        <v>5</v>
      </c>
      <c r="F10" s="184">
        <v>59</v>
      </c>
      <c r="G10" s="184">
        <v>64</v>
      </c>
      <c r="H10" s="184">
        <v>0</v>
      </c>
      <c r="I10" s="184">
        <v>0</v>
      </c>
      <c r="J10" s="184">
        <v>0</v>
      </c>
      <c r="K10" s="184">
        <v>1429</v>
      </c>
      <c r="L10" s="184">
        <v>4570</v>
      </c>
      <c r="M10" s="184">
        <v>5999</v>
      </c>
      <c r="N10" s="184">
        <v>18984</v>
      </c>
      <c r="O10" s="184">
        <v>24512</v>
      </c>
      <c r="P10" s="184">
        <v>43496</v>
      </c>
      <c r="Q10" s="184">
        <v>227</v>
      </c>
      <c r="R10" s="184">
        <v>407</v>
      </c>
      <c r="S10" s="184">
        <v>634</v>
      </c>
      <c r="T10" s="184">
        <v>85</v>
      </c>
      <c r="U10" s="184">
        <v>94</v>
      </c>
      <c r="V10" s="184">
        <v>179</v>
      </c>
      <c r="W10" s="184">
        <v>0</v>
      </c>
      <c r="X10" s="184">
        <v>0</v>
      </c>
      <c r="Y10" s="184">
        <v>0</v>
      </c>
      <c r="Z10" s="184">
        <v>58</v>
      </c>
      <c r="AA10" s="184">
        <v>126</v>
      </c>
      <c r="AB10" s="184">
        <v>184</v>
      </c>
      <c r="AC10" s="184">
        <v>20788</v>
      </c>
      <c r="AD10" s="184">
        <v>29768</v>
      </c>
      <c r="AE10" s="645">
        <f t="shared" si="0"/>
        <v>50556</v>
      </c>
      <c r="AF10" s="153">
        <f>'10CollegeEst'!E10+'10CollegeEst'!H10</f>
        <v>49495</v>
      </c>
      <c r="AG10" s="739">
        <f t="shared" si="1"/>
        <v>49495</v>
      </c>
      <c r="AH10" s="739">
        <f t="shared" si="2"/>
        <v>50556</v>
      </c>
    </row>
    <row r="11" spans="1:34" s="153" customFormat="1" ht="24.75" customHeight="1">
      <c r="A11" s="189">
        <v>7</v>
      </c>
      <c r="B11" s="106" t="s">
        <v>20</v>
      </c>
      <c r="C11" s="184">
        <v>810</v>
      </c>
      <c r="D11" s="184">
        <v>807</v>
      </c>
      <c r="E11" s="184">
        <v>173</v>
      </c>
      <c r="F11" s="184">
        <v>175</v>
      </c>
      <c r="G11" s="184">
        <v>348</v>
      </c>
      <c r="H11" s="184">
        <v>0</v>
      </c>
      <c r="I11" s="184">
        <v>0</v>
      </c>
      <c r="J11" s="184">
        <v>0</v>
      </c>
      <c r="K11" s="184">
        <v>17475</v>
      </c>
      <c r="L11" s="184">
        <v>29527</v>
      </c>
      <c r="M11" s="184">
        <v>47002</v>
      </c>
      <c r="N11" s="184">
        <v>155048</v>
      </c>
      <c r="O11" s="184">
        <v>209518</v>
      </c>
      <c r="P11" s="184">
        <v>364566</v>
      </c>
      <c r="Q11" s="184">
        <v>3844</v>
      </c>
      <c r="R11" s="184">
        <v>4548</v>
      </c>
      <c r="S11" s="184">
        <v>8392</v>
      </c>
      <c r="T11" s="184">
        <v>17200</v>
      </c>
      <c r="U11" s="184">
        <v>10611</v>
      </c>
      <c r="V11" s="184">
        <v>27811</v>
      </c>
      <c r="W11" s="184">
        <v>158</v>
      </c>
      <c r="X11" s="184">
        <v>240</v>
      </c>
      <c r="Y11" s="184">
        <v>398</v>
      </c>
      <c r="Z11" s="184">
        <v>397</v>
      </c>
      <c r="AA11" s="184">
        <v>602</v>
      </c>
      <c r="AB11" s="184">
        <v>999</v>
      </c>
      <c r="AC11" s="184">
        <v>194295</v>
      </c>
      <c r="AD11" s="184">
        <v>255221</v>
      </c>
      <c r="AE11" s="645">
        <f t="shared" si="0"/>
        <v>449516</v>
      </c>
      <c r="AF11" s="153">
        <f>'10CollegeEst'!E11+'10CollegeEst'!H11</f>
        <v>411568</v>
      </c>
      <c r="AG11" s="739">
        <f t="shared" si="1"/>
        <v>411568</v>
      </c>
      <c r="AH11" s="739">
        <f t="shared" si="2"/>
        <v>449516</v>
      </c>
    </row>
    <row r="12" spans="1:34" s="153" customFormat="1" ht="24.75" customHeight="1">
      <c r="A12" s="189">
        <v>8</v>
      </c>
      <c r="B12" s="106" t="s">
        <v>155</v>
      </c>
      <c r="C12" s="184">
        <v>8</v>
      </c>
      <c r="D12" s="184">
        <v>8</v>
      </c>
      <c r="E12" s="184">
        <v>0</v>
      </c>
      <c r="F12" s="184">
        <v>0</v>
      </c>
      <c r="G12" s="184">
        <v>0</v>
      </c>
      <c r="H12" s="184">
        <v>0</v>
      </c>
      <c r="I12" s="184">
        <v>0</v>
      </c>
      <c r="J12" s="184">
        <v>0</v>
      </c>
      <c r="K12" s="184">
        <v>66</v>
      </c>
      <c r="L12" s="184">
        <v>185</v>
      </c>
      <c r="M12" s="184">
        <v>251</v>
      </c>
      <c r="N12" s="184">
        <v>2247</v>
      </c>
      <c r="O12" s="184">
        <v>2822</v>
      </c>
      <c r="P12" s="184">
        <v>5069</v>
      </c>
      <c r="Q12" s="184">
        <v>0</v>
      </c>
      <c r="R12" s="184">
        <v>0</v>
      </c>
      <c r="S12" s="184">
        <v>0</v>
      </c>
      <c r="T12" s="184">
        <v>596</v>
      </c>
      <c r="U12" s="184">
        <v>135</v>
      </c>
      <c r="V12" s="184">
        <v>731</v>
      </c>
      <c r="W12" s="184">
        <v>0</v>
      </c>
      <c r="X12" s="184">
        <v>0</v>
      </c>
      <c r="Y12" s="184">
        <v>0</v>
      </c>
      <c r="Z12" s="184">
        <v>11</v>
      </c>
      <c r="AA12" s="184">
        <v>26</v>
      </c>
      <c r="AB12" s="184">
        <v>37</v>
      </c>
      <c r="AC12" s="184">
        <v>2920</v>
      </c>
      <c r="AD12" s="184">
        <v>3168</v>
      </c>
      <c r="AE12" s="645">
        <f t="shared" si="0"/>
        <v>6088</v>
      </c>
      <c r="AF12" s="153">
        <f>'10CollegeEst'!E12+'10CollegeEst'!H12</f>
        <v>5320</v>
      </c>
      <c r="AG12" s="739">
        <f t="shared" si="1"/>
        <v>5320</v>
      </c>
      <c r="AH12" s="739">
        <f t="shared" si="2"/>
        <v>6088</v>
      </c>
    </row>
    <row r="13" spans="1:34" s="153" customFormat="1" ht="24.75" customHeight="1">
      <c r="A13" s="189">
        <v>9</v>
      </c>
      <c r="B13" s="106" t="s">
        <v>156</v>
      </c>
      <c r="C13" s="184">
        <v>10</v>
      </c>
      <c r="D13" s="184">
        <v>10</v>
      </c>
      <c r="E13" s="184">
        <v>0</v>
      </c>
      <c r="F13" s="184">
        <v>0</v>
      </c>
      <c r="G13" s="184">
        <v>0</v>
      </c>
      <c r="H13" s="184">
        <v>0</v>
      </c>
      <c r="I13" s="184">
        <v>0</v>
      </c>
      <c r="J13" s="184">
        <v>0</v>
      </c>
      <c r="K13" s="184">
        <v>66</v>
      </c>
      <c r="L13" s="184">
        <v>186</v>
      </c>
      <c r="M13" s="184">
        <v>252</v>
      </c>
      <c r="N13" s="184">
        <v>1035</v>
      </c>
      <c r="O13" s="184">
        <v>1310</v>
      </c>
      <c r="P13" s="184">
        <v>2345</v>
      </c>
      <c r="Q13" s="184">
        <v>0</v>
      </c>
      <c r="R13" s="184">
        <v>0</v>
      </c>
      <c r="S13" s="184">
        <v>0</v>
      </c>
      <c r="T13" s="184">
        <v>1089</v>
      </c>
      <c r="U13" s="184">
        <v>246</v>
      </c>
      <c r="V13" s="184">
        <v>1335</v>
      </c>
      <c r="W13" s="184">
        <v>0</v>
      </c>
      <c r="X13" s="184">
        <v>0</v>
      </c>
      <c r="Y13" s="184">
        <v>0</v>
      </c>
      <c r="Z13" s="184">
        <v>0</v>
      </c>
      <c r="AA13" s="184">
        <v>0</v>
      </c>
      <c r="AB13" s="184">
        <v>0</v>
      </c>
      <c r="AC13" s="184">
        <v>2190</v>
      </c>
      <c r="AD13" s="184">
        <v>1742</v>
      </c>
      <c r="AE13" s="645">
        <f t="shared" si="0"/>
        <v>3932</v>
      </c>
      <c r="AF13" s="153">
        <f>'10CollegeEst'!E13+'10CollegeEst'!H13</f>
        <v>2597</v>
      </c>
      <c r="AG13" s="739">
        <f t="shared" si="1"/>
        <v>2597</v>
      </c>
      <c r="AH13" s="739">
        <f t="shared" si="2"/>
        <v>3932</v>
      </c>
    </row>
    <row r="14" spans="1:34" s="153" customFormat="1" ht="24.75" customHeight="1">
      <c r="A14" s="189">
        <v>10</v>
      </c>
      <c r="B14" s="106" t="s">
        <v>23</v>
      </c>
      <c r="C14" s="184">
        <v>179</v>
      </c>
      <c r="D14" s="184">
        <v>174</v>
      </c>
      <c r="E14" s="184">
        <v>60</v>
      </c>
      <c r="F14" s="184">
        <v>73</v>
      </c>
      <c r="G14" s="184">
        <v>133</v>
      </c>
      <c r="H14" s="184">
        <v>0</v>
      </c>
      <c r="I14" s="184">
        <v>0</v>
      </c>
      <c r="J14" s="184">
        <v>0</v>
      </c>
      <c r="K14" s="184">
        <v>5865</v>
      </c>
      <c r="L14" s="184">
        <v>8161</v>
      </c>
      <c r="M14" s="184">
        <v>14026</v>
      </c>
      <c r="N14" s="184">
        <v>128305</v>
      </c>
      <c r="O14" s="184">
        <v>131231</v>
      </c>
      <c r="P14" s="184">
        <v>259536</v>
      </c>
      <c r="Q14" s="184">
        <v>777</v>
      </c>
      <c r="R14" s="184">
        <v>807</v>
      </c>
      <c r="S14" s="184">
        <v>1584</v>
      </c>
      <c r="T14" s="184">
        <v>1477</v>
      </c>
      <c r="U14" s="184">
        <v>3276</v>
      </c>
      <c r="V14" s="184">
        <v>4753</v>
      </c>
      <c r="W14" s="184">
        <v>405</v>
      </c>
      <c r="X14" s="184">
        <v>660</v>
      </c>
      <c r="Y14" s="184">
        <v>1065</v>
      </c>
      <c r="Z14" s="184">
        <v>439</v>
      </c>
      <c r="AA14" s="184">
        <v>361</v>
      </c>
      <c r="AB14" s="184">
        <v>800</v>
      </c>
      <c r="AC14" s="184">
        <v>137328</v>
      </c>
      <c r="AD14" s="184">
        <v>144569</v>
      </c>
      <c r="AE14" s="645">
        <f t="shared" si="0"/>
        <v>281897</v>
      </c>
      <c r="AF14" s="153">
        <f>'10CollegeEst'!E14+'10CollegeEst'!H14</f>
        <v>273562</v>
      </c>
      <c r="AG14" s="739">
        <f t="shared" si="1"/>
        <v>273562</v>
      </c>
      <c r="AH14" s="739">
        <f t="shared" si="2"/>
        <v>281897</v>
      </c>
    </row>
    <row r="15" spans="1:34" s="153" customFormat="1" ht="24.75" customHeight="1">
      <c r="A15" s="189">
        <v>11</v>
      </c>
      <c r="B15" s="106" t="s">
        <v>24</v>
      </c>
      <c r="C15" s="184">
        <v>58</v>
      </c>
      <c r="D15" s="184">
        <v>58</v>
      </c>
      <c r="E15" s="184">
        <v>67</v>
      </c>
      <c r="F15" s="184">
        <v>87</v>
      </c>
      <c r="G15" s="184">
        <v>154</v>
      </c>
      <c r="H15" s="184">
        <v>1</v>
      </c>
      <c r="I15" s="184">
        <v>2</v>
      </c>
      <c r="J15" s="184">
        <v>3</v>
      </c>
      <c r="K15" s="184">
        <v>639</v>
      </c>
      <c r="L15" s="184">
        <v>1601</v>
      </c>
      <c r="M15" s="184">
        <v>2240</v>
      </c>
      <c r="N15" s="184">
        <v>14917</v>
      </c>
      <c r="O15" s="184">
        <v>20571</v>
      </c>
      <c r="P15" s="184">
        <v>35488</v>
      </c>
      <c r="Q15" s="184">
        <v>38</v>
      </c>
      <c r="R15" s="184">
        <v>39</v>
      </c>
      <c r="S15" s="184">
        <v>77</v>
      </c>
      <c r="T15" s="184">
        <v>93</v>
      </c>
      <c r="U15" s="184">
        <v>217</v>
      </c>
      <c r="V15" s="184">
        <v>310</v>
      </c>
      <c r="W15" s="184">
        <v>15</v>
      </c>
      <c r="X15" s="184">
        <v>0</v>
      </c>
      <c r="Y15" s="184">
        <v>15</v>
      </c>
      <c r="Z15" s="184">
        <v>114</v>
      </c>
      <c r="AA15" s="184">
        <v>478</v>
      </c>
      <c r="AB15" s="184">
        <v>592</v>
      </c>
      <c r="AC15" s="184">
        <v>15884</v>
      </c>
      <c r="AD15" s="184">
        <v>22995</v>
      </c>
      <c r="AE15" s="645">
        <f t="shared" si="0"/>
        <v>38879</v>
      </c>
      <c r="AF15" s="153">
        <f>'10CollegeEst'!E15+'10CollegeEst'!H15</f>
        <v>37728</v>
      </c>
      <c r="AG15" s="739">
        <f t="shared" si="1"/>
        <v>37728</v>
      </c>
      <c r="AH15" s="739">
        <f t="shared" si="2"/>
        <v>38879</v>
      </c>
    </row>
    <row r="16" spans="1:34" s="153" customFormat="1" ht="24.75" customHeight="1">
      <c r="A16" s="189">
        <v>12</v>
      </c>
      <c r="B16" s="106" t="s">
        <v>25</v>
      </c>
      <c r="C16" s="184">
        <v>2275</v>
      </c>
      <c r="D16" s="184">
        <v>2258</v>
      </c>
      <c r="E16" s="184">
        <v>365</v>
      </c>
      <c r="F16" s="184">
        <v>191</v>
      </c>
      <c r="G16" s="184">
        <v>556</v>
      </c>
      <c r="H16" s="184">
        <v>163</v>
      </c>
      <c r="I16" s="184">
        <v>92</v>
      </c>
      <c r="J16" s="184">
        <v>255</v>
      </c>
      <c r="K16" s="184">
        <v>36247</v>
      </c>
      <c r="L16" s="184">
        <v>51915</v>
      </c>
      <c r="M16" s="184">
        <v>88162</v>
      </c>
      <c r="N16" s="184">
        <v>548523</v>
      </c>
      <c r="O16" s="184">
        <v>443575</v>
      </c>
      <c r="P16" s="184">
        <v>992098</v>
      </c>
      <c r="Q16" s="184">
        <v>771</v>
      </c>
      <c r="R16" s="184">
        <v>1028</v>
      </c>
      <c r="S16" s="184">
        <v>1799</v>
      </c>
      <c r="T16" s="184">
        <v>77058</v>
      </c>
      <c r="U16" s="184">
        <v>23804</v>
      </c>
      <c r="V16" s="184">
        <v>100862</v>
      </c>
      <c r="W16" s="184">
        <v>2405</v>
      </c>
      <c r="X16" s="184">
        <v>2007</v>
      </c>
      <c r="Y16" s="184">
        <v>4412</v>
      </c>
      <c r="Z16" s="184">
        <v>1878</v>
      </c>
      <c r="AA16" s="184">
        <v>1497</v>
      </c>
      <c r="AB16" s="184">
        <v>3375</v>
      </c>
      <c r="AC16" s="184">
        <v>667410</v>
      </c>
      <c r="AD16" s="184">
        <v>524109</v>
      </c>
      <c r="AE16" s="645">
        <f t="shared" si="0"/>
        <v>1191519</v>
      </c>
      <c r="AF16" s="153">
        <f>'10CollegeEst'!E16+'10CollegeEst'!H16</f>
        <v>1080260</v>
      </c>
      <c r="AG16" s="739">
        <f t="shared" si="1"/>
        <v>1080260</v>
      </c>
      <c r="AH16" s="739">
        <f t="shared" si="2"/>
        <v>1191519</v>
      </c>
    </row>
    <row r="17" spans="1:34" s="153" customFormat="1" ht="24.75" customHeight="1">
      <c r="A17" s="189">
        <v>13</v>
      </c>
      <c r="B17" s="106" t="s">
        <v>26</v>
      </c>
      <c r="C17" s="184">
        <v>1087</v>
      </c>
      <c r="D17" s="184">
        <v>1034</v>
      </c>
      <c r="E17" s="184">
        <v>165</v>
      </c>
      <c r="F17" s="184">
        <v>283</v>
      </c>
      <c r="G17" s="184">
        <v>448</v>
      </c>
      <c r="H17" s="184">
        <v>0</v>
      </c>
      <c r="I17" s="184">
        <v>11</v>
      </c>
      <c r="J17" s="184">
        <v>11</v>
      </c>
      <c r="K17" s="184">
        <v>13731</v>
      </c>
      <c r="L17" s="184">
        <v>33619</v>
      </c>
      <c r="M17" s="184">
        <v>47350</v>
      </c>
      <c r="N17" s="184">
        <v>228093</v>
      </c>
      <c r="O17" s="184">
        <v>305107</v>
      </c>
      <c r="P17" s="184">
        <v>533200</v>
      </c>
      <c r="Q17" s="184">
        <v>399</v>
      </c>
      <c r="R17" s="184">
        <v>721</v>
      </c>
      <c r="S17" s="184">
        <v>1120</v>
      </c>
      <c r="T17" s="184">
        <v>9993</v>
      </c>
      <c r="U17" s="184">
        <v>10386</v>
      </c>
      <c r="V17" s="184">
        <v>20379</v>
      </c>
      <c r="W17" s="184">
        <v>1100</v>
      </c>
      <c r="X17" s="184">
        <v>1602</v>
      </c>
      <c r="Y17" s="184">
        <v>2702</v>
      </c>
      <c r="Z17" s="184">
        <v>3232</v>
      </c>
      <c r="AA17" s="184">
        <v>1931</v>
      </c>
      <c r="AB17" s="184">
        <v>5163</v>
      </c>
      <c r="AC17" s="184">
        <v>256713</v>
      </c>
      <c r="AD17" s="184">
        <v>353660</v>
      </c>
      <c r="AE17" s="645">
        <f t="shared" si="0"/>
        <v>610373</v>
      </c>
      <c r="AF17" s="153">
        <f>'10CollegeEst'!E17+'10CollegeEst'!H17</f>
        <v>580550</v>
      </c>
      <c r="AG17" s="739">
        <f t="shared" si="1"/>
        <v>580550</v>
      </c>
      <c r="AH17" s="739">
        <f t="shared" si="2"/>
        <v>610373</v>
      </c>
    </row>
    <row r="18" spans="1:34" s="153" customFormat="1" ht="24.75" customHeight="1">
      <c r="A18" s="189">
        <v>14</v>
      </c>
      <c r="B18" s="106" t="s">
        <v>27</v>
      </c>
      <c r="C18" s="184">
        <v>344</v>
      </c>
      <c r="D18" s="184">
        <v>344</v>
      </c>
      <c r="E18" s="184">
        <v>5</v>
      </c>
      <c r="F18" s="184">
        <v>2</v>
      </c>
      <c r="G18" s="184">
        <v>7</v>
      </c>
      <c r="H18" s="184">
        <v>0</v>
      </c>
      <c r="I18" s="184">
        <v>0</v>
      </c>
      <c r="J18" s="184">
        <v>0</v>
      </c>
      <c r="K18" s="184">
        <v>2405</v>
      </c>
      <c r="L18" s="184">
        <v>5950</v>
      </c>
      <c r="M18" s="184">
        <v>8355</v>
      </c>
      <c r="N18" s="184">
        <v>70514</v>
      </c>
      <c r="O18" s="184">
        <v>103526</v>
      </c>
      <c r="P18" s="184">
        <v>174040</v>
      </c>
      <c r="Q18" s="184">
        <v>179</v>
      </c>
      <c r="R18" s="184">
        <v>397</v>
      </c>
      <c r="S18" s="184">
        <v>576</v>
      </c>
      <c r="T18" s="184">
        <v>687</v>
      </c>
      <c r="U18" s="184">
        <v>2112</v>
      </c>
      <c r="V18" s="184">
        <v>2799</v>
      </c>
      <c r="W18" s="184">
        <v>18</v>
      </c>
      <c r="X18" s="184">
        <v>51</v>
      </c>
      <c r="Y18" s="184">
        <v>69</v>
      </c>
      <c r="Z18" s="184">
        <v>57</v>
      </c>
      <c r="AA18" s="184">
        <v>57</v>
      </c>
      <c r="AB18" s="184">
        <v>114</v>
      </c>
      <c r="AC18" s="184">
        <v>73865</v>
      </c>
      <c r="AD18" s="184">
        <v>112095</v>
      </c>
      <c r="AE18" s="645">
        <f t="shared" si="0"/>
        <v>185960</v>
      </c>
      <c r="AF18" s="153">
        <f>'10CollegeEst'!E18+'10CollegeEst'!H18</f>
        <v>182395</v>
      </c>
      <c r="AG18" s="739">
        <f t="shared" si="1"/>
        <v>182395</v>
      </c>
      <c r="AH18" s="739">
        <f t="shared" si="2"/>
        <v>185960</v>
      </c>
    </row>
    <row r="19" spans="1:34" s="153" customFormat="1" ht="24.75" customHeight="1">
      <c r="A19" s="189">
        <v>15</v>
      </c>
      <c r="B19" s="106" t="s">
        <v>57</v>
      </c>
      <c r="C19" s="184">
        <v>316</v>
      </c>
      <c r="D19" s="184">
        <v>313</v>
      </c>
      <c r="E19" s="184">
        <v>62</v>
      </c>
      <c r="F19" s="184">
        <v>87</v>
      </c>
      <c r="G19" s="184">
        <v>149</v>
      </c>
      <c r="H19" s="184">
        <v>0</v>
      </c>
      <c r="I19" s="184">
        <v>7</v>
      </c>
      <c r="J19" s="184">
        <v>7</v>
      </c>
      <c r="K19" s="184">
        <v>2089</v>
      </c>
      <c r="L19" s="184">
        <v>2299</v>
      </c>
      <c r="M19" s="184">
        <v>4388</v>
      </c>
      <c r="N19" s="184">
        <v>103100</v>
      </c>
      <c r="O19" s="184">
        <v>113765</v>
      </c>
      <c r="P19" s="184">
        <v>216865</v>
      </c>
      <c r="Q19" s="184">
        <v>170</v>
      </c>
      <c r="R19" s="184">
        <v>98</v>
      </c>
      <c r="S19" s="184">
        <v>268</v>
      </c>
      <c r="T19" s="184">
        <v>232</v>
      </c>
      <c r="U19" s="184">
        <v>251</v>
      </c>
      <c r="V19" s="184">
        <v>483</v>
      </c>
      <c r="W19" s="184">
        <v>0</v>
      </c>
      <c r="X19" s="184">
        <v>0</v>
      </c>
      <c r="Y19" s="184">
        <v>0</v>
      </c>
      <c r="Z19" s="184">
        <v>1700</v>
      </c>
      <c r="AA19" s="184">
        <v>1911</v>
      </c>
      <c r="AB19" s="184">
        <v>3611</v>
      </c>
      <c r="AC19" s="184">
        <v>107353</v>
      </c>
      <c r="AD19" s="184">
        <v>118418</v>
      </c>
      <c r="AE19" s="645">
        <f t="shared" si="0"/>
        <v>225771</v>
      </c>
      <c r="AF19" s="153">
        <f>'10CollegeEst'!E19+'10CollegeEst'!H19</f>
        <v>221253</v>
      </c>
      <c r="AG19" s="739">
        <f t="shared" si="1"/>
        <v>221253</v>
      </c>
      <c r="AH19" s="739">
        <f t="shared" si="2"/>
        <v>225771</v>
      </c>
    </row>
    <row r="20" spans="1:34" s="153" customFormat="1" ht="24.75" customHeight="1">
      <c r="A20" s="189">
        <v>16</v>
      </c>
      <c r="B20" s="106" t="s">
        <v>29</v>
      </c>
      <c r="C20" s="184">
        <v>323</v>
      </c>
      <c r="D20" s="184">
        <v>317</v>
      </c>
      <c r="E20" s="184">
        <v>13</v>
      </c>
      <c r="F20" s="184">
        <v>8</v>
      </c>
      <c r="G20" s="184">
        <v>21</v>
      </c>
      <c r="H20" s="184">
        <v>25</v>
      </c>
      <c r="I20" s="184">
        <v>54</v>
      </c>
      <c r="J20" s="184">
        <v>79</v>
      </c>
      <c r="K20" s="184">
        <v>12746</v>
      </c>
      <c r="L20" s="184">
        <v>23820</v>
      </c>
      <c r="M20" s="184">
        <v>36566</v>
      </c>
      <c r="N20" s="184">
        <v>275455</v>
      </c>
      <c r="O20" s="184">
        <v>296088</v>
      </c>
      <c r="P20" s="184">
        <v>571543</v>
      </c>
      <c r="Q20" s="184">
        <v>57</v>
      </c>
      <c r="R20" s="184">
        <v>63</v>
      </c>
      <c r="S20" s="184">
        <v>120</v>
      </c>
      <c r="T20" s="184">
        <v>2095</v>
      </c>
      <c r="U20" s="184">
        <v>2159</v>
      </c>
      <c r="V20" s="184">
        <v>4254</v>
      </c>
      <c r="W20" s="184">
        <v>369</v>
      </c>
      <c r="X20" s="184">
        <v>802</v>
      </c>
      <c r="Y20" s="184">
        <v>1171</v>
      </c>
      <c r="Z20" s="184">
        <v>370</v>
      </c>
      <c r="AA20" s="184">
        <v>257</v>
      </c>
      <c r="AB20" s="184">
        <v>627</v>
      </c>
      <c r="AC20" s="184">
        <v>291130</v>
      </c>
      <c r="AD20" s="184">
        <v>323251</v>
      </c>
      <c r="AE20" s="645">
        <f t="shared" si="0"/>
        <v>614381</v>
      </c>
      <c r="AF20" s="153">
        <f>'10CollegeEst'!E20+'10CollegeEst'!H20</f>
        <v>608109</v>
      </c>
      <c r="AG20" s="739">
        <f t="shared" si="1"/>
        <v>608109</v>
      </c>
      <c r="AH20" s="739">
        <f t="shared" si="2"/>
        <v>614381</v>
      </c>
    </row>
    <row r="21" spans="1:34" s="153" customFormat="1" ht="24.75" customHeight="1">
      <c r="A21" s="189">
        <v>17</v>
      </c>
      <c r="B21" s="106" t="s">
        <v>30</v>
      </c>
      <c r="C21" s="184">
        <v>4047</v>
      </c>
      <c r="D21" s="184">
        <v>3971</v>
      </c>
      <c r="E21" s="184">
        <v>912</v>
      </c>
      <c r="F21" s="184">
        <v>620</v>
      </c>
      <c r="G21" s="184">
        <v>1532</v>
      </c>
      <c r="H21" s="184">
        <v>0</v>
      </c>
      <c r="I21" s="184">
        <v>0</v>
      </c>
      <c r="J21" s="184">
        <v>0</v>
      </c>
      <c r="K21" s="184">
        <v>49567</v>
      </c>
      <c r="L21" s="184">
        <v>67984</v>
      </c>
      <c r="M21" s="184">
        <v>117551</v>
      </c>
      <c r="N21" s="184">
        <v>732827</v>
      </c>
      <c r="O21" s="184">
        <v>774134</v>
      </c>
      <c r="P21" s="184">
        <v>1506961</v>
      </c>
      <c r="Q21" s="184">
        <v>711</v>
      </c>
      <c r="R21" s="184">
        <v>1042</v>
      </c>
      <c r="S21" s="184">
        <v>1753</v>
      </c>
      <c r="T21" s="184">
        <v>5126</v>
      </c>
      <c r="U21" s="184">
        <v>5607</v>
      </c>
      <c r="V21" s="184">
        <v>10733</v>
      </c>
      <c r="W21" s="184">
        <v>676</v>
      </c>
      <c r="X21" s="184">
        <v>908</v>
      </c>
      <c r="Y21" s="184">
        <v>1584</v>
      </c>
      <c r="Z21" s="184">
        <v>3353</v>
      </c>
      <c r="AA21" s="184">
        <v>2822</v>
      </c>
      <c r="AB21" s="184">
        <v>6175</v>
      </c>
      <c r="AC21" s="184">
        <v>793172</v>
      </c>
      <c r="AD21" s="184">
        <v>853117</v>
      </c>
      <c r="AE21" s="645">
        <f t="shared" si="0"/>
        <v>1646289</v>
      </c>
      <c r="AF21" s="153">
        <f>'10CollegeEst'!E21+'10CollegeEst'!H21</f>
        <v>1624512</v>
      </c>
      <c r="AG21" s="739">
        <f t="shared" si="1"/>
        <v>1624512</v>
      </c>
      <c r="AH21" s="739">
        <f t="shared" si="2"/>
        <v>1646289</v>
      </c>
    </row>
    <row r="22" spans="1:34" s="153" customFormat="1" ht="24.75" customHeight="1">
      <c r="A22" s="189">
        <v>18</v>
      </c>
      <c r="B22" s="106" t="s">
        <v>31</v>
      </c>
      <c r="C22" s="184">
        <v>1417</v>
      </c>
      <c r="D22" s="184">
        <v>1313</v>
      </c>
      <c r="E22" s="184">
        <v>975</v>
      </c>
      <c r="F22" s="184">
        <v>2021</v>
      </c>
      <c r="G22" s="184">
        <v>2996</v>
      </c>
      <c r="H22" s="184">
        <v>26</v>
      </c>
      <c r="I22" s="184">
        <v>123</v>
      </c>
      <c r="J22" s="184">
        <v>149</v>
      </c>
      <c r="K22" s="184">
        <v>16291</v>
      </c>
      <c r="L22" s="184">
        <v>58848</v>
      </c>
      <c r="M22" s="184">
        <v>75139</v>
      </c>
      <c r="N22" s="184">
        <v>269037</v>
      </c>
      <c r="O22" s="184">
        <v>395984</v>
      </c>
      <c r="P22" s="184">
        <v>665021</v>
      </c>
      <c r="Q22" s="184">
        <v>94</v>
      </c>
      <c r="R22" s="184">
        <v>251</v>
      </c>
      <c r="S22" s="184">
        <v>345</v>
      </c>
      <c r="T22" s="184">
        <v>1855</v>
      </c>
      <c r="U22" s="184">
        <v>1913</v>
      </c>
      <c r="V22" s="184">
        <v>3768</v>
      </c>
      <c r="W22" s="184">
        <v>216</v>
      </c>
      <c r="X22" s="184">
        <v>885</v>
      </c>
      <c r="Y22" s="184">
        <v>1101</v>
      </c>
      <c r="Z22" s="184">
        <v>2825</v>
      </c>
      <c r="AA22" s="184">
        <v>3280</v>
      </c>
      <c r="AB22" s="184">
        <v>6105</v>
      </c>
      <c r="AC22" s="184">
        <v>291319</v>
      </c>
      <c r="AD22" s="184">
        <v>463305</v>
      </c>
      <c r="AE22" s="645">
        <f t="shared" si="0"/>
        <v>754624</v>
      </c>
      <c r="AF22" s="153">
        <f>'10CollegeEst'!E22+'10CollegeEst'!H22</f>
        <v>740160</v>
      </c>
      <c r="AG22" s="739">
        <f t="shared" si="1"/>
        <v>740160</v>
      </c>
      <c r="AH22" s="739">
        <f t="shared" si="2"/>
        <v>754624</v>
      </c>
    </row>
    <row r="23" spans="1:34" s="153" customFormat="1" ht="24.75" customHeight="1">
      <c r="A23" s="189">
        <v>19</v>
      </c>
      <c r="B23" s="106" t="s">
        <v>761</v>
      </c>
      <c r="C23" s="184">
        <v>5</v>
      </c>
      <c r="D23" s="184">
        <v>5</v>
      </c>
      <c r="E23" s="184">
        <v>0</v>
      </c>
      <c r="F23" s="184">
        <v>0</v>
      </c>
      <c r="G23" s="184">
        <v>0</v>
      </c>
      <c r="H23" s="184">
        <v>0</v>
      </c>
      <c r="I23" s="184">
        <v>0</v>
      </c>
      <c r="J23" s="184">
        <v>0</v>
      </c>
      <c r="K23" s="184">
        <v>0</v>
      </c>
      <c r="L23" s="184">
        <v>0</v>
      </c>
      <c r="M23" s="184">
        <v>0</v>
      </c>
      <c r="N23" s="184">
        <v>721</v>
      </c>
      <c r="O23" s="184">
        <v>1677</v>
      </c>
      <c r="P23" s="184">
        <v>2398</v>
      </c>
      <c r="Q23" s="184">
        <v>0</v>
      </c>
      <c r="R23" s="184">
        <v>0</v>
      </c>
      <c r="S23" s="184">
        <v>0</v>
      </c>
      <c r="T23" s="184">
        <v>0</v>
      </c>
      <c r="U23" s="184">
        <v>0</v>
      </c>
      <c r="V23" s="184">
        <v>0</v>
      </c>
      <c r="W23" s="184">
        <v>0</v>
      </c>
      <c r="X23" s="184">
        <v>0</v>
      </c>
      <c r="Y23" s="184">
        <v>0</v>
      </c>
      <c r="Z23" s="184">
        <v>0</v>
      </c>
      <c r="AA23" s="184">
        <v>0</v>
      </c>
      <c r="AB23" s="184">
        <v>0</v>
      </c>
      <c r="AC23" s="184">
        <v>721</v>
      </c>
      <c r="AD23" s="184">
        <v>1677</v>
      </c>
      <c r="AE23" s="645">
        <f t="shared" si="0"/>
        <v>2398</v>
      </c>
      <c r="AF23" s="153">
        <f>'10CollegeEst'!E23+'10CollegeEst'!H23</f>
        <v>2398</v>
      </c>
      <c r="AG23" s="739">
        <f t="shared" si="1"/>
        <v>2398</v>
      </c>
      <c r="AH23" s="739">
        <f t="shared" si="2"/>
        <v>2398</v>
      </c>
    </row>
    <row r="24" spans="1:34" s="153" customFormat="1" ht="24.75" customHeight="1">
      <c r="A24" s="189">
        <v>20</v>
      </c>
      <c r="B24" s="106" t="s">
        <v>32</v>
      </c>
      <c r="C24" s="184">
        <v>0</v>
      </c>
      <c r="D24" s="184">
        <v>0</v>
      </c>
      <c r="E24" s="184">
        <v>0</v>
      </c>
      <c r="F24" s="184">
        <v>0</v>
      </c>
      <c r="G24" s="184">
        <v>0</v>
      </c>
      <c r="H24" s="184">
        <v>0</v>
      </c>
      <c r="I24" s="184">
        <v>0</v>
      </c>
      <c r="J24" s="184">
        <v>0</v>
      </c>
      <c r="K24" s="184">
        <v>0</v>
      </c>
      <c r="L24" s="184">
        <v>0</v>
      </c>
      <c r="M24" s="184">
        <v>0</v>
      </c>
      <c r="N24" s="184">
        <v>0</v>
      </c>
      <c r="O24" s="184">
        <v>0</v>
      </c>
      <c r="P24" s="184">
        <v>0</v>
      </c>
      <c r="Q24" s="184">
        <v>0</v>
      </c>
      <c r="R24" s="184">
        <v>0</v>
      </c>
      <c r="S24" s="184">
        <v>0</v>
      </c>
      <c r="T24" s="184">
        <v>0</v>
      </c>
      <c r="U24" s="184">
        <v>0</v>
      </c>
      <c r="V24" s="184">
        <v>0</v>
      </c>
      <c r="W24" s="184">
        <v>0</v>
      </c>
      <c r="X24" s="184">
        <v>0</v>
      </c>
      <c r="Y24" s="184">
        <v>0</v>
      </c>
      <c r="Z24" s="184">
        <v>0</v>
      </c>
      <c r="AA24" s="184">
        <v>0</v>
      </c>
      <c r="AB24" s="184">
        <v>0</v>
      </c>
      <c r="AC24" s="184">
        <v>0</v>
      </c>
      <c r="AD24" s="184">
        <v>0</v>
      </c>
      <c r="AE24" s="645">
        <f t="shared" si="0"/>
        <v>0</v>
      </c>
      <c r="AF24" s="153">
        <f>'10CollegeEst'!E24+'10CollegeEst'!H24</f>
        <v>0</v>
      </c>
      <c r="AG24" s="739">
        <f t="shared" si="1"/>
        <v>0</v>
      </c>
      <c r="AH24" s="739">
        <f t="shared" si="2"/>
        <v>0</v>
      </c>
    </row>
    <row r="25" spans="1:34" s="153" customFormat="1" ht="24.75" customHeight="1">
      <c r="A25" s="189">
        <v>21</v>
      </c>
      <c r="B25" s="106" t="s">
        <v>33</v>
      </c>
      <c r="C25" s="184">
        <v>2411</v>
      </c>
      <c r="D25" s="184">
        <v>1946</v>
      </c>
      <c r="E25" s="184">
        <v>543</v>
      </c>
      <c r="F25" s="184">
        <v>734</v>
      </c>
      <c r="G25" s="184">
        <v>1277</v>
      </c>
      <c r="H25" s="184">
        <v>60</v>
      </c>
      <c r="I25" s="184">
        <v>107</v>
      </c>
      <c r="J25" s="184">
        <v>167</v>
      </c>
      <c r="K25" s="184">
        <v>79571</v>
      </c>
      <c r="L25" s="184">
        <v>112406</v>
      </c>
      <c r="M25" s="184">
        <v>191977</v>
      </c>
      <c r="N25" s="184">
        <v>629064</v>
      </c>
      <c r="O25" s="184">
        <v>623454</v>
      </c>
      <c r="P25" s="184">
        <v>1252518</v>
      </c>
      <c r="Q25" s="184">
        <v>3194</v>
      </c>
      <c r="R25" s="184">
        <v>3079</v>
      </c>
      <c r="S25" s="184">
        <v>6273</v>
      </c>
      <c r="T25" s="184">
        <v>26494</v>
      </c>
      <c r="U25" s="184">
        <v>12606</v>
      </c>
      <c r="V25" s="184">
        <v>39100</v>
      </c>
      <c r="W25" s="184">
        <v>249</v>
      </c>
      <c r="X25" s="184">
        <v>358</v>
      </c>
      <c r="Y25" s="184">
        <v>607</v>
      </c>
      <c r="Z25" s="184">
        <v>4759</v>
      </c>
      <c r="AA25" s="184">
        <v>4558</v>
      </c>
      <c r="AB25" s="184">
        <v>9317</v>
      </c>
      <c r="AC25" s="184">
        <v>743934</v>
      </c>
      <c r="AD25" s="184">
        <v>757302</v>
      </c>
      <c r="AE25" s="645">
        <f t="shared" si="0"/>
        <v>1501236</v>
      </c>
      <c r="AF25" s="153">
        <f>'10CollegeEst'!E25+'10CollegeEst'!H25</f>
        <v>1567818</v>
      </c>
      <c r="AG25" s="739">
        <f t="shared" si="1"/>
        <v>1444495</v>
      </c>
      <c r="AH25" s="739">
        <f t="shared" si="2"/>
        <v>1624559</v>
      </c>
    </row>
    <row r="26" spans="1:34" s="153" customFormat="1" ht="24.75" customHeight="1">
      <c r="A26" s="189">
        <v>22</v>
      </c>
      <c r="B26" s="106" t="s">
        <v>34</v>
      </c>
      <c r="C26" s="184">
        <v>4494</v>
      </c>
      <c r="D26" s="184">
        <v>4494</v>
      </c>
      <c r="E26" s="184">
        <v>2102</v>
      </c>
      <c r="F26" s="184">
        <v>1534</v>
      </c>
      <c r="G26" s="184">
        <v>3636</v>
      </c>
      <c r="H26" s="184">
        <v>156</v>
      </c>
      <c r="I26" s="184">
        <v>173</v>
      </c>
      <c r="J26" s="184">
        <v>329</v>
      </c>
      <c r="K26" s="184">
        <v>116886</v>
      </c>
      <c r="L26" s="184">
        <v>147597</v>
      </c>
      <c r="M26" s="184">
        <v>264483</v>
      </c>
      <c r="N26" s="184">
        <v>1418866</v>
      </c>
      <c r="O26" s="184">
        <v>1277075</v>
      </c>
      <c r="P26" s="184">
        <v>2695941</v>
      </c>
      <c r="Q26" s="184">
        <v>2572</v>
      </c>
      <c r="R26" s="184">
        <v>2580</v>
      </c>
      <c r="S26" s="184">
        <v>5152</v>
      </c>
      <c r="T26" s="184">
        <v>12617</v>
      </c>
      <c r="U26" s="184">
        <v>9511</v>
      </c>
      <c r="V26" s="184">
        <v>22128</v>
      </c>
      <c r="W26" s="184">
        <v>3660</v>
      </c>
      <c r="X26" s="184">
        <v>3780</v>
      </c>
      <c r="Y26" s="184">
        <v>7440</v>
      </c>
      <c r="Z26" s="184">
        <v>4744</v>
      </c>
      <c r="AA26" s="184">
        <v>5566</v>
      </c>
      <c r="AB26" s="184">
        <v>10310</v>
      </c>
      <c r="AC26" s="184">
        <v>1561603</v>
      </c>
      <c r="AD26" s="184">
        <v>1447816</v>
      </c>
      <c r="AE26" s="645">
        <f t="shared" si="0"/>
        <v>3009419</v>
      </c>
      <c r="AF26" s="153">
        <f>'10CollegeEst'!E26+'10CollegeEst'!H26</f>
        <v>2960424</v>
      </c>
      <c r="AG26" s="739">
        <f t="shared" si="1"/>
        <v>2960424</v>
      </c>
      <c r="AH26" s="739">
        <f t="shared" si="2"/>
        <v>3009419</v>
      </c>
    </row>
    <row r="27" spans="1:34" s="153" customFormat="1" ht="24.75" customHeight="1">
      <c r="A27" s="189">
        <v>23</v>
      </c>
      <c r="B27" s="106" t="s">
        <v>35</v>
      </c>
      <c r="C27" s="184">
        <v>102</v>
      </c>
      <c r="D27" s="184">
        <v>101</v>
      </c>
      <c r="E27" s="184">
        <v>0</v>
      </c>
      <c r="F27" s="184">
        <v>2</v>
      </c>
      <c r="G27" s="184">
        <v>2</v>
      </c>
      <c r="H27" s="184">
        <v>2</v>
      </c>
      <c r="I27" s="184">
        <v>10</v>
      </c>
      <c r="J27" s="184">
        <v>12</v>
      </c>
      <c r="K27" s="184">
        <v>754</v>
      </c>
      <c r="L27" s="184">
        <v>1316</v>
      </c>
      <c r="M27" s="184">
        <v>2070</v>
      </c>
      <c r="N27" s="184">
        <v>50455</v>
      </c>
      <c r="O27" s="184">
        <v>52634</v>
      </c>
      <c r="P27" s="184">
        <v>103089</v>
      </c>
      <c r="Q27" s="184">
        <v>38</v>
      </c>
      <c r="R27" s="184">
        <v>28</v>
      </c>
      <c r="S27" s="184">
        <v>66</v>
      </c>
      <c r="T27" s="184">
        <v>701</v>
      </c>
      <c r="U27" s="184">
        <v>708</v>
      </c>
      <c r="V27" s="184">
        <v>1409</v>
      </c>
      <c r="W27" s="184">
        <v>0</v>
      </c>
      <c r="X27" s="184">
        <v>50</v>
      </c>
      <c r="Y27" s="184">
        <v>50</v>
      </c>
      <c r="Z27" s="184">
        <v>0</v>
      </c>
      <c r="AA27" s="184">
        <v>0</v>
      </c>
      <c r="AB27" s="184">
        <v>0</v>
      </c>
      <c r="AC27" s="184">
        <v>51950</v>
      </c>
      <c r="AD27" s="184">
        <v>54748</v>
      </c>
      <c r="AE27" s="645">
        <f t="shared" si="0"/>
        <v>106698</v>
      </c>
      <c r="AF27" s="153">
        <f>'10CollegeEst'!E27+'10CollegeEst'!H27</f>
        <v>105159</v>
      </c>
      <c r="AG27" s="739">
        <f t="shared" si="1"/>
        <v>105159</v>
      </c>
      <c r="AH27" s="739">
        <f t="shared" si="2"/>
        <v>106698</v>
      </c>
    </row>
    <row r="28" spans="1:34" s="153" customFormat="1" ht="24.75" customHeight="1">
      <c r="A28" s="189">
        <v>24</v>
      </c>
      <c r="B28" s="106" t="s">
        <v>36</v>
      </c>
      <c r="C28" s="184">
        <v>67</v>
      </c>
      <c r="D28" s="184">
        <v>57</v>
      </c>
      <c r="E28" s="184">
        <v>0</v>
      </c>
      <c r="F28" s="184">
        <v>0</v>
      </c>
      <c r="G28" s="184">
        <v>0</v>
      </c>
      <c r="H28" s="184">
        <v>0</v>
      </c>
      <c r="I28" s="184">
        <v>0</v>
      </c>
      <c r="J28" s="184">
        <v>0</v>
      </c>
      <c r="K28" s="184">
        <v>118</v>
      </c>
      <c r="L28" s="184">
        <v>252</v>
      </c>
      <c r="M28" s="184">
        <v>370</v>
      </c>
      <c r="N28" s="184">
        <v>28316</v>
      </c>
      <c r="O28" s="184">
        <v>34301</v>
      </c>
      <c r="P28" s="184">
        <v>62617</v>
      </c>
      <c r="Q28" s="184">
        <v>8</v>
      </c>
      <c r="R28" s="184">
        <v>12</v>
      </c>
      <c r="S28" s="184">
        <v>20</v>
      </c>
      <c r="T28" s="184">
        <v>0</v>
      </c>
      <c r="U28" s="184">
        <v>0</v>
      </c>
      <c r="V28" s="184">
        <v>0</v>
      </c>
      <c r="W28" s="184">
        <v>0</v>
      </c>
      <c r="X28" s="184">
        <v>0</v>
      </c>
      <c r="Y28" s="184">
        <v>0</v>
      </c>
      <c r="Z28" s="184">
        <v>0</v>
      </c>
      <c r="AA28" s="184">
        <v>0</v>
      </c>
      <c r="AB28" s="184">
        <v>0</v>
      </c>
      <c r="AC28" s="184">
        <v>28442</v>
      </c>
      <c r="AD28" s="184">
        <v>34565</v>
      </c>
      <c r="AE28" s="645">
        <f t="shared" si="0"/>
        <v>63007</v>
      </c>
      <c r="AF28" s="153">
        <f>'10CollegeEst'!E28+'10CollegeEst'!H28</f>
        <v>62987</v>
      </c>
      <c r="AG28" s="739">
        <f t="shared" si="1"/>
        <v>62987</v>
      </c>
      <c r="AH28" s="739">
        <f t="shared" si="2"/>
        <v>63007</v>
      </c>
    </row>
    <row r="29" spans="1:34" s="153" customFormat="1" ht="24.75" customHeight="1">
      <c r="A29" s="189">
        <v>25</v>
      </c>
      <c r="B29" s="106" t="s">
        <v>37</v>
      </c>
      <c r="C29" s="184">
        <v>35</v>
      </c>
      <c r="D29" s="184">
        <v>35</v>
      </c>
      <c r="E29" s="184">
        <v>5</v>
      </c>
      <c r="F29" s="184">
        <v>9</v>
      </c>
      <c r="G29" s="184">
        <v>14</v>
      </c>
      <c r="H29" s="184">
        <v>1</v>
      </c>
      <c r="I29" s="184">
        <v>3</v>
      </c>
      <c r="J29" s="184">
        <v>4</v>
      </c>
      <c r="K29" s="184">
        <v>140</v>
      </c>
      <c r="L29" s="184">
        <v>93</v>
      </c>
      <c r="M29" s="184">
        <v>233</v>
      </c>
      <c r="N29" s="184">
        <v>9913</v>
      </c>
      <c r="O29" s="184">
        <v>8927</v>
      </c>
      <c r="P29" s="184">
        <v>18840</v>
      </c>
      <c r="Q29" s="184">
        <v>0</v>
      </c>
      <c r="R29" s="184">
        <v>0</v>
      </c>
      <c r="S29" s="184">
        <v>0</v>
      </c>
      <c r="T29" s="184">
        <v>79</v>
      </c>
      <c r="U29" s="184">
        <v>10</v>
      </c>
      <c r="V29" s="184">
        <v>89</v>
      </c>
      <c r="W29" s="184">
        <v>288</v>
      </c>
      <c r="X29" s="184">
        <v>112</v>
      </c>
      <c r="Y29" s="184">
        <v>400</v>
      </c>
      <c r="Z29" s="184">
        <v>0</v>
      </c>
      <c r="AA29" s="184">
        <v>0</v>
      </c>
      <c r="AB29" s="184">
        <v>0</v>
      </c>
      <c r="AC29" s="184">
        <v>10426</v>
      </c>
      <c r="AD29" s="184">
        <v>9154</v>
      </c>
      <c r="AE29" s="645">
        <f t="shared" si="0"/>
        <v>19580</v>
      </c>
      <c r="AF29" s="153">
        <f>'10CollegeEst'!E29+'10CollegeEst'!H29</f>
        <v>19073</v>
      </c>
      <c r="AG29" s="739">
        <f t="shared" si="1"/>
        <v>19073</v>
      </c>
      <c r="AH29" s="739">
        <f t="shared" si="2"/>
        <v>19580</v>
      </c>
    </row>
    <row r="30" spans="1:34" s="153" customFormat="1" ht="24.75" customHeight="1">
      <c r="A30" s="189">
        <v>26</v>
      </c>
      <c r="B30" s="106" t="s">
        <v>38</v>
      </c>
      <c r="C30" s="184">
        <v>67</v>
      </c>
      <c r="D30" s="184">
        <v>66</v>
      </c>
      <c r="E30" s="184">
        <v>5</v>
      </c>
      <c r="F30" s="184">
        <v>1</v>
      </c>
      <c r="G30" s="184">
        <v>6</v>
      </c>
      <c r="H30" s="184">
        <v>0</v>
      </c>
      <c r="I30" s="184">
        <v>0</v>
      </c>
      <c r="J30" s="184">
        <v>0</v>
      </c>
      <c r="K30" s="184">
        <v>271</v>
      </c>
      <c r="L30" s="184">
        <v>407</v>
      </c>
      <c r="M30" s="184">
        <v>678</v>
      </c>
      <c r="N30" s="184">
        <v>14918</v>
      </c>
      <c r="O30" s="184">
        <v>17665</v>
      </c>
      <c r="P30" s="184">
        <v>32583</v>
      </c>
      <c r="Q30" s="184">
        <v>0</v>
      </c>
      <c r="R30" s="184">
        <v>0</v>
      </c>
      <c r="S30" s="184">
        <v>0</v>
      </c>
      <c r="T30" s="184">
        <v>60</v>
      </c>
      <c r="U30" s="184">
        <v>107</v>
      </c>
      <c r="V30" s="184">
        <v>167</v>
      </c>
      <c r="W30" s="184">
        <v>12</v>
      </c>
      <c r="X30" s="184">
        <v>18</v>
      </c>
      <c r="Y30" s="184">
        <v>30</v>
      </c>
      <c r="Z30" s="184">
        <v>0</v>
      </c>
      <c r="AA30" s="184">
        <v>0</v>
      </c>
      <c r="AB30" s="184">
        <v>0</v>
      </c>
      <c r="AC30" s="184">
        <v>15266</v>
      </c>
      <c r="AD30" s="184">
        <v>18198</v>
      </c>
      <c r="AE30" s="645">
        <f t="shared" si="0"/>
        <v>33464</v>
      </c>
      <c r="AF30" s="153">
        <f>'10CollegeEst'!E30+'10CollegeEst'!H30</f>
        <v>33261</v>
      </c>
      <c r="AG30" s="739">
        <f t="shared" si="1"/>
        <v>33261</v>
      </c>
      <c r="AH30" s="739">
        <f t="shared" si="2"/>
        <v>33464</v>
      </c>
    </row>
    <row r="31" spans="1:34" s="153" customFormat="1" ht="24.75" customHeight="1">
      <c r="A31" s="189">
        <v>27</v>
      </c>
      <c r="B31" s="106" t="s">
        <v>39</v>
      </c>
      <c r="C31" s="184">
        <v>1087</v>
      </c>
      <c r="D31" s="184">
        <v>1077</v>
      </c>
      <c r="E31" s="184">
        <v>51</v>
      </c>
      <c r="F31" s="184">
        <v>98</v>
      </c>
      <c r="G31" s="184">
        <v>149</v>
      </c>
      <c r="H31" s="184">
        <v>63</v>
      </c>
      <c r="I31" s="184">
        <v>63</v>
      </c>
      <c r="J31" s="184">
        <v>126</v>
      </c>
      <c r="K31" s="184">
        <v>22393</v>
      </c>
      <c r="L31" s="184">
        <v>19433</v>
      </c>
      <c r="M31" s="184">
        <v>41826</v>
      </c>
      <c r="N31" s="184">
        <v>328227</v>
      </c>
      <c r="O31" s="184">
        <v>322453</v>
      </c>
      <c r="P31" s="184">
        <v>650680</v>
      </c>
      <c r="Q31" s="184">
        <v>149</v>
      </c>
      <c r="R31" s="184">
        <v>225</v>
      </c>
      <c r="S31" s="184">
        <v>374</v>
      </c>
      <c r="T31" s="184">
        <v>7032</v>
      </c>
      <c r="U31" s="184">
        <v>1944</v>
      </c>
      <c r="V31" s="184">
        <v>8976</v>
      </c>
      <c r="W31" s="184">
        <v>1061</v>
      </c>
      <c r="X31" s="184">
        <v>1622</v>
      </c>
      <c r="Y31" s="184">
        <v>2683</v>
      </c>
      <c r="Z31" s="184">
        <v>2149</v>
      </c>
      <c r="AA31" s="184">
        <v>2400</v>
      </c>
      <c r="AB31" s="184">
        <v>4549</v>
      </c>
      <c r="AC31" s="184">
        <v>361125</v>
      </c>
      <c r="AD31" s="184">
        <v>348238</v>
      </c>
      <c r="AE31" s="645">
        <f t="shared" si="0"/>
        <v>709363</v>
      </c>
      <c r="AF31" s="153">
        <f>'10CollegeEst'!E31+'10CollegeEst'!H31</f>
        <v>692506</v>
      </c>
      <c r="AG31" s="739">
        <f t="shared" si="1"/>
        <v>692506</v>
      </c>
      <c r="AH31" s="739">
        <f t="shared" si="2"/>
        <v>709363</v>
      </c>
    </row>
    <row r="32" spans="1:34" s="153" customFormat="1" ht="24.75" customHeight="1">
      <c r="A32" s="189">
        <v>28</v>
      </c>
      <c r="B32" s="106" t="s">
        <v>40</v>
      </c>
      <c r="C32" s="184">
        <v>79</v>
      </c>
      <c r="D32" s="184">
        <v>69</v>
      </c>
      <c r="E32" s="184">
        <v>46</v>
      </c>
      <c r="F32" s="184">
        <v>72</v>
      </c>
      <c r="G32" s="184">
        <v>118</v>
      </c>
      <c r="H32" s="184">
        <v>7</v>
      </c>
      <c r="I32" s="184">
        <v>40</v>
      </c>
      <c r="J32" s="184">
        <v>47</v>
      </c>
      <c r="K32" s="184">
        <v>1255</v>
      </c>
      <c r="L32" s="184">
        <v>2517</v>
      </c>
      <c r="M32" s="184">
        <v>3772</v>
      </c>
      <c r="N32" s="184">
        <v>18500</v>
      </c>
      <c r="O32" s="184">
        <v>23459</v>
      </c>
      <c r="P32" s="184">
        <v>41959</v>
      </c>
      <c r="Q32" s="184">
        <v>3</v>
      </c>
      <c r="R32" s="184">
        <v>8</v>
      </c>
      <c r="S32" s="184">
        <v>11</v>
      </c>
      <c r="T32" s="184">
        <v>65</v>
      </c>
      <c r="U32" s="184">
        <v>91</v>
      </c>
      <c r="V32" s="184">
        <v>156</v>
      </c>
      <c r="W32" s="184">
        <v>0</v>
      </c>
      <c r="X32" s="184">
        <v>0</v>
      </c>
      <c r="Y32" s="184">
        <v>0</v>
      </c>
      <c r="Z32" s="184">
        <v>2</v>
      </c>
      <c r="AA32" s="184">
        <v>5</v>
      </c>
      <c r="AB32" s="184">
        <v>7</v>
      </c>
      <c r="AC32" s="184">
        <v>19878</v>
      </c>
      <c r="AD32" s="184">
        <v>26192</v>
      </c>
      <c r="AE32" s="645">
        <f t="shared" si="0"/>
        <v>46070</v>
      </c>
      <c r="AF32" s="153">
        <f>'10CollegeEst'!E32+'10CollegeEst'!H32</f>
        <v>45731</v>
      </c>
      <c r="AG32" s="739">
        <f t="shared" si="1"/>
        <v>45731</v>
      </c>
      <c r="AH32" s="739">
        <f t="shared" si="2"/>
        <v>46070</v>
      </c>
    </row>
    <row r="33" spans="1:34" s="153" customFormat="1" ht="24.75" customHeight="1">
      <c r="A33" s="189">
        <v>29</v>
      </c>
      <c r="B33" s="106" t="s">
        <v>41</v>
      </c>
      <c r="C33" s="184">
        <v>1079</v>
      </c>
      <c r="D33" s="184">
        <v>1006</v>
      </c>
      <c r="E33" s="184">
        <v>4</v>
      </c>
      <c r="F33" s="184">
        <v>0</v>
      </c>
      <c r="G33" s="184">
        <v>4</v>
      </c>
      <c r="H33" s="184">
        <v>4</v>
      </c>
      <c r="I33" s="184">
        <v>22</v>
      </c>
      <c r="J33" s="184">
        <v>26</v>
      </c>
      <c r="K33" s="184">
        <v>15862</v>
      </c>
      <c r="L33" s="184">
        <v>37722</v>
      </c>
      <c r="M33" s="184">
        <v>53584</v>
      </c>
      <c r="N33" s="184">
        <v>199042</v>
      </c>
      <c r="O33" s="184">
        <v>238038</v>
      </c>
      <c r="P33" s="184">
        <v>437080</v>
      </c>
      <c r="Q33" s="184">
        <v>1758</v>
      </c>
      <c r="R33" s="184">
        <v>2810</v>
      </c>
      <c r="S33" s="184">
        <v>4568</v>
      </c>
      <c r="T33" s="184">
        <v>8527</v>
      </c>
      <c r="U33" s="184">
        <v>13600</v>
      </c>
      <c r="V33" s="184">
        <v>22127</v>
      </c>
      <c r="W33" s="184">
        <v>289</v>
      </c>
      <c r="X33" s="184">
        <v>596</v>
      </c>
      <c r="Y33" s="184">
        <v>885</v>
      </c>
      <c r="Z33" s="184">
        <v>2844</v>
      </c>
      <c r="AA33" s="184">
        <v>3359</v>
      </c>
      <c r="AB33" s="184">
        <v>6203</v>
      </c>
      <c r="AC33" s="184">
        <v>228330</v>
      </c>
      <c r="AD33" s="184">
        <v>296147</v>
      </c>
      <c r="AE33" s="645">
        <f t="shared" si="0"/>
        <v>524477</v>
      </c>
      <c r="AF33" s="153">
        <f>'10CollegeEst'!E33+'10CollegeEst'!H33</f>
        <v>522981</v>
      </c>
      <c r="AG33" s="739">
        <f t="shared" si="1"/>
        <v>490664</v>
      </c>
      <c r="AH33" s="739">
        <f t="shared" si="2"/>
        <v>556794</v>
      </c>
    </row>
    <row r="34" spans="1:34" s="153" customFormat="1" ht="24.75" customHeight="1">
      <c r="A34" s="189">
        <v>30</v>
      </c>
      <c r="B34" s="106" t="s">
        <v>42</v>
      </c>
      <c r="C34" s="184">
        <v>3380</v>
      </c>
      <c r="D34" s="184">
        <v>3101</v>
      </c>
      <c r="E34" s="184">
        <v>489</v>
      </c>
      <c r="F34" s="184">
        <v>279</v>
      </c>
      <c r="G34" s="184">
        <v>768</v>
      </c>
      <c r="H34" s="184">
        <v>0</v>
      </c>
      <c r="I34" s="184">
        <v>0</v>
      </c>
      <c r="J34" s="184">
        <v>0</v>
      </c>
      <c r="K34" s="184">
        <v>41253</v>
      </c>
      <c r="L34" s="184">
        <v>79311</v>
      </c>
      <c r="M34" s="184">
        <v>120564</v>
      </c>
      <c r="N34" s="184">
        <v>695274</v>
      </c>
      <c r="O34" s="184">
        <v>716895</v>
      </c>
      <c r="P34" s="184">
        <v>1412169</v>
      </c>
      <c r="Q34" s="184">
        <v>1307</v>
      </c>
      <c r="R34" s="184">
        <v>1563</v>
      </c>
      <c r="S34" s="184">
        <v>2870</v>
      </c>
      <c r="T34" s="184">
        <v>15483</v>
      </c>
      <c r="U34" s="184">
        <v>7601</v>
      </c>
      <c r="V34" s="184">
        <v>23084</v>
      </c>
      <c r="W34" s="184">
        <v>2860</v>
      </c>
      <c r="X34" s="184">
        <v>3398</v>
      </c>
      <c r="Y34" s="184">
        <v>6258</v>
      </c>
      <c r="Z34" s="184">
        <v>19755</v>
      </c>
      <c r="AA34" s="184">
        <v>18463</v>
      </c>
      <c r="AB34" s="184">
        <v>38218</v>
      </c>
      <c r="AC34" s="184">
        <v>776421</v>
      </c>
      <c r="AD34" s="184">
        <v>827510</v>
      </c>
      <c r="AE34" s="645">
        <f t="shared" si="0"/>
        <v>1603931</v>
      </c>
      <c r="AF34" s="153">
        <f>'10CollegeEst'!E34+'10CollegeEst'!H34</f>
        <v>1635608</v>
      </c>
      <c r="AG34" s="739">
        <f t="shared" si="1"/>
        <v>1532733</v>
      </c>
      <c r="AH34" s="739">
        <f t="shared" si="2"/>
        <v>1706806</v>
      </c>
    </row>
    <row r="35" spans="1:34" s="153" customFormat="1" ht="24.75" customHeight="1">
      <c r="A35" s="189">
        <v>31</v>
      </c>
      <c r="B35" s="106" t="s">
        <v>43</v>
      </c>
      <c r="C35" s="184">
        <v>22</v>
      </c>
      <c r="D35" s="184">
        <v>19</v>
      </c>
      <c r="E35" s="184">
        <v>3</v>
      </c>
      <c r="F35" s="184">
        <v>4</v>
      </c>
      <c r="G35" s="184">
        <v>7</v>
      </c>
      <c r="H35" s="184">
        <v>0</v>
      </c>
      <c r="I35" s="184">
        <v>0</v>
      </c>
      <c r="J35" s="184">
        <v>0</v>
      </c>
      <c r="K35" s="184">
        <v>133</v>
      </c>
      <c r="L35" s="184">
        <v>122</v>
      </c>
      <c r="M35" s="184">
        <v>255</v>
      </c>
      <c r="N35" s="184">
        <v>4829</v>
      </c>
      <c r="O35" s="184">
        <v>6525</v>
      </c>
      <c r="P35" s="184">
        <v>11354</v>
      </c>
      <c r="Q35" s="184">
        <v>0</v>
      </c>
      <c r="R35" s="184">
        <v>0</v>
      </c>
      <c r="S35" s="184">
        <v>0</v>
      </c>
      <c r="T35" s="184">
        <v>92</v>
      </c>
      <c r="U35" s="184">
        <v>32</v>
      </c>
      <c r="V35" s="184">
        <v>124</v>
      </c>
      <c r="W35" s="184">
        <v>34</v>
      </c>
      <c r="X35" s="184">
        <v>6</v>
      </c>
      <c r="Y35" s="184">
        <v>40</v>
      </c>
      <c r="Z35" s="184">
        <v>99</v>
      </c>
      <c r="AA35" s="184">
        <v>165</v>
      </c>
      <c r="AB35" s="184">
        <v>264</v>
      </c>
      <c r="AC35" s="184">
        <v>5190</v>
      </c>
      <c r="AD35" s="184">
        <v>6854</v>
      </c>
      <c r="AE35" s="645">
        <f t="shared" si="0"/>
        <v>12044</v>
      </c>
      <c r="AF35" s="153">
        <f>'10CollegeEst'!E35+'10CollegeEst'!H35</f>
        <v>11609</v>
      </c>
      <c r="AG35" s="739">
        <f t="shared" si="1"/>
        <v>11609</v>
      </c>
      <c r="AH35" s="739">
        <f t="shared" si="2"/>
        <v>12044</v>
      </c>
    </row>
    <row r="36" spans="1:34" s="153" customFormat="1" ht="24.75" customHeight="1">
      <c r="A36" s="189">
        <v>32</v>
      </c>
      <c r="B36" s="106" t="s">
        <v>44</v>
      </c>
      <c r="C36" s="184">
        <v>2610</v>
      </c>
      <c r="D36" s="184">
        <v>2608</v>
      </c>
      <c r="E36" s="184">
        <v>2898</v>
      </c>
      <c r="F36" s="184">
        <v>4261</v>
      </c>
      <c r="G36" s="184">
        <v>7159</v>
      </c>
      <c r="H36" s="184">
        <v>1795</v>
      </c>
      <c r="I36" s="184">
        <v>4596</v>
      </c>
      <c r="J36" s="184">
        <v>6391</v>
      </c>
      <c r="K36" s="184">
        <v>71082</v>
      </c>
      <c r="L36" s="184">
        <v>145539</v>
      </c>
      <c r="M36" s="184">
        <v>216621</v>
      </c>
      <c r="N36" s="184">
        <v>912430</v>
      </c>
      <c r="O36" s="184">
        <v>1099897</v>
      </c>
      <c r="P36" s="184">
        <v>2012327</v>
      </c>
      <c r="Q36" s="184">
        <v>687</v>
      </c>
      <c r="R36" s="184">
        <v>1223</v>
      </c>
      <c r="S36" s="184">
        <v>1910</v>
      </c>
      <c r="T36" s="184">
        <v>3454</v>
      </c>
      <c r="U36" s="184">
        <v>12395</v>
      </c>
      <c r="V36" s="184">
        <v>15849</v>
      </c>
      <c r="W36" s="184">
        <v>3085</v>
      </c>
      <c r="X36" s="184">
        <v>6303</v>
      </c>
      <c r="Y36" s="184">
        <v>9388</v>
      </c>
      <c r="Z36" s="184">
        <v>2612</v>
      </c>
      <c r="AA36" s="184">
        <v>3033</v>
      </c>
      <c r="AB36" s="184">
        <v>5645</v>
      </c>
      <c r="AC36" s="184">
        <v>998043</v>
      </c>
      <c r="AD36" s="184">
        <v>1277247</v>
      </c>
      <c r="AE36" s="645">
        <f t="shared" si="0"/>
        <v>2275290</v>
      </c>
      <c r="AF36" s="153">
        <f>'10CollegeEst'!E36+'10CollegeEst'!H36</f>
        <v>2228948</v>
      </c>
      <c r="AG36" s="739">
        <f t="shared" si="1"/>
        <v>2228948</v>
      </c>
      <c r="AH36" s="739">
        <f t="shared" si="2"/>
        <v>2275290</v>
      </c>
    </row>
    <row r="37" spans="1:34" s="153" customFormat="1" ht="24.75" customHeight="1">
      <c r="A37" s="189">
        <v>33</v>
      </c>
      <c r="B37" s="106" t="s">
        <v>134</v>
      </c>
      <c r="C37" s="184">
        <v>2071</v>
      </c>
      <c r="D37" s="184">
        <v>2042</v>
      </c>
      <c r="E37" s="184">
        <v>19</v>
      </c>
      <c r="F37" s="184">
        <v>39</v>
      </c>
      <c r="G37" s="184">
        <v>58</v>
      </c>
      <c r="H37" s="184">
        <v>10</v>
      </c>
      <c r="I37" s="184">
        <v>40</v>
      </c>
      <c r="J37" s="184">
        <v>50</v>
      </c>
      <c r="K37" s="184">
        <v>47514</v>
      </c>
      <c r="L37" s="184">
        <v>66049</v>
      </c>
      <c r="M37" s="184">
        <v>113563</v>
      </c>
      <c r="N37" s="184">
        <v>470004</v>
      </c>
      <c r="O37" s="184">
        <v>513430</v>
      </c>
      <c r="P37" s="184">
        <v>983434</v>
      </c>
      <c r="Q37" s="184">
        <v>250</v>
      </c>
      <c r="R37" s="184">
        <v>213</v>
      </c>
      <c r="S37" s="184">
        <v>463</v>
      </c>
      <c r="T37" s="184">
        <v>9267</v>
      </c>
      <c r="U37" s="184">
        <v>3102</v>
      </c>
      <c r="V37" s="184">
        <v>12369</v>
      </c>
      <c r="W37" s="184">
        <v>32</v>
      </c>
      <c r="X37" s="184">
        <v>802</v>
      </c>
      <c r="Y37" s="184">
        <v>834</v>
      </c>
      <c r="Z37" s="184">
        <v>1380</v>
      </c>
      <c r="AA37" s="184">
        <v>1066</v>
      </c>
      <c r="AB37" s="184">
        <v>2446</v>
      </c>
      <c r="AC37" s="184">
        <v>528476</v>
      </c>
      <c r="AD37" s="184">
        <v>584741</v>
      </c>
      <c r="AE37" s="645">
        <f t="shared" si="0"/>
        <v>1113217</v>
      </c>
      <c r="AF37" s="153">
        <f>'10CollegeEst'!E37+'10CollegeEst'!H37</f>
        <v>1160343</v>
      </c>
      <c r="AG37" s="739">
        <f t="shared" si="1"/>
        <v>1096997</v>
      </c>
      <c r="AH37" s="739">
        <f t="shared" si="2"/>
        <v>1176563</v>
      </c>
    </row>
    <row r="38" spans="1:34" s="153" customFormat="1" ht="24.75" customHeight="1">
      <c r="A38" s="189">
        <v>34</v>
      </c>
      <c r="B38" s="106" t="s">
        <v>45</v>
      </c>
      <c r="C38" s="184">
        <v>53</v>
      </c>
      <c r="D38" s="184">
        <v>53</v>
      </c>
      <c r="E38" s="184">
        <v>7</v>
      </c>
      <c r="F38" s="184">
        <v>4</v>
      </c>
      <c r="G38" s="184">
        <v>11</v>
      </c>
      <c r="H38" s="184">
        <v>0</v>
      </c>
      <c r="I38" s="184">
        <v>0</v>
      </c>
      <c r="J38" s="184">
        <v>0</v>
      </c>
      <c r="K38" s="184">
        <v>129</v>
      </c>
      <c r="L38" s="184">
        <v>161</v>
      </c>
      <c r="M38" s="184">
        <v>290</v>
      </c>
      <c r="N38" s="184">
        <v>30929</v>
      </c>
      <c r="O38" s="184">
        <v>27724</v>
      </c>
      <c r="P38" s="184">
        <v>58653</v>
      </c>
      <c r="Q38" s="184">
        <v>0</v>
      </c>
      <c r="R38" s="184">
        <v>0</v>
      </c>
      <c r="S38" s="184">
        <v>0</v>
      </c>
      <c r="T38" s="184">
        <v>1891</v>
      </c>
      <c r="U38" s="184">
        <v>1412</v>
      </c>
      <c r="V38" s="184">
        <v>3303</v>
      </c>
      <c r="W38" s="184">
        <v>0</v>
      </c>
      <c r="X38" s="184">
        <v>0</v>
      </c>
      <c r="Y38" s="184">
        <v>0</v>
      </c>
      <c r="Z38" s="184">
        <v>0</v>
      </c>
      <c r="AA38" s="184">
        <v>0</v>
      </c>
      <c r="AB38" s="184">
        <v>0</v>
      </c>
      <c r="AC38" s="184">
        <v>32956</v>
      </c>
      <c r="AD38" s="184">
        <v>29301</v>
      </c>
      <c r="AE38" s="645">
        <f t="shared" si="0"/>
        <v>62257</v>
      </c>
      <c r="AF38" s="153">
        <f>'10CollegeEst'!E38+'10CollegeEst'!H38</f>
        <v>58943</v>
      </c>
      <c r="AG38" s="739">
        <f t="shared" si="1"/>
        <v>58943</v>
      </c>
      <c r="AH38" s="739">
        <f t="shared" si="2"/>
        <v>62257</v>
      </c>
    </row>
    <row r="39" spans="1:34" s="153" customFormat="1" ht="24.75" customHeight="1">
      <c r="A39" s="189">
        <v>35</v>
      </c>
      <c r="B39" s="106" t="s">
        <v>47</v>
      </c>
      <c r="C39" s="184">
        <v>7788</v>
      </c>
      <c r="D39" s="184">
        <v>6888</v>
      </c>
      <c r="E39" s="184">
        <v>859</v>
      </c>
      <c r="F39" s="184">
        <v>687</v>
      </c>
      <c r="G39" s="184">
        <v>1546</v>
      </c>
      <c r="H39" s="184">
        <v>30</v>
      </c>
      <c r="I39" s="184">
        <v>17</v>
      </c>
      <c r="J39" s="184">
        <v>47</v>
      </c>
      <c r="K39" s="184">
        <v>151104</v>
      </c>
      <c r="L39" s="184">
        <v>255545</v>
      </c>
      <c r="M39" s="184">
        <v>406649</v>
      </c>
      <c r="N39" s="184">
        <v>2055837</v>
      </c>
      <c r="O39" s="184">
        <v>2203275</v>
      </c>
      <c r="P39" s="184">
        <v>4259112</v>
      </c>
      <c r="Q39" s="184">
        <v>1863</v>
      </c>
      <c r="R39" s="184">
        <v>1928</v>
      </c>
      <c r="S39" s="184">
        <v>3791</v>
      </c>
      <c r="T39" s="184">
        <v>36160</v>
      </c>
      <c r="U39" s="184">
        <v>23819</v>
      </c>
      <c r="V39" s="184">
        <v>59979</v>
      </c>
      <c r="W39" s="184">
        <v>4435</v>
      </c>
      <c r="X39" s="184">
        <v>6891</v>
      </c>
      <c r="Y39" s="184">
        <v>11326</v>
      </c>
      <c r="Z39" s="184">
        <v>15808</v>
      </c>
      <c r="AA39" s="184">
        <v>8181</v>
      </c>
      <c r="AB39" s="184">
        <v>23989</v>
      </c>
      <c r="AC39" s="184">
        <v>2266096</v>
      </c>
      <c r="AD39" s="184">
        <v>2500343</v>
      </c>
      <c r="AE39" s="645">
        <f t="shared" si="0"/>
        <v>4766439</v>
      </c>
      <c r="AF39" s="153">
        <f>'10CollegeEst'!E39+'10CollegeEst'!H39</f>
        <v>5487669</v>
      </c>
      <c r="AG39" s="739">
        <f t="shared" si="1"/>
        <v>4665761</v>
      </c>
      <c r="AH39" s="739">
        <f t="shared" si="2"/>
        <v>5588347</v>
      </c>
    </row>
    <row r="40" spans="1:34" s="153" customFormat="1" ht="24.75" customHeight="1">
      <c r="A40" s="189">
        <v>36</v>
      </c>
      <c r="B40" s="106" t="s">
        <v>46</v>
      </c>
      <c r="C40" s="184">
        <v>454</v>
      </c>
      <c r="D40" s="184">
        <v>404</v>
      </c>
      <c r="E40" s="184">
        <v>443</v>
      </c>
      <c r="F40" s="184">
        <v>522</v>
      </c>
      <c r="G40" s="184">
        <v>965</v>
      </c>
      <c r="H40" s="184">
        <v>0</v>
      </c>
      <c r="I40" s="184">
        <v>0</v>
      </c>
      <c r="J40" s="184">
        <v>0</v>
      </c>
      <c r="K40" s="184">
        <v>12112</v>
      </c>
      <c r="L40" s="184">
        <v>19993</v>
      </c>
      <c r="M40" s="184">
        <v>32105</v>
      </c>
      <c r="N40" s="184">
        <v>98269</v>
      </c>
      <c r="O40" s="184">
        <v>117634</v>
      </c>
      <c r="P40" s="184">
        <v>215903</v>
      </c>
      <c r="Q40" s="184">
        <v>338</v>
      </c>
      <c r="R40" s="184">
        <v>275</v>
      </c>
      <c r="S40" s="184">
        <v>613</v>
      </c>
      <c r="T40" s="184">
        <v>3977</v>
      </c>
      <c r="U40" s="184">
        <v>1668</v>
      </c>
      <c r="V40" s="184">
        <v>5645</v>
      </c>
      <c r="W40" s="184">
        <v>10</v>
      </c>
      <c r="X40" s="184">
        <v>14</v>
      </c>
      <c r="Y40" s="184">
        <v>24</v>
      </c>
      <c r="Z40" s="184">
        <v>557</v>
      </c>
      <c r="AA40" s="184">
        <v>286</v>
      </c>
      <c r="AB40" s="184">
        <v>843</v>
      </c>
      <c r="AC40" s="184">
        <v>115706</v>
      </c>
      <c r="AD40" s="184">
        <v>140392</v>
      </c>
      <c r="AE40" s="645">
        <f t="shared" si="0"/>
        <v>256098</v>
      </c>
      <c r="AF40" s="153">
        <f>'10CollegeEst'!E40+'10CollegeEst'!H40</f>
        <v>248008</v>
      </c>
      <c r="AG40" s="739">
        <f t="shared" si="1"/>
        <v>248008</v>
      </c>
      <c r="AH40" s="739">
        <f t="shared" si="2"/>
        <v>256098</v>
      </c>
    </row>
    <row r="41" spans="1:34" s="153" customFormat="1" ht="24.75" customHeight="1">
      <c r="A41" s="189">
        <v>37</v>
      </c>
      <c r="B41" s="106" t="s">
        <v>48</v>
      </c>
      <c r="C41" s="184">
        <v>1411</v>
      </c>
      <c r="D41" s="184">
        <v>1409</v>
      </c>
      <c r="E41" s="184">
        <v>141</v>
      </c>
      <c r="F41" s="184">
        <v>30</v>
      </c>
      <c r="G41" s="184">
        <v>171</v>
      </c>
      <c r="H41" s="184">
        <v>121</v>
      </c>
      <c r="I41" s="184">
        <v>40</v>
      </c>
      <c r="J41" s="184">
        <v>161</v>
      </c>
      <c r="K41" s="184">
        <v>13971</v>
      </c>
      <c r="L41" s="184">
        <v>17747</v>
      </c>
      <c r="M41" s="184">
        <v>31718</v>
      </c>
      <c r="N41" s="184">
        <v>735726</v>
      </c>
      <c r="O41" s="184">
        <v>841367</v>
      </c>
      <c r="P41" s="184">
        <v>1577093</v>
      </c>
      <c r="Q41" s="184">
        <v>1091</v>
      </c>
      <c r="R41" s="184">
        <v>745</v>
      </c>
      <c r="S41" s="184">
        <v>1836</v>
      </c>
      <c r="T41" s="184">
        <v>20903</v>
      </c>
      <c r="U41" s="184">
        <v>19553</v>
      </c>
      <c r="V41" s="184">
        <v>40456</v>
      </c>
      <c r="W41" s="184">
        <v>1360</v>
      </c>
      <c r="X41" s="184">
        <v>1760</v>
      </c>
      <c r="Y41" s="184">
        <v>3120</v>
      </c>
      <c r="Z41" s="184">
        <v>3529</v>
      </c>
      <c r="AA41" s="184">
        <v>3644</v>
      </c>
      <c r="AB41" s="184">
        <v>7173</v>
      </c>
      <c r="AC41" s="184">
        <v>776842</v>
      </c>
      <c r="AD41" s="184">
        <v>884886</v>
      </c>
      <c r="AE41" s="645">
        <f t="shared" si="0"/>
        <v>1661728</v>
      </c>
      <c r="AF41" s="153">
        <f>'10CollegeEst'!E41+'10CollegeEst'!H41</f>
        <v>1608811</v>
      </c>
      <c r="AG41" s="739">
        <f t="shared" si="1"/>
        <v>1608811</v>
      </c>
      <c r="AH41" s="739">
        <f t="shared" si="2"/>
        <v>1661728</v>
      </c>
    </row>
    <row r="42" spans="1:34" s="195" customFormat="1" ht="24.75" customHeight="1">
      <c r="A42" s="804" t="s">
        <v>49</v>
      </c>
      <c r="B42" s="804"/>
      <c r="C42" s="193">
        <f>SUM(C5:C41)</f>
        <v>42343</v>
      </c>
      <c r="D42" s="193">
        <f t="shared" ref="D42:AH42" si="3">SUM(D5:D41)</f>
        <v>39955</v>
      </c>
      <c r="E42" s="193">
        <f t="shared" si="3"/>
        <v>11546</v>
      </c>
      <c r="F42" s="193">
        <f t="shared" si="3"/>
        <v>12639</v>
      </c>
      <c r="G42" s="193">
        <f t="shared" si="3"/>
        <v>24185</v>
      </c>
      <c r="H42" s="193">
        <f>SUM(H5:H41)</f>
        <v>2568</v>
      </c>
      <c r="I42" s="193">
        <f t="shared" si="3"/>
        <v>5460</v>
      </c>
      <c r="J42" s="193">
        <f t="shared" si="3"/>
        <v>8028</v>
      </c>
      <c r="K42" s="193">
        <f>SUM(K5:K41)</f>
        <v>831914</v>
      </c>
      <c r="L42" s="193">
        <f t="shared" si="3"/>
        <v>1289399</v>
      </c>
      <c r="M42" s="193">
        <f t="shared" si="3"/>
        <v>2121313</v>
      </c>
      <c r="N42" s="193">
        <f>SUM(N5:N41)</f>
        <v>11865271</v>
      </c>
      <c r="O42" s="193">
        <f t="shared" si="3"/>
        <v>12388035</v>
      </c>
      <c r="P42" s="193">
        <f t="shared" si="3"/>
        <v>24253306</v>
      </c>
      <c r="Q42" s="193">
        <f>SUM(Q5:Q41)</f>
        <v>21246</v>
      </c>
      <c r="R42" s="193">
        <f t="shared" si="3"/>
        <v>24763</v>
      </c>
      <c r="S42" s="193">
        <f t="shared" si="3"/>
        <v>46009</v>
      </c>
      <c r="T42" s="193">
        <f>SUM(T5:T41)</f>
        <v>300061</v>
      </c>
      <c r="U42" s="193">
        <f t="shared" si="3"/>
        <v>185892</v>
      </c>
      <c r="V42" s="193">
        <f t="shared" si="3"/>
        <v>485953</v>
      </c>
      <c r="W42" s="193">
        <f>SUM(W5:W41)</f>
        <v>27861</v>
      </c>
      <c r="X42" s="193">
        <f t="shared" si="3"/>
        <v>37856</v>
      </c>
      <c r="Y42" s="193">
        <f t="shared" si="3"/>
        <v>65717</v>
      </c>
      <c r="Z42" s="193">
        <f>SUM(Z5:Z41)</f>
        <v>80933</v>
      </c>
      <c r="AA42" s="193">
        <f t="shared" si="3"/>
        <v>68295</v>
      </c>
      <c r="AB42" s="193">
        <f t="shared" si="3"/>
        <v>149228</v>
      </c>
      <c r="AC42" s="193">
        <f>SUM(AC5:AC41)</f>
        <v>13141400</v>
      </c>
      <c r="AD42" s="193">
        <f t="shared" si="3"/>
        <v>14012339</v>
      </c>
      <c r="AE42" s="193">
        <f t="shared" si="3"/>
        <v>27153739</v>
      </c>
      <c r="AF42" s="193">
        <f t="shared" si="3"/>
        <v>27545031</v>
      </c>
      <c r="AG42" s="193">
        <f t="shared" si="3"/>
        <v>26374619</v>
      </c>
      <c r="AH42" s="193">
        <f t="shared" si="3"/>
        <v>28324151</v>
      </c>
    </row>
  </sheetData>
  <mergeCells count="16">
    <mergeCell ref="A42:B42"/>
    <mergeCell ref="N2:P2"/>
    <mergeCell ref="Q2:S2"/>
    <mergeCell ref="T2:V2"/>
    <mergeCell ref="W2:Y2"/>
    <mergeCell ref="A2:A3"/>
    <mergeCell ref="B2:B3"/>
    <mergeCell ref="C2:D2"/>
    <mergeCell ref="E2:G2"/>
    <mergeCell ref="H2:J2"/>
    <mergeCell ref="K2:M2"/>
    <mergeCell ref="N1:V1"/>
    <mergeCell ref="C1:M1"/>
    <mergeCell ref="W1:AE1"/>
    <mergeCell ref="Z2:AB2"/>
    <mergeCell ref="AC2:AE2"/>
  </mergeCells>
  <conditionalFormatting sqref="AE5:AE41">
    <cfRule type="cellIs" dxfId="1" priority="15" operator="lessThan">
      <formula>0</formula>
    </cfRule>
  </conditionalFormatting>
  <pageMargins left="0.43307086614173229" right="0.4" top="0.41" bottom="0.27559055118110237" header="0.19685039370078741" footer="0.15748031496062992"/>
  <pageSetup paperSize="9" scale="75" firstPageNumber="14" orientation="portrait" useFirstPageNumber="1" r:id="rId1"/>
  <headerFooter>
    <oddFooter>&amp;LAISHE 2019-20&amp;CT-8</oddFooter>
  </headerFooter>
  <colBreaks count="2" manualBreakCount="2">
    <brk id="13" max="41" man="1"/>
    <brk id="2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</sheetPr>
  <dimension ref="A1:AX43"/>
  <sheetViews>
    <sheetView showZeros="0" view="pageBreakPreview" zoomScale="85" zoomScaleSheetLayoutView="85" workbookViewId="0">
      <pane xSplit="2" ySplit="5" topLeftCell="AM36" activePane="bottomRight" state="frozen"/>
      <selection activeCell="B4" sqref="B4"/>
      <selection pane="topRight" activeCell="B4" sqref="B4"/>
      <selection pane="bottomLeft" activeCell="B4" sqref="B4"/>
      <selection pane="bottomRight" activeCell="AW43" sqref="AW43"/>
    </sheetView>
  </sheetViews>
  <sheetFormatPr defaultColWidth="9.140625" defaultRowHeight="14.25"/>
  <cols>
    <col min="1" max="1" width="5.140625" style="174" customWidth="1"/>
    <col min="2" max="2" width="20.42578125" style="174" customWidth="1"/>
    <col min="3" max="3" width="6.42578125" style="174" customWidth="1"/>
    <col min="4" max="4" width="12.140625" style="174" customWidth="1"/>
    <col min="5" max="7" width="9.7109375" style="174" customWidth="1"/>
    <col min="8" max="8" width="7.85546875" style="174" customWidth="1"/>
    <col min="9" max="9" width="6.28515625" style="174" customWidth="1"/>
    <col min="10" max="10" width="11.85546875" style="174" customWidth="1"/>
    <col min="11" max="13" width="8.85546875" style="174" customWidth="1"/>
    <col min="14" max="14" width="8.42578125" style="174" customWidth="1"/>
    <col min="15" max="15" width="6.5703125" style="174" customWidth="1"/>
    <col min="16" max="16" width="12" style="174" customWidth="1"/>
    <col min="17" max="17" width="9" style="174" customWidth="1"/>
    <col min="18" max="18" width="9.28515625" style="174" customWidth="1"/>
    <col min="19" max="19" width="9" style="174" customWidth="1"/>
    <col min="20" max="20" width="8.140625" style="174" customWidth="1"/>
    <col min="21" max="21" width="7.5703125" style="174" customWidth="1"/>
    <col min="22" max="22" width="11.85546875" style="174" customWidth="1"/>
    <col min="23" max="24" width="9.28515625" style="174" customWidth="1"/>
    <col min="25" max="25" width="8.28515625" style="174" customWidth="1"/>
    <col min="26" max="26" width="8.7109375" style="174" customWidth="1"/>
    <col min="27" max="27" width="8" style="174" customWidth="1"/>
    <col min="28" max="28" width="11.85546875" style="174" customWidth="1"/>
    <col min="29" max="31" width="8.140625" style="174" customWidth="1"/>
    <col min="32" max="32" width="9.28515625" style="174" customWidth="1"/>
    <col min="33" max="33" width="8" style="174" customWidth="1"/>
    <col min="34" max="34" width="11.85546875" style="174" customWidth="1"/>
    <col min="35" max="36" width="9.28515625" style="174" customWidth="1"/>
    <col min="37" max="37" width="8" style="174" customWidth="1"/>
    <col min="38" max="38" width="9.28515625" style="174" customWidth="1"/>
    <col min="39" max="39" width="5.5703125" style="174" customWidth="1"/>
    <col min="40" max="40" width="12" style="174" customWidth="1"/>
    <col min="41" max="41" width="7.42578125" style="174" customWidth="1"/>
    <col min="42" max="42" width="9.28515625" style="174" customWidth="1"/>
    <col min="43" max="43" width="8.140625" style="174" customWidth="1"/>
    <col min="44" max="44" width="9.140625" style="174" customWidth="1"/>
    <col min="45" max="45" width="8.5703125" style="174" customWidth="1"/>
    <col min="46" max="46" width="12.140625" style="174" customWidth="1"/>
    <col min="47" max="47" width="9.140625" style="174" customWidth="1"/>
    <col min="48" max="50" width="9.28515625" style="174" customWidth="1"/>
    <col min="51" max="16384" width="9.140625" style="174"/>
  </cols>
  <sheetData>
    <row r="1" spans="1:50" s="205" customFormat="1" ht="39" customHeight="1">
      <c r="B1" s="150" t="s">
        <v>153</v>
      </c>
      <c r="C1" s="779" t="s">
        <v>910</v>
      </c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 t="str">
        <f>C1</f>
        <v>Number and Enrolment in different types of Stand Alone Institutions 
(Based on actual Response)</v>
      </c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 t="str">
        <f>O1</f>
        <v>Number and Enrolment in different types of Stand Alone Institutions 
(Based on actual Response)</v>
      </c>
      <c r="AB1" s="779"/>
      <c r="AC1" s="779"/>
      <c r="AD1" s="779"/>
      <c r="AE1" s="779"/>
      <c r="AF1" s="779"/>
      <c r="AG1" s="779"/>
      <c r="AH1" s="779"/>
      <c r="AI1" s="779"/>
      <c r="AJ1" s="779"/>
      <c r="AK1" s="779"/>
      <c r="AL1" s="779"/>
      <c r="AM1" s="779" t="str">
        <f>AA1</f>
        <v>Number and Enrolment in different types of Stand Alone Institutions 
(Based on actual Response)</v>
      </c>
      <c r="AN1" s="779"/>
      <c r="AO1" s="779"/>
      <c r="AP1" s="779"/>
      <c r="AQ1" s="779"/>
      <c r="AR1" s="779"/>
      <c r="AS1" s="779"/>
      <c r="AT1" s="779"/>
      <c r="AU1" s="779"/>
      <c r="AV1" s="779"/>
      <c r="AW1" s="779"/>
      <c r="AX1" s="779"/>
    </row>
    <row r="2" spans="1:50" s="198" customFormat="1" ht="21.75" customHeight="1">
      <c r="A2" s="791" t="s">
        <v>84</v>
      </c>
      <c r="B2" s="791" t="s">
        <v>713</v>
      </c>
      <c r="C2" s="808" t="s">
        <v>102</v>
      </c>
      <c r="D2" s="808"/>
      <c r="E2" s="808"/>
      <c r="F2" s="808"/>
      <c r="G2" s="808"/>
      <c r="H2" s="808"/>
      <c r="I2" s="808" t="s">
        <v>77</v>
      </c>
      <c r="J2" s="808"/>
      <c r="K2" s="808"/>
      <c r="L2" s="808"/>
      <c r="M2" s="808"/>
      <c r="N2" s="808"/>
      <c r="O2" s="808" t="s">
        <v>76</v>
      </c>
      <c r="P2" s="808"/>
      <c r="Q2" s="808"/>
      <c r="R2" s="808"/>
      <c r="S2" s="808"/>
      <c r="T2" s="808"/>
      <c r="U2" s="808" t="s">
        <v>75</v>
      </c>
      <c r="V2" s="808"/>
      <c r="W2" s="808"/>
      <c r="X2" s="808"/>
      <c r="Y2" s="808"/>
      <c r="Z2" s="808"/>
      <c r="AA2" s="808" t="s">
        <v>121</v>
      </c>
      <c r="AB2" s="808"/>
      <c r="AC2" s="808"/>
      <c r="AD2" s="808"/>
      <c r="AE2" s="808"/>
      <c r="AF2" s="808"/>
      <c r="AG2" s="808" t="s">
        <v>783</v>
      </c>
      <c r="AH2" s="808"/>
      <c r="AI2" s="808"/>
      <c r="AJ2" s="808"/>
      <c r="AK2" s="808"/>
      <c r="AL2" s="808"/>
      <c r="AM2" s="808" t="s">
        <v>784</v>
      </c>
      <c r="AN2" s="808"/>
      <c r="AO2" s="808"/>
      <c r="AP2" s="808"/>
      <c r="AQ2" s="808"/>
      <c r="AR2" s="808"/>
      <c r="AS2" s="808" t="s">
        <v>103</v>
      </c>
      <c r="AT2" s="808"/>
      <c r="AU2" s="808"/>
      <c r="AV2" s="808"/>
      <c r="AW2" s="808"/>
      <c r="AX2" s="808"/>
    </row>
    <row r="3" spans="1:50" s="162" customFormat="1" ht="34.15" customHeight="1">
      <c r="A3" s="791"/>
      <c r="B3" s="791"/>
      <c r="C3" s="791" t="s">
        <v>104</v>
      </c>
      <c r="D3" s="791"/>
      <c r="E3" s="791" t="s">
        <v>105</v>
      </c>
      <c r="F3" s="791"/>
      <c r="G3" s="791"/>
      <c r="H3" s="811" t="s">
        <v>106</v>
      </c>
      <c r="I3" s="791" t="s">
        <v>104</v>
      </c>
      <c r="J3" s="791"/>
      <c r="K3" s="791" t="s">
        <v>105</v>
      </c>
      <c r="L3" s="791"/>
      <c r="M3" s="791"/>
      <c r="N3" s="811" t="s">
        <v>106</v>
      </c>
      <c r="O3" s="791" t="s">
        <v>104</v>
      </c>
      <c r="P3" s="791"/>
      <c r="Q3" s="791" t="s">
        <v>105</v>
      </c>
      <c r="R3" s="791"/>
      <c r="S3" s="791"/>
      <c r="T3" s="811" t="s">
        <v>106</v>
      </c>
      <c r="U3" s="791" t="s">
        <v>104</v>
      </c>
      <c r="V3" s="791"/>
      <c r="W3" s="791" t="s">
        <v>105</v>
      </c>
      <c r="X3" s="791"/>
      <c r="Y3" s="791"/>
      <c r="Z3" s="811" t="s">
        <v>106</v>
      </c>
      <c r="AA3" s="791" t="s">
        <v>104</v>
      </c>
      <c r="AB3" s="791"/>
      <c r="AC3" s="791" t="s">
        <v>105</v>
      </c>
      <c r="AD3" s="791"/>
      <c r="AE3" s="791"/>
      <c r="AF3" s="809" t="s">
        <v>106</v>
      </c>
      <c r="AG3" s="791" t="s">
        <v>104</v>
      </c>
      <c r="AH3" s="791"/>
      <c r="AI3" s="791" t="s">
        <v>105</v>
      </c>
      <c r="AJ3" s="791"/>
      <c r="AK3" s="791"/>
      <c r="AL3" s="809" t="s">
        <v>106</v>
      </c>
      <c r="AM3" s="791" t="s">
        <v>104</v>
      </c>
      <c r="AN3" s="791"/>
      <c r="AO3" s="791" t="s">
        <v>105</v>
      </c>
      <c r="AP3" s="791"/>
      <c r="AQ3" s="791"/>
      <c r="AR3" s="809" t="s">
        <v>106</v>
      </c>
      <c r="AS3" s="791" t="s">
        <v>104</v>
      </c>
      <c r="AT3" s="791"/>
      <c r="AU3" s="791" t="s">
        <v>105</v>
      </c>
      <c r="AV3" s="791"/>
      <c r="AW3" s="791"/>
      <c r="AX3" s="809" t="s">
        <v>106</v>
      </c>
    </row>
    <row r="4" spans="1:50" s="208" customFormat="1" ht="34.15" customHeight="1">
      <c r="A4" s="791"/>
      <c r="B4" s="791"/>
      <c r="C4" s="470" t="s">
        <v>12</v>
      </c>
      <c r="D4" s="470" t="s">
        <v>98</v>
      </c>
      <c r="E4" s="471" t="s">
        <v>87</v>
      </c>
      <c r="F4" s="471" t="s">
        <v>88</v>
      </c>
      <c r="G4" s="470" t="s">
        <v>12</v>
      </c>
      <c r="H4" s="812"/>
      <c r="I4" s="470" t="s">
        <v>12</v>
      </c>
      <c r="J4" s="470" t="s">
        <v>98</v>
      </c>
      <c r="K4" s="471" t="s">
        <v>87</v>
      </c>
      <c r="L4" s="471" t="s">
        <v>88</v>
      </c>
      <c r="M4" s="470" t="s">
        <v>12</v>
      </c>
      <c r="N4" s="812"/>
      <c r="O4" s="470" t="s">
        <v>12</v>
      </c>
      <c r="P4" s="470" t="s">
        <v>98</v>
      </c>
      <c r="Q4" s="471" t="s">
        <v>87</v>
      </c>
      <c r="R4" s="471" t="s">
        <v>88</v>
      </c>
      <c r="S4" s="470" t="s">
        <v>12</v>
      </c>
      <c r="T4" s="812"/>
      <c r="U4" s="470" t="s">
        <v>12</v>
      </c>
      <c r="V4" s="470" t="s">
        <v>98</v>
      </c>
      <c r="W4" s="471" t="s">
        <v>87</v>
      </c>
      <c r="X4" s="471" t="s">
        <v>88</v>
      </c>
      <c r="Y4" s="470" t="s">
        <v>12</v>
      </c>
      <c r="Z4" s="812"/>
      <c r="AA4" s="470" t="s">
        <v>12</v>
      </c>
      <c r="AB4" s="470" t="s">
        <v>98</v>
      </c>
      <c r="AC4" s="471" t="s">
        <v>87</v>
      </c>
      <c r="AD4" s="471" t="s">
        <v>88</v>
      </c>
      <c r="AE4" s="470" t="s">
        <v>12</v>
      </c>
      <c r="AF4" s="810"/>
      <c r="AG4" s="470" t="s">
        <v>12</v>
      </c>
      <c r="AH4" s="470" t="s">
        <v>98</v>
      </c>
      <c r="AI4" s="471" t="s">
        <v>87</v>
      </c>
      <c r="AJ4" s="471" t="s">
        <v>88</v>
      </c>
      <c r="AK4" s="470" t="s">
        <v>12</v>
      </c>
      <c r="AL4" s="810"/>
      <c r="AM4" s="470" t="s">
        <v>12</v>
      </c>
      <c r="AN4" s="470" t="s">
        <v>98</v>
      </c>
      <c r="AO4" s="471" t="s">
        <v>87</v>
      </c>
      <c r="AP4" s="471" t="s">
        <v>88</v>
      </c>
      <c r="AQ4" s="470" t="s">
        <v>12</v>
      </c>
      <c r="AR4" s="810"/>
      <c r="AS4" s="470" t="s">
        <v>12</v>
      </c>
      <c r="AT4" s="470" t="s">
        <v>98</v>
      </c>
      <c r="AU4" s="471" t="s">
        <v>87</v>
      </c>
      <c r="AV4" s="471" t="s">
        <v>88</v>
      </c>
      <c r="AW4" s="470" t="s">
        <v>12</v>
      </c>
      <c r="AX4" s="810"/>
    </row>
    <row r="5" spans="1:50" s="198" customFormat="1" ht="11.25" customHeight="1">
      <c r="A5" s="199">
        <v>1</v>
      </c>
      <c r="B5" s="199">
        <v>2</v>
      </c>
      <c r="C5" s="199">
        <v>3</v>
      </c>
      <c r="D5" s="199">
        <v>4</v>
      </c>
      <c r="E5" s="199">
        <v>5</v>
      </c>
      <c r="F5" s="199">
        <v>6</v>
      </c>
      <c r="G5" s="199">
        <v>7</v>
      </c>
      <c r="H5" s="199">
        <v>8</v>
      </c>
      <c r="I5" s="199">
        <v>9</v>
      </c>
      <c r="J5" s="199">
        <v>10</v>
      </c>
      <c r="K5" s="199">
        <v>11</v>
      </c>
      <c r="L5" s="199">
        <v>12</v>
      </c>
      <c r="M5" s="199">
        <v>13</v>
      </c>
      <c r="N5" s="199">
        <v>14</v>
      </c>
      <c r="O5" s="199">
        <v>15</v>
      </c>
      <c r="P5" s="199">
        <v>16</v>
      </c>
      <c r="Q5" s="199">
        <v>17</v>
      </c>
      <c r="R5" s="199">
        <v>18</v>
      </c>
      <c r="S5" s="199">
        <v>19</v>
      </c>
      <c r="T5" s="199">
        <v>20</v>
      </c>
      <c r="U5" s="199">
        <v>21</v>
      </c>
      <c r="V5" s="199">
        <v>22</v>
      </c>
      <c r="W5" s="199">
        <v>23</v>
      </c>
      <c r="X5" s="199">
        <v>24</v>
      </c>
      <c r="Y5" s="199">
        <v>25</v>
      </c>
      <c r="Z5" s="199">
        <v>26</v>
      </c>
      <c r="AA5" s="199">
        <v>27</v>
      </c>
      <c r="AB5" s="199">
        <v>28</v>
      </c>
      <c r="AC5" s="199">
        <v>29</v>
      </c>
      <c r="AD5" s="199">
        <v>30</v>
      </c>
      <c r="AE5" s="199">
        <v>31</v>
      </c>
      <c r="AF5" s="199">
        <v>32</v>
      </c>
      <c r="AG5" s="199">
        <v>27</v>
      </c>
      <c r="AH5" s="199">
        <v>28</v>
      </c>
      <c r="AI5" s="199">
        <v>29</v>
      </c>
      <c r="AJ5" s="199">
        <v>30</v>
      </c>
      <c r="AK5" s="199">
        <v>31</v>
      </c>
      <c r="AL5" s="199">
        <v>32</v>
      </c>
      <c r="AM5" s="199">
        <v>27</v>
      </c>
      <c r="AN5" s="199">
        <v>28</v>
      </c>
      <c r="AO5" s="199">
        <v>29</v>
      </c>
      <c r="AP5" s="199">
        <v>30</v>
      </c>
      <c r="AQ5" s="199">
        <v>31</v>
      </c>
      <c r="AR5" s="199">
        <v>32</v>
      </c>
      <c r="AS5" s="199">
        <v>33</v>
      </c>
      <c r="AT5" s="199">
        <v>34</v>
      </c>
      <c r="AU5" s="199">
        <v>35</v>
      </c>
      <c r="AV5" s="199">
        <v>36</v>
      </c>
      <c r="AW5" s="199">
        <v>37</v>
      </c>
      <c r="AX5" s="199">
        <v>38</v>
      </c>
    </row>
    <row r="6" spans="1:50" s="163" customFormat="1" ht="30.75" customHeight="1">
      <c r="A6" s="166">
        <v>1</v>
      </c>
      <c r="B6" s="167" t="s">
        <v>154</v>
      </c>
      <c r="C6" s="200">
        <v>0</v>
      </c>
      <c r="D6" s="201">
        <v>0</v>
      </c>
      <c r="E6" s="201">
        <v>0</v>
      </c>
      <c r="F6" s="201">
        <v>0</v>
      </c>
      <c r="G6" s="201">
        <v>0</v>
      </c>
      <c r="H6" s="201"/>
      <c r="I6" s="200">
        <v>0</v>
      </c>
      <c r="J6" s="201">
        <v>0</v>
      </c>
      <c r="K6" s="201">
        <v>0</v>
      </c>
      <c r="L6" s="201">
        <v>0</v>
      </c>
      <c r="M6" s="201">
        <v>0</v>
      </c>
      <c r="N6" s="200"/>
      <c r="O6" s="200">
        <v>0</v>
      </c>
      <c r="P6" s="201">
        <v>0</v>
      </c>
      <c r="Q6" s="201">
        <v>0</v>
      </c>
      <c r="R6" s="201">
        <v>0</v>
      </c>
      <c r="S6" s="201">
        <v>0</v>
      </c>
      <c r="T6" s="200"/>
      <c r="U6" s="200">
        <v>1</v>
      </c>
      <c r="V6" s="201">
        <v>1</v>
      </c>
      <c r="W6" s="201">
        <v>20</v>
      </c>
      <c r="X6" s="201">
        <v>103</v>
      </c>
      <c r="Y6" s="201">
        <v>123</v>
      </c>
      <c r="Z6" s="200">
        <v>123</v>
      </c>
      <c r="AA6" s="200">
        <v>0</v>
      </c>
      <c r="AB6" s="201">
        <v>0</v>
      </c>
      <c r="AC6" s="201">
        <v>0</v>
      </c>
      <c r="AD6" s="201">
        <v>0</v>
      </c>
      <c r="AE6" s="201">
        <v>0</v>
      </c>
      <c r="AF6" s="200"/>
      <c r="AG6" s="200">
        <v>0</v>
      </c>
      <c r="AH6" s="200">
        <v>0</v>
      </c>
      <c r="AI6" s="200">
        <v>0</v>
      </c>
      <c r="AJ6" s="200">
        <v>0</v>
      </c>
      <c r="AK6" s="200">
        <v>0</v>
      </c>
      <c r="AL6" s="200"/>
      <c r="AM6" s="200">
        <v>0</v>
      </c>
      <c r="AN6" s="200">
        <v>0</v>
      </c>
      <c r="AO6" s="200">
        <v>0</v>
      </c>
      <c r="AP6" s="200">
        <v>0</v>
      </c>
      <c r="AQ6" s="200">
        <v>0</v>
      </c>
      <c r="AR6" s="200"/>
      <c r="AS6" s="200">
        <f>C6+I6+O6+U6+AA6+AG6+AM6</f>
        <v>1</v>
      </c>
      <c r="AT6" s="200">
        <f t="shared" ref="AT6:AW6" si="0">D6+J6+P6+V6+AB6+AH6+AN6</f>
        <v>1</v>
      </c>
      <c r="AU6" s="200">
        <f t="shared" si="0"/>
        <v>20</v>
      </c>
      <c r="AV6" s="200">
        <f t="shared" si="0"/>
        <v>103</v>
      </c>
      <c r="AW6" s="200">
        <f t="shared" si="0"/>
        <v>123</v>
      </c>
      <c r="AX6" s="200">
        <f>AW6/AT6</f>
        <v>123</v>
      </c>
    </row>
    <row r="7" spans="1:50" s="163" customFormat="1" ht="26.25" customHeight="1">
      <c r="A7" s="166">
        <v>2</v>
      </c>
      <c r="B7" s="171" t="s">
        <v>15</v>
      </c>
      <c r="C7" s="200">
        <v>162</v>
      </c>
      <c r="D7" s="201">
        <v>143</v>
      </c>
      <c r="E7" s="201">
        <v>57326</v>
      </c>
      <c r="F7" s="201">
        <v>17530</v>
      </c>
      <c r="G7" s="201">
        <v>74856</v>
      </c>
      <c r="H7" s="201">
        <v>523.46853146853152</v>
      </c>
      <c r="I7" s="200">
        <v>8</v>
      </c>
      <c r="J7" s="201">
        <v>5</v>
      </c>
      <c r="K7" s="201">
        <v>497</v>
      </c>
      <c r="L7" s="201">
        <v>240</v>
      </c>
      <c r="M7" s="201">
        <v>737</v>
      </c>
      <c r="N7" s="200">
        <v>147.4</v>
      </c>
      <c r="O7" s="200">
        <v>258</v>
      </c>
      <c r="P7" s="201">
        <v>219</v>
      </c>
      <c r="Q7" s="201">
        <v>1330</v>
      </c>
      <c r="R7" s="201">
        <v>21254</v>
      </c>
      <c r="S7" s="201">
        <v>22584</v>
      </c>
      <c r="T7" s="200">
        <v>103.12328767123287</v>
      </c>
      <c r="U7" s="200">
        <v>413</v>
      </c>
      <c r="V7" s="201">
        <v>278</v>
      </c>
      <c r="W7" s="201">
        <v>8544</v>
      </c>
      <c r="X7" s="201">
        <v>14877</v>
      </c>
      <c r="Y7" s="201">
        <v>23421</v>
      </c>
      <c r="Z7" s="200">
        <v>84.248201438848923</v>
      </c>
      <c r="AA7" s="200">
        <v>2</v>
      </c>
      <c r="AB7" s="201">
        <v>1</v>
      </c>
      <c r="AC7" s="201">
        <v>117</v>
      </c>
      <c r="AD7" s="201">
        <v>15</v>
      </c>
      <c r="AE7" s="201">
        <v>132</v>
      </c>
      <c r="AF7" s="200">
        <v>132</v>
      </c>
      <c r="AG7" s="200">
        <v>0</v>
      </c>
      <c r="AH7" s="200">
        <v>0</v>
      </c>
      <c r="AI7" s="200">
        <v>0</v>
      </c>
      <c r="AJ7" s="200">
        <v>0</v>
      </c>
      <c r="AK7" s="200">
        <v>0</v>
      </c>
      <c r="AL7" s="200"/>
      <c r="AM7" s="200">
        <v>0</v>
      </c>
      <c r="AN7" s="200">
        <v>0</v>
      </c>
      <c r="AO7" s="200">
        <v>0</v>
      </c>
      <c r="AP7" s="200">
        <v>0</v>
      </c>
      <c r="AQ7" s="200">
        <v>0</v>
      </c>
      <c r="AR7" s="200"/>
      <c r="AS7" s="200">
        <f t="shared" ref="AS7:AS42" si="1">C7+I7+O7+U7+AA7+AG7+AM7</f>
        <v>843</v>
      </c>
      <c r="AT7" s="200">
        <f t="shared" ref="AT7:AT42" si="2">D7+J7+P7+V7+AB7+AH7+AN7</f>
        <v>646</v>
      </c>
      <c r="AU7" s="200">
        <f t="shared" ref="AU7:AU42" si="3">E7+K7+Q7+W7+AC7+AI7+AO7</f>
        <v>67814</v>
      </c>
      <c r="AV7" s="200">
        <f t="shared" ref="AV7:AV42" si="4">F7+L7+R7+X7+AD7+AJ7+AP7</f>
        <v>53916</v>
      </c>
      <c r="AW7" s="200">
        <f t="shared" ref="AW7:AW42" si="5">G7+M7+S7+Y7+AE7+AK7+AQ7</f>
        <v>121730</v>
      </c>
      <c r="AX7" s="200">
        <f t="shared" ref="AX7:AX42" si="6">AW7/AT7</f>
        <v>188.43653250773994</v>
      </c>
    </row>
    <row r="8" spans="1:50" s="163" customFormat="1" ht="26.25" customHeight="1">
      <c r="A8" s="166">
        <v>3</v>
      </c>
      <c r="B8" s="171" t="s">
        <v>16</v>
      </c>
      <c r="C8" s="200">
        <v>7</v>
      </c>
      <c r="D8" s="201">
        <v>6</v>
      </c>
      <c r="E8" s="201">
        <v>569</v>
      </c>
      <c r="F8" s="201">
        <v>140</v>
      </c>
      <c r="G8" s="201">
        <v>709</v>
      </c>
      <c r="H8" s="201">
        <v>118.16666666666667</v>
      </c>
      <c r="I8" s="200">
        <v>0</v>
      </c>
      <c r="J8" s="201">
        <v>0</v>
      </c>
      <c r="K8" s="201">
        <v>0</v>
      </c>
      <c r="L8" s="201">
        <v>0</v>
      </c>
      <c r="M8" s="201">
        <v>0</v>
      </c>
      <c r="N8" s="200"/>
      <c r="O8" s="200">
        <v>0</v>
      </c>
      <c r="P8" s="201">
        <v>0</v>
      </c>
      <c r="Q8" s="201">
        <v>0</v>
      </c>
      <c r="R8" s="201">
        <v>0</v>
      </c>
      <c r="S8" s="201">
        <v>0</v>
      </c>
      <c r="T8" s="200"/>
      <c r="U8" s="200">
        <v>6</v>
      </c>
      <c r="V8" s="201">
        <v>0</v>
      </c>
      <c r="W8" s="201">
        <v>0</v>
      </c>
      <c r="X8" s="201">
        <v>0</v>
      </c>
      <c r="Y8" s="201">
        <v>0</v>
      </c>
      <c r="Z8" s="200"/>
      <c r="AA8" s="200">
        <v>0</v>
      </c>
      <c r="AB8" s="201">
        <v>0</v>
      </c>
      <c r="AC8" s="201">
        <v>0</v>
      </c>
      <c r="AD8" s="201">
        <v>0</v>
      </c>
      <c r="AE8" s="201">
        <v>0</v>
      </c>
      <c r="AF8" s="200"/>
      <c r="AG8" s="200">
        <v>0</v>
      </c>
      <c r="AH8" s="200">
        <v>0</v>
      </c>
      <c r="AI8" s="200">
        <v>0</v>
      </c>
      <c r="AJ8" s="200">
        <v>0</v>
      </c>
      <c r="AK8" s="200">
        <v>0</v>
      </c>
      <c r="AL8" s="200"/>
      <c r="AM8" s="200">
        <v>0</v>
      </c>
      <c r="AN8" s="200">
        <v>0</v>
      </c>
      <c r="AO8" s="200">
        <v>0</v>
      </c>
      <c r="AP8" s="200">
        <v>0</v>
      </c>
      <c r="AQ8" s="200">
        <v>0</v>
      </c>
      <c r="AR8" s="200"/>
      <c r="AS8" s="200">
        <f t="shared" si="1"/>
        <v>13</v>
      </c>
      <c r="AT8" s="200">
        <f t="shared" si="2"/>
        <v>6</v>
      </c>
      <c r="AU8" s="200">
        <f t="shared" si="3"/>
        <v>569</v>
      </c>
      <c r="AV8" s="200">
        <f t="shared" si="4"/>
        <v>140</v>
      </c>
      <c r="AW8" s="200">
        <f t="shared" si="5"/>
        <v>709</v>
      </c>
      <c r="AX8" s="200">
        <f t="shared" si="6"/>
        <v>118.16666666666667</v>
      </c>
    </row>
    <row r="9" spans="1:50" s="163" customFormat="1" ht="26.25" customHeight="1">
      <c r="A9" s="166">
        <v>4</v>
      </c>
      <c r="B9" s="171" t="s">
        <v>17</v>
      </c>
      <c r="C9" s="200">
        <v>24</v>
      </c>
      <c r="D9" s="201">
        <v>23</v>
      </c>
      <c r="E9" s="201">
        <v>7840</v>
      </c>
      <c r="F9" s="201">
        <v>1928</v>
      </c>
      <c r="G9" s="201">
        <v>9768</v>
      </c>
      <c r="H9" s="201">
        <v>424.69565217391306</v>
      </c>
      <c r="I9" s="200">
        <v>1</v>
      </c>
      <c r="J9" s="201">
        <v>1</v>
      </c>
      <c r="K9" s="201">
        <v>76</v>
      </c>
      <c r="L9" s="201">
        <v>64</v>
      </c>
      <c r="M9" s="201">
        <v>140</v>
      </c>
      <c r="N9" s="200">
        <v>140</v>
      </c>
      <c r="O9" s="200">
        <v>29</v>
      </c>
      <c r="P9" s="201">
        <v>14</v>
      </c>
      <c r="Q9" s="201">
        <v>43</v>
      </c>
      <c r="R9" s="201">
        <v>1641</v>
      </c>
      <c r="S9" s="201">
        <v>1684</v>
      </c>
      <c r="T9" s="200">
        <v>120.28571428571429</v>
      </c>
      <c r="U9" s="200">
        <v>35</v>
      </c>
      <c r="V9" s="201">
        <v>35</v>
      </c>
      <c r="W9" s="201">
        <v>2334</v>
      </c>
      <c r="X9" s="201">
        <v>3589</v>
      </c>
      <c r="Y9" s="201">
        <v>5923</v>
      </c>
      <c r="Z9" s="200">
        <v>169.22857142857143</v>
      </c>
      <c r="AA9" s="200">
        <v>1</v>
      </c>
      <c r="AB9" s="201">
        <v>1</v>
      </c>
      <c r="AC9" s="201">
        <v>535</v>
      </c>
      <c r="AD9" s="201">
        <v>260</v>
      </c>
      <c r="AE9" s="201">
        <v>795</v>
      </c>
      <c r="AF9" s="200">
        <v>795</v>
      </c>
      <c r="AG9" s="200">
        <v>1</v>
      </c>
      <c r="AH9" s="200">
        <v>0</v>
      </c>
      <c r="AI9" s="200">
        <v>0</v>
      </c>
      <c r="AJ9" s="200">
        <v>0</v>
      </c>
      <c r="AK9" s="200">
        <v>0</v>
      </c>
      <c r="AL9" s="200"/>
      <c r="AM9" s="200">
        <v>1</v>
      </c>
      <c r="AN9" s="200">
        <v>0</v>
      </c>
      <c r="AO9" s="200">
        <v>0</v>
      </c>
      <c r="AP9" s="200">
        <v>0</v>
      </c>
      <c r="AQ9" s="200">
        <v>0</v>
      </c>
      <c r="AR9" s="200"/>
      <c r="AS9" s="200">
        <f t="shared" si="1"/>
        <v>92</v>
      </c>
      <c r="AT9" s="200">
        <f t="shared" si="2"/>
        <v>74</v>
      </c>
      <c r="AU9" s="200">
        <f t="shared" si="3"/>
        <v>10828</v>
      </c>
      <c r="AV9" s="200">
        <f t="shared" si="4"/>
        <v>7482</v>
      </c>
      <c r="AW9" s="200">
        <f t="shared" si="5"/>
        <v>18310</v>
      </c>
      <c r="AX9" s="200">
        <f t="shared" si="6"/>
        <v>247.43243243243242</v>
      </c>
    </row>
    <row r="10" spans="1:50" s="163" customFormat="1" ht="26.25" customHeight="1">
      <c r="A10" s="166">
        <v>5</v>
      </c>
      <c r="B10" s="171" t="s">
        <v>18</v>
      </c>
      <c r="C10" s="200">
        <v>61</v>
      </c>
      <c r="D10" s="201">
        <v>61</v>
      </c>
      <c r="E10" s="201">
        <v>28142</v>
      </c>
      <c r="F10" s="201">
        <v>5085</v>
      </c>
      <c r="G10" s="201">
        <v>33227</v>
      </c>
      <c r="H10" s="201">
        <v>544.70491803278685</v>
      </c>
      <c r="I10" s="200">
        <v>4</v>
      </c>
      <c r="J10" s="201">
        <v>4</v>
      </c>
      <c r="K10" s="201">
        <v>340</v>
      </c>
      <c r="L10" s="201">
        <v>189</v>
      </c>
      <c r="M10" s="201">
        <v>529</v>
      </c>
      <c r="N10" s="200">
        <v>132.25</v>
      </c>
      <c r="O10" s="200">
        <v>64</v>
      </c>
      <c r="P10" s="201">
        <v>58</v>
      </c>
      <c r="Q10" s="201">
        <v>1023</v>
      </c>
      <c r="R10" s="201">
        <v>6942</v>
      </c>
      <c r="S10" s="201">
        <v>7965</v>
      </c>
      <c r="T10" s="200">
        <v>137.32758620689654</v>
      </c>
      <c r="U10" s="200">
        <v>34</v>
      </c>
      <c r="V10" s="201">
        <v>32</v>
      </c>
      <c r="W10" s="201">
        <v>4186</v>
      </c>
      <c r="X10" s="201">
        <v>5341</v>
      </c>
      <c r="Y10" s="201">
        <v>9527</v>
      </c>
      <c r="Z10" s="200">
        <v>297.71875</v>
      </c>
      <c r="AA10" s="200">
        <v>1</v>
      </c>
      <c r="AB10" s="201">
        <v>1</v>
      </c>
      <c r="AC10" s="201">
        <v>114</v>
      </c>
      <c r="AD10" s="201">
        <v>6</v>
      </c>
      <c r="AE10" s="201">
        <v>120</v>
      </c>
      <c r="AF10" s="200">
        <v>120</v>
      </c>
      <c r="AG10" s="200">
        <v>1</v>
      </c>
      <c r="AH10" s="200">
        <v>1</v>
      </c>
      <c r="AI10" s="200">
        <v>299</v>
      </c>
      <c r="AJ10" s="200">
        <v>61</v>
      </c>
      <c r="AK10" s="200">
        <v>360</v>
      </c>
      <c r="AL10" s="200">
        <v>360</v>
      </c>
      <c r="AM10" s="200">
        <v>1</v>
      </c>
      <c r="AN10" s="200">
        <v>1</v>
      </c>
      <c r="AO10" s="200">
        <v>521</v>
      </c>
      <c r="AP10" s="200">
        <v>80</v>
      </c>
      <c r="AQ10" s="200">
        <v>601</v>
      </c>
      <c r="AR10" s="200">
        <v>601</v>
      </c>
      <c r="AS10" s="200">
        <f t="shared" si="1"/>
        <v>166</v>
      </c>
      <c r="AT10" s="200">
        <f t="shared" si="2"/>
        <v>158</v>
      </c>
      <c r="AU10" s="200">
        <f t="shared" si="3"/>
        <v>34625</v>
      </c>
      <c r="AV10" s="200">
        <f t="shared" si="4"/>
        <v>17704</v>
      </c>
      <c r="AW10" s="200">
        <f t="shared" si="5"/>
        <v>52329</v>
      </c>
      <c r="AX10" s="200">
        <f t="shared" si="6"/>
        <v>331.19620253164555</v>
      </c>
    </row>
    <row r="11" spans="1:50" s="163" customFormat="1" ht="26.25" customHeight="1">
      <c r="A11" s="166">
        <v>6</v>
      </c>
      <c r="B11" s="171" t="s">
        <v>19</v>
      </c>
      <c r="C11" s="200">
        <v>3</v>
      </c>
      <c r="D11" s="201">
        <v>3</v>
      </c>
      <c r="E11" s="201">
        <v>1177</v>
      </c>
      <c r="F11" s="201">
        <v>711</v>
      </c>
      <c r="G11" s="201">
        <v>1888</v>
      </c>
      <c r="H11" s="201">
        <v>629.33333333333337</v>
      </c>
      <c r="I11" s="200">
        <v>1</v>
      </c>
      <c r="J11" s="201">
        <v>0</v>
      </c>
      <c r="K11" s="201">
        <v>0</v>
      </c>
      <c r="L11" s="201">
        <v>0</v>
      </c>
      <c r="M11" s="201">
        <v>0</v>
      </c>
      <c r="N11" s="200"/>
      <c r="O11" s="200">
        <v>0</v>
      </c>
      <c r="P11" s="201">
        <v>0</v>
      </c>
      <c r="Q11" s="201">
        <v>0</v>
      </c>
      <c r="R11" s="201">
        <v>0</v>
      </c>
      <c r="S11" s="201">
        <v>0</v>
      </c>
      <c r="T11" s="200"/>
      <c r="U11" s="200">
        <v>3</v>
      </c>
      <c r="V11" s="201">
        <v>3</v>
      </c>
      <c r="W11" s="201">
        <v>2</v>
      </c>
      <c r="X11" s="201">
        <v>222</v>
      </c>
      <c r="Y11" s="201">
        <v>224</v>
      </c>
      <c r="Z11" s="200">
        <v>74.666666666666671</v>
      </c>
      <c r="AA11" s="200">
        <v>1</v>
      </c>
      <c r="AB11" s="201">
        <v>1</v>
      </c>
      <c r="AC11" s="201">
        <v>397</v>
      </c>
      <c r="AD11" s="201">
        <v>38</v>
      </c>
      <c r="AE11" s="201">
        <v>435</v>
      </c>
      <c r="AF11" s="200">
        <v>435</v>
      </c>
      <c r="AG11" s="200">
        <v>0</v>
      </c>
      <c r="AH11" s="200">
        <v>0</v>
      </c>
      <c r="AI11" s="200">
        <v>0</v>
      </c>
      <c r="AJ11" s="200">
        <v>0</v>
      </c>
      <c r="AK11" s="200">
        <v>0</v>
      </c>
      <c r="AL11" s="200"/>
      <c r="AM11" s="200">
        <v>2</v>
      </c>
      <c r="AN11" s="200">
        <v>2</v>
      </c>
      <c r="AO11" s="200">
        <v>1059</v>
      </c>
      <c r="AP11" s="200">
        <v>271</v>
      </c>
      <c r="AQ11" s="200">
        <v>1330</v>
      </c>
      <c r="AR11" s="200">
        <v>665</v>
      </c>
      <c r="AS11" s="200">
        <f t="shared" si="1"/>
        <v>10</v>
      </c>
      <c r="AT11" s="200">
        <f t="shared" si="2"/>
        <v>9</v>
      </c>
      <c r="AU11" s="200">
        <f t="shared" si="3"/>
        <v>2635</v>
      </c>
      <c r="AV11" s="200">
        <f t="shared" si="4"/>
        <v>1242</v>
      </c>
      <c r="AW11" s="200">
        <f t="shared" si="5"/>
        <v>3877</v>
      </c>
      <c r="AX11" s="200">
        <f t="shared" si="6"/>
        <v>430.77777777777777</v>
      </c>
    </row>
    <row r="12" spans="1:50" s="163" customFormat="1" ht="26.25" customHeight="1">
      <c r="A12" s="166">
        <v>7</v>
      </c>
      <c r="B12" s="171" t="s">
        <v>20</v>
      </c>
      <c r="C12" s="200">
        <v>1</v>
      </c>
      <c r="D12" s="201">
        <v>1</v>
      </c>
      <c r="E12" s="201">
        <v>40</v>
      </c>
      <c r="F12" s="201">
        <v>27</v>
      </c>
      <c r="G12" s="201">
        <v>67</v>
      </c>
      <c r="H12" s="201">
        <v>67</v>
      </c>
      <c r="I12" s="200">
        <v>3</v>
      </c>
      <c r="J12" s="201">
        <v>3</v>
      </c>
      <c r="K12" s="201">
        <v>187</v>
      </c>
      <c r="L12" s="201">
        <v>104</v>
      </c>
      <c r="M12" s="201">
        <v>291</v>
      </c>
      <c r="N12" s="200">
        <v>97</v>
      </c>
      <c r="O12" s="200">
        <v>42</v>
      </c>
      <c r="P12" s="201">
        <v>39</v>
      </c>
      <c r="Q12" s="201">
        <v>182</v>
      </c>
      <c r="R12" s="201">
        <v>2289</v>
      </c>
      <c r="S12" s="201">
        <v>2471</v>
      </c>
      <c r="T12" s="200">
        <v>63.358974358974358</v>
      </c>
      <c r="U12" s="200">
        <v>28</v>
      </c>
      <c r="V12" s="201">
        <v>26</v>
      </c>
      <c r="W12" s="201">
        <v>1961</v>
      </c>
      <c r="X12" s="201">
        <v>1942</v>
      </c>
      <c r="Y12" s="201">
        <v>3903</v>
      </c>
      <c r="Z12" s="200">
        <v>150.11538461538461</v>
      </c>
      <c r="AA12" s="200">
        <v>1</v>
      </c>
      <c r="AB12" s="201">
        <v>1</v>
      </c>
      <c r="AC12" s="201">
        <v>68</v>
      </c>
      <c r="AD12" s="201">
        <v>17</v>
      </c>
      <c r="AE12" s="201">
        <v>85</v>
      </c>
      <c r="AF12" s="200">
        <v>85</v>
      </c>
      <c r="AG12" s="200">
        <v>0</v>
      </c>
      <c r="AH12" s="200">
        <v>0</v>
      </c>
      <c r="AI12" s="200">
        <v>0</v>
      </c>
      <c r="AJ12" s="200">
        <v>0</v>
      </c>
      <c r="AK12" s="200">
        <v>0</v>
      </c>
      <c r="AL12" s="200"/>
      <c r="AM12" s="200">
        <v>0</v>
      </c>
      <c r="AN12" s="200">
        <v>0</v>
      </c>
      <c r="AO12" s="200">
        <v>0</v>
      </c>
      <c r="AP12" s="200">
        <v>0</v>
      </c>
      <c r="AQ12" s="200">
        <v>0</v>
      </c>
      <c r="AR12" s="200"/>
      <c r="AS12" s="200">
        <f t="shared" si="1"/>
        <v>75</v>
      </c>
      <c r="AT12" s="200">
        <f t="shared" si="2"/>
        <v>70</v>
      </c>
      <c r="AU12" s="200">
        <f t="shared" si="3"/>
        <v>2438</v>
      </c>
      <c r="AV12" s="200">
        <f t="shared" si="4"/>
        <v>4379</v>
      </c>
      <c r="AW12" s="200">
        <f t="shared" si="5"/>
        <v>6817</v>
      </c>
      <c r="AX12" s="200">
        <f t="shared" si="6"/>
        <v>97.385714285714286</v>
      </c>
    </row>
    <row r="13" spans="1:50" s="163" customFormat="1" ht="31.5" customHeight="1">
      <c r="A13" s="166">
        <v>8</v>
      </c>
      <c r="B13" s="167" t="s">
        <v>155</v>
      </c>
      <c r="C13" s="200">
        <v>0</v>
      </c>
      <c r="D13" s="201">
        <v>0</v>
      </c>
      <c r="E13" s="201">
        <v>0</v>
      </c>
      <c r="F13" s="201">
        <v>0</v>
      </c>
      <c r="G13" s="201">
        <v>0</v>
      </c>
      <c r="H13" s="201"/>
      <c r="I13" s="200">
        <v>0</v>
      </c>
      <c r="J13" s="201">
        <v>0</v>
      </c>
      <c r="K13" s="201">
        <v>0</v>
      </c>
      <c r="L13" s="201">
        <v>0</v>
      </c>
      <c r="M13" s="201">
        <v>0</v>
      </c>
      <c r="N13" s="200"/>
      <c r="O13" s="200">
        <v>1</v>
      </c>
      <c r="P13" s="201">
        <v>0</v>
      </c>
      <c r="Q13" s="201">
        <v>0</v>
      </c>
      <c r="R13" s="201">
        <v>0</v>
      </c>
      <c r="S13" s="201">
        <v>0</v>
      </c>
      <c r="T13" s="200"/>
      <c r="U13" s="200">
        <v>0</v>
      </c>
      <c r="V13" s="201">
        <v>0</v>
      </c>
      <c r="W13" s="201">
        <v>0</v>
      </c>
      <c r="X13" s="201">
        <v>0</v>
      </c>
      <c r="Y13" s="201">
        <v>0</v>
      </c>
      <c r="Z13" s="200"/>
      <c r="AA13" s="200">
        <v>0</v>
      </c>
      <c r="AB13" s="201">
        <v>0</v>
      </c>
      <c r="AC13" s="201">
        <v>0</v>
      </c>
      <c r="AD13" s="201">
        <v>0</v>
      </c>
      <c r="AE13" s="201">
        <v>0</v>
      </c>
      <c r="AF13" s="200"/>
      <c r="AG13" s="200">
        <v>0</v>
      </c>
      <c r="AH13" s="200">
        <v>0</v>
      </c>
      <c r="AI13" s="200">
        <v>0</v>
      </c>
      <c r="AJ13" s="200">
        <v>0</v>
      </c>
      <c r="AK13" s="200">
        <v>0</v>
      </c>
      <c r="AL13" s="200"/>
      <c r="AM13" s="200">
        <v>1</v>
      </c>
      <c r="AN13" s="200">
        <v>1</v>
      </c>
      <c r="AO13" s="200">
        <v>154</v>
      </c>
      <c r="AP13" s="200">
        <v>33</v>
      </c>
      <c r="AQ13" s="200">
        <v>187</v>
      </c>
      <c r="AR13" s="200">
        <v>187</v>
      </c>
      <c r="AS13" s="200">
        <f t="shared" si="1"/>
        <v>2</v>
      </c>
      <c r="AT13" s="200">
        <f t="shared" si="2"/>
        <v>1</v>
      </c>
      <c r="AU13" s="200">
        <f t="shared" si="3"/>
        <v>154</v>
      </c>
      <c r="AV13" s="200">
        <f t="shared" si="4"/>
        <v>33</v>
      </c>
      <c r="AW13" s="200">
        <f t="shared" si="5"/>
        <v>187</v>
      </c>
      <c r="AX13" s="200">
        <f t="shared" si="6"/>
        <v>187</v>
      </c>
    </row>
    <row r="14" spans="1:50" s="163" customFormat="1" ht="21.75" customHeight="1">
      <c r="A14" s="166">
        <v>9</v>
      </c>
      <c r="B14" s="171" t="s">
        <v>156</v>
      </c>
      <c r="C14" s="200">
        <v>0</v>
      </c>
      <c r="D14" s="201">
        <v>0</v>
      </c>
      <c r="E14" s="201">
        <v>0</v>
      </c>
      <c r="F14" s="201">
        <v>0</v>
      </c>
      <c r="G14" s="201">
        <v>0</v>
      </c>
      <c r="H14" s="201"/>
      <c r="I14" s="200">
        <v>0</v>
      </c>
      <c r="J14" s="201">
        <v>0</v>
      </c>
      <c r="K14" s="201">
        <v>0</v>
      </c>
      <c r="L14" s="201">
        <v>0</v>
      </c>
      <c r="M14" s="201">
        <v>0</v>
      </c>
      <c r="N14" s="200"/>
      <c r="O14" s="200">
        <v>0</v>
      </c>
      <c r="P14" s="201">
        <v>0</v>
      </c>
      <c r="Q14" s="201">
        <v>0</v>
      </c>
      <c r="R14" s="201">
        <v>0</v>
      </c>
      <c r="S14" s="201">
        <v>0</v>
      </c>
      <c r="T14" s="200"/>
      <c r="U14" s="200">
        <v>2</v>
      </c>
      <c r="V14" s="201">
        <v>0</v>
      </c>
      <c r="W14" s="201">
        <v>0</v>
      </c>
      <c r="X14" s="201">
        <v>0</v>
      </c>
      <c r="Y14" s="201">
        <v>0</v>
      </c>
      <c r="Z14" s="200"/>
      <c r="AA14" s="200">
        <v>0</v>
      </c>
      <c r="AB14" s="201">
        <v>0</v>
      </c>
      <c r="AC14" s="201">
        <v>0</v>
      </c>
      <c r="AD14" s="201">
        <v>0</v>
      </c>
      <c r="AE14" s="201">
        <v>0</v>
      </c>
      <c r="AF14" s="200"/>
      <c r="AG14" s="200">
        <v>0</v>
      </c>
      <c r="AH14" s="200">
        <v>0</v>
      </c>
      <c r="AI14" s="200">
        <v>0</v>
      </c>
      <c r="AJ14" s="200">
        <v>0</v>
      </c>
      <c r="AK14" s="200">
        <v>0</v>
      </c>
      <c r="AL14" s="200"/>
      <c r="AM14" s="200">
        <v>0</v>
      </c>
      <c r="AN14" s="200">
        <v>0</v>
      </c>
      <c r="AO14" s="200">
        <v>0</v>
      </c>
      <c r="AP14" s="200">
        <v>0</v>
      </c>
      <c r="AQ14" s="200">
        <v>0</v>
      </c>
      <c r="AR14" s="200"/>
      <c r="AS14" s="200">
        <f t="shared" si="1"/>
        <v>2</v>
      </c>
      <c r="AT14" s="200">
        <f t="shared" si="2"/>
        <v>0</v>
      </c>
      <c r="AU14" s="200">
        <f t="shared" si="3"/>
        <v>0</v>
      </c>
      <c r="AV14" s="200">
        <f t="shared" si="4"/>
        <v>0</v>
      </c>
      <c r="AW14" s="200">
        <f t="shared" si="5"/>
        <v>0</v>
      </c>
      <c r="AX14" s="200"/>
    </row>
    <row r="15" spans="1:50" s="163" customFormat="1" ht="26.25" customHeight="1">
      <c r="A15" s="166">
        <v>10</v>
      </c>
      <c r="B15" s="171" t="s">
        <v>23</v>
      </c>
      <c r="C15" s="200">
        <v>18</v>
      </c>
      <c r="D15" s="201">
        <v>16</v>
      </c>
      <c r="E15" s="201">
        <v>12623</v>
      </c>
      <c r="F15" s="201">
        <v>1494</v>
      </c>
      <c r="G15" s="201">
        <v>14117</v>
      </c>
      <c r="H15" s="201">
        <v>882.3125</v>
      </c>
      <c r="I15" s="200">
        <v>14</v>
      </c>
      <c r="J15" s="201">
        <v>9</v>
      </c>
      <c r="K15" s="201">
        <v>6622</v>
      </c>
      <c r="L15" s="201">
        <v>4896</v>
      </c>
      <c r="M15" s="201">
        <v>11518</v>
      </c>
      <c r="N15" s="200">
        <v>1279.7777777777778</v>
      </c>
      <c r="O15" s="200">
        <v>22</v>
      </c>
      <c r="P15" s="201">
        <v>20</v>
      </c>
      <c r="Q15" s="201">
        <v>8</v>
      </c>
      <c r="R15" s="201">
        <v>1847</v>
      </c>
      <c r="S15" s="201">
        <v>1855</v>
      </c>
      <c r="T15" s="200">
        <v>92.75</v>
      </c>
      <c r="U15" s="200">
        <v>41</v>
      </c>
      <c r="V15" s="201">
        <v>36</v>
      </c>
      <c r="W15" s="201">
        <v>729</v>
      </c>
      <c r="X15" s="201">
        <v>5839</v>
      </c>
      <c r="Y15" s="201">
        <v>6568</v>
      </c>
      <c r="Z15" s="200">
        <v>182.44444444444446</v>
      </c>
      <c r="AA15" s="200">
        <v>13</v>
      </c>
      <c r="AB15" s="201">
        <v>0</v>
      </c>
      <c r="AC15" s="201">
        <v>0</v>
      </c>
      <c r="AD15" s="201">
        <v>0</v>
      </c>
      <c r="AE15" s="201">
        <v>0</v>
      </c>
      <c r="AF15" s="200"/>
      <c r="AG15" s="200">
        <v>2</v>
      </c>
      <c r="AH15" s="200">
        <v>2</v>
      </c>
      <c r="AI15" s="200">
        <v>588</v>
      </c>
      <c r="AJ15" s="200">
        <v>203</v>
      </c>
      <c r="AK15" s="200">
        <v>791</v>
      </c>
      <c r="AL15" s="200">
        <v>395.5</v>
      </c>
      <c r="AM15" s="200">
        <v>2</v>
      </c>
      <c r="AN15" s="200">
        <v>0</v>
      </c>
      <c r="AO15" s="200">
        <v>0</v>
      </c>
      <c r="AP15" s="200">
        <v>0</v>
      </c>
      <c r="AQ15" s="200">
        <v>0</v>
      </c>
      <c r="AR15" s="200"/>
      <c r="AS15" s="200">
        <f t="shared" si="1"/>
        <v>112</v>
      </c>
      <c r="AT15" s="200">
        <f t="shared" si="2"/>
        <v>83</v>
      </c>
      <c r="AU15" s="200">
        <f t="shared" si="3"/>
        <v>20570</v>
      </c>
      <c r="AV15" s="200">
        <f t="shared" si="4"/>
        <v>14279</v>
      </c>
      <c r="AW15" s="200">
        <f t="shared" si="5"/>
        <v>34849</v>
      </c>
      <c r="AX15" s="200">
        <f t="shared" si="6"/>
        <v>419.86746987951807</v>
      </c>
    </row>
    <row r="16" spans="1:50" s="163" customFormat="1" ht="26.25" customHeight="1">
      <c r="A16" s="166">
        <v>11</v>
      </c>
      <c r="B16" s="171" t="s">
        <v>24</v>
      </c>
      <c r="C16" s="200">
        <v>8</v>
      </c>
      <c r="D16" s="201">
        <v>8</v>
      </c>
      <c r="E16" s="201">
        <v>4312</v>
      </c>
      <c r="F16" s="201">
        <v>361</v>
      </c>
      <c r="G16" s="201">
        <v>4673</v>
      </c>
      <c r="H16" s="201">
        <v>584.125</v>
      </c>
      <c r="I16" s="200">
        <v>1</v>
      </c>
      <c r="J16" s="201">
        <v>1</v>
      </c>
      <c r="K16" s="201">
        <v>516</v>
      </c>
      <c r="L16" s="201">
        <v>353</v>
      </c>
      <c r="M16" s="201">
        <v>869</v>
      </c>
      <c r="N16" s="200">
        <v>869</v>
      </c>
      <c r="O16" s="200">
        <v>0</v>
      </c>
      <c r="P16" s="201">
        <v>0</v>
      </c>
      <c r="Q16" s="201">
        <v>0</v>
      </c>
      <c r="R16" s="201">
        <v>0</v>
      </c>
      <c r="S16" s="201">
        <v>0</v>
      </c>
      <c r="T16" s="200">
        <v>0</v>
      </c>
      <c r="U16" s="200">
        <v>2</v>
      </c>
      <c r="V16" s="201">
        <v>2</v>
      </c>
      <c r="W16" s="201">
        <v>7</v>
      </c>
      <c r="X16" s="201">
        <v>294</v>
      </c>
      <c r="Y16" s="201">
        <v>301</v>
      </c>
      <c r="Z16" s="200">
        <v>150.5</v>
      </c>
      <c r="AA16" s="200">
        <v>0</v>
      </c>
      <c r="AB16" s="201">
        <v>0</v>
      </c>
      <c r="AC16" s="201">
        <v>0</v>
      </c>
      <c r="AD16" s="201">
        <v>0</v>
      </c>
      <c r="AE16" s="201">
        <v>0</v>
      </c>
      <c r="AF16" s="200"/>
      <c r="AG16" s="200">
        <v>0</v>
      </c>
      <c r="AH16" s="200">
        <v>0</v>
      </c>
      <c r="AI16" s="200">
        <v>0</v>
      </c>
      <c r="AJ16" s="200">
        <v>0</v>
      </c>
      <c r="AK16" s="200">
        <v>0</v>
      </c>
      <c r="AL16" s="200"/>
      <c r="AM16" s="200">
        <v>1</v>
      </c>
      <c r="AN16" s="200">
        <v>0</v>
      </c>
      <c r="AO16" s="200">
        <v>0</v>
      </c>
      <c r="AP16" s="200">
        <v>0</v>
      </c>
      <c r="AQ16" s="200">
        <v>0</v>
      </c>
      <c r="AR16" s="200"/>
      <c r="AS16" s="200">
        <f t="shared" si="1"/>
        <v>12</v>
      </c>
      <c r="AT16" s="200">
        <f t="shared" si="2"/>
        <v>11</v>
      </c>
      <c r="AU16" s="200">
        <f t="shared" si="3"/>
        <v>4835</v>
      </c>
      <c r="AV16" s="200">
        <f t="shared" si="4"/>
        <v>1008</v>
      </c>
      <c r="AW16" s="200">
        <f t="shared" si="5"/>
        <v>5843</v>
      </c>
      <c r="AX16" s="200">
        <f t="shared" si="6"/>
        <v>531.18181818181813</v>
      </c>
    </row>
    <row r="17" spans="1:50" s="163" customFormat="1" ht="26.25" customHeight="1">
      <c r="A17" s="166">
        <v>12</v>
      </c>
      <c r="B17" s="171" t="s">
        <v>25</v>
      </c>
      <c r="C17" s="200">
        <v>10</v>
      </c>
      <c r="D17" s="201">
        <v>10</v>
      </c>
      <c r="E17" s="201">
        <v>1312</v>
      </c>
      <c r="F17" s="201">
        <v>108</v>
      </c>
      <c r="G17" s="201">
        <v>1420</v>
      </c>
      <c r="H17" s="201">
        <v>142</v>
      </c>
      <c r="I17" s="200">
        <v>9</v>
      </c>
      <c r="J17" s="201">
        <v>9</v>
      </c>
      <c r="K17" s="201">
        <v>1238</v>
      </c>
      <c r="L17" s="201">
        <v>769</v>
      </c>
      <c r="M17" s="201">
        <v>2007</v>
      </c>
      <c r="N17" s="200">
        <v>223</v>
      </c>
      <c r="O17" s="200">
        <v>144</v>
      </c>
      <c r="P17" s="201">
        <v>144</v>
      </c>
      <c r="Q17" s="201">
        <v>2100</v>
      </c>
      <c r="R17" s="201">
        <v>13685</v>
      </c>
      <c r="S17" s="201">
        <v>15785</v>
      </c>
      <c r="T17" s="200">
        <v>109.61805555555556</v>
      </c>
      <c r="U17" s="200">
        <v>129</v>
      </c>
      <c r="V17" s="201">
        <v>128</v>
      </c>
      <c r="W17" s="201">
        <v>2008</v>
      </c>
      <c r="X17" s="201">
        <v>5103</v>
      </c>
      <c r="Y17" s="201">
        <v>7111</v>
      </c>
      <c r="Z17" s="200">
        <v>55.5546875</v>
      </c>
      <c r="AA17" s="200">
        <v>7</v>
      </c>
      <c r="AB17" s="201">
        <v>7</v>
      </c>
      <c r="AC17" s="201">
        <v>323</v>
      </c>
      <c r="AD17" s="201">
        <v>331</v>
      </c>
      <c r="AE17" s="201">
        <v>654</v>
      </c>
      <c r="AF17" s="200">
        <v>93.428571428571431</v>
      </c>
      <c r="AG17" s="200">
        <v>8</v>
      </c>
      <c r="AH17" s="200">
        <v>8</v>
      </c>
      <c r="AI17" s="200">
        <v>2958</v>
      </c>
      <c r="AJ17" s="200">
        <v>220</v>
      </c>
      <c r="AK17" s="200">
        <v>3178</v>
      </c>
      <c r="AL17" s="200">
        <v>397.25</v>
      </c>
      <c r="AM17" s="200">
        <v>1</v>
      </c>
      <c r="AN17" s="200">
        <v>1</v>
      </c>
      <c r="AO17" s="200">
        <v>488</v>
      </c>
      <c r="AP17" s="200">
        <v>210</v>
      </c>
      <c r="AQ17" s="200">
        <v>698</v>
      </c>
      <c r="AR17" s="200">
        <v>698</v>
      </c>
      <c r="AS17" s="200">
        <f t="shared" si="1"/>
        <v>308</v>
      </c>
      <c r="AT17" s="200">
        <f t="shared" si="2"/>
        <v>307</v>
      </c>
      <c r="AU17" s="200">
        <f t="shared" si="3"/>
        <v>10427</v>
      </c>
      <c r="AV17" s="200">
        <f t="shared" si="4"/>
        <v>20426</v>
      </c>
      <c r="AW17" s="200">
        <f t="shared" si="5"/>
        <v>30853</v>
      </c>
      <c r="AX17" s="200">
        <f t="shared" si="6"/>
        <v>100.49837133550488</v>
      </c>
    </row>
    <row r="18" spans="1:50" s="163" customFormat="1" ht="26.25" customHeight="1">
      <c r="A18" s="166">
        <v>13</v>
      </c>
      <c r="B18" s="171" t="s">
        <v>26</v>
      </c>
      <c r="C18" s="200">
        <v>162</v>
      </c>
      <c r="D18" s="201">
        <v>130</v>
      </c>
      <c r="E18" s="201">
        <v>36483</v>
      </c>
      <c r="F18" s="201">
        <v>7359</v>
      </c>
      <c r="G18" s="201">
        <v>43842</v>
      </c>
      <c r="H18" s="201">
        <v>337.24615384615385</v>
      </c>
      <c r="I18" s="200">
        <v>12</v>
      </c>
      <c r="J18" s="201">
        <v>5</v>
      </c>
      <c r="K18" s="201">
        <v>501</v>
      </c>
      <c r="L18" s="201">
        <v>222</v>
      </c>
      <c r="M18" s="201">
        <v>723</v>
      </c>
      <c r="N18" s="200">
        <v>144.6</v>
      </c>
      <c r="O18" s="200">
        <v>27</v>
      </c>
      <c r="P18" s="201">
        <v>19</v>
      </c>
      <c r="Q18" s="201">
        <v>175</v>
      </c>
      <c r="R18" s="201">
        <v>2456</v>
      </c>
      <c r="S18" s="201">
        <v>2631</v>
      </c>
      <c r="T18" s="200">
        <v>138.47368421052633</v>
      </c>
      <c r="U18" s="200">
        <v>38</v>
      </c>
      <c r="V18" s="201">
        <v>29</v>
      </c>
      <c r="W18" s="201">
        <v>1000</v>
      </c>
      <c r="X18" s="201">
        <v>1661</v>
      </c>
      <c r="Y18" s="201">
        <v>2661</v>
      </c>
      <c r="Z18" s="200">
        <v>91.758620689655174</v>
      </c>
      <c r="AA18" s="200">
        <v>8</v>
      </c>
      <c r="AB18" s="201">
        <v>2</v>
      </c>
      <c r="AC18" s="201">
        <v>141</v>
      </c>
      <c r="AD18" s="201">
        <v>29</v>
      </c>
      <c r="AE18" s="201">
        <v>170</v>
      </c>
      <c r="AF18" s="200">
        <v>85</v>
      </c>
      <c r="AG18" s="200">
        <v>0</v>
      </c>
      <c r="AH18" s="200">
        <v>0</v>
      </c>
      <c r="AI18" s="200">
        <v>0</v>
      </c>
      <c r="AJ18" s="200">
        <v>0</v>
      </c>
      <c r="AK18" s="200">
        <v>0</v>
      </c>
      <c r="AL18" s="200"/>
      <c r="AM18" s="200">
        <v>5</v>
      </c>
      <c r="AN18" s="200">
        <v>5</v>
      </c>
      <c r="AO18" s="200">
        <v>1411</v>
      </c>
      <c r="AP18" s="200">
        <v>216</v>
      </c>
      <c r="AQ18" s="200">
        <v>1627</v>
      </c>
      <c r="AR18" s="200">
        <v>325.39999999999998</v>
      </c>
      <c r="AS18" s="200">
        <f t="shared" si="1"/>
        <v>252</v>
      </c>
      <c r="AT18" s="200">
        <f t="shared" si="2"/>
        <v>190</v>
      </c>
      <c r="AU18" s="200">
        <f t="shared" si="3"/>
        <v>39711</v>
      </c>
      <c r="AV18" s="200">
        <f t="shared" si="4"/>
        <v>11943</v>
      </c>
      <c r="AW18" s="200">
        <f t="shared" si="5"/>
        <v>51654</v>
      </c>
      <c r="AX18" s="200">
        <f t="shared" si="6"/>
        <v>271.86315789473684</v>
      </c>
    </row>
    <row r="19" spans="1:50" s="163" customFormat="1" ht="26.25" customHeight="1">
      <c r="A19" s="166">
        <v>14</v>
      </c>
      <c r="B19" s="171" t="s">
        <v>27</v>
      </c>
      <c r="C19" s="200">
        <v>37</v>
      </c>
      <c r="D19" s="201">
        <v>35</v>
      </c>
      <c r="E19" s="201">
        <v>5526</v>
      </c>
      <c r="F19" s="201">
        <v>1864</v>
      </c>
      <c r="G19" s="201">
        <v>7390</v>
      </c>
      <c r="H19" s="201">
        <v>211.14285714285714</v>
      </c>
      <c r="I19" s="200">
        <v>0</v>
      </c>
      <c r="J19" s="201">
        <v>0</v>
      </c>
      <c r="K19" s="201">
        <v>0</v>
      </c>
      <c r="L19" s="201">
        <v>0</v>
      </c>
      <c r="M19" s="201">
        <v>0</v>
      </c>
      <c r="N19" s="200"/>
      <c r="O19" s="200">
        <v>25</v>
      </c>
      <c r="P19" s="201">
        <v>25</v>
      </c>
      <c r="Q19" s="201">
        <v>0</v>
      </c>
      <c r="R19" s="201">
        <v>2804</v>
      </c>
      <c r="S19" s="201">
        <v>2804</v>
      </c>
      <c r="T19" s="200">
        <v>112.16</v>
      </c>
      <c r="U19" s="200">
        <v>18</v>
      </c>
      <c r="V19" s="201">
        <v>18</v>
      </c>
      <c r="W19" s="201">
        <v>1113</v>
      </c>
      <c r="X19" s="201">
        <v>1708</v>
      </c>
      <c r="Y19" s="201">
        <v>2821</v>
      </c>
      <c r="Z19" s="200">
        <v>156.72222222222223</v>
      </c>
      <c r="AA19" s="200">
        <v>1</v>
      </c>
      <c r="AB19" s="201">
        <v>1</v>
      </c>
      <c r="AC19" s="201">
        <v>63</v>
      </c>
      <c r="AD19" s="201">
        <v>2</v>
      </c>
      <c r="AE19" s="201">
        <v>65</v>
      </c>
      <c r="AF19" s="200">
        <v>65</v>
      </c>
      <c r="AG19" s="200">
        <v>0</v>
      </c>
      <c r="AH19" s="200">
        <v>0</v>
      </c>
      <c r="AI19" s="200">
        <v>0</v>
      </c>
      <c r="AJ19" s="200">
        <v>0</v>
      </c>
      <c r="AK19" s="200">
        <v>0</v>
      </c>
      <c r="AL19" s="200"/>
      <c r="AM19" s="200">
        <v>2</v>
      </c>
      <c r="AN19" s="200">
        <v>2</v>
      </c>
      <c r="AO19" s="200">
        <v>1072</v>
      </c>
      <c r="AP19" s="200">
        <v>139</v>
      </c>
      <c r="AQ19" s="200">
        <v>1211</v>
      </c>
      <c r="AR19" s="200">
        <v>605.5</v>
      </c>
      <c r="AS19" s="200">
        <f t="shared" si="1"/>
        <v>83</v>
      </c>
      <c r="AT19" s="200">
        <f t="shared" si="2"/>
        <v>81</v>
      </c>
      <c r="AU19" s="200">
        <f t="shared" si="3"/>
        <v>7774</v>
      </c>
      <c r="AV19" s="200">
        <f t="shared" si="4"/>
        <v>6517</v>
      </c>
      <c r="AW19" s="200">
        <f t="shared" si="5"/>
        <v>14291</v>
      </c>
      <c r="AX19" s="200">
        <f t="shared" si="6"/>
        <v>176.4320987654321</v>
      </c>
    </row>
    <row r="20" spans="1:50" s="163" customFormat="1" ht="26.25" customHeight="1">
      <c r="A20" s="166">
        <v>15</v>
      </c>
      <c r="B20" s="167" t="s">
        <v>57</v>
      </c>
      <c r="C20" s="200">
        <v>53</v>
      </c>
      <c r="D20" s="201">
        <v>48</v>
      </c>
      <c r="E20" s="201">
        <v>7140</v>
      </c>
      <c r="F20" s="201">
        <v>3306</v>
      </c>
      <c r="G20" s="201">
        <v>10446</v>
      </c>
      <c r="H20" s="201">
        <v>217.625</v>
      </c>
      <c r="I20" s="200">
        <v>0</v>
      </c>
      <c r="J20" s="201">
        <v>0</v>
      </c>
      <c r="K20" s="201">
        <v>0</v>
      </c>
      <c r="L20" s="201">
        <v>0</v>
      </c>
      <c r="M20" s="201">
        <v>0</v>
      </c>
      <c r="N20" s="200"/>
      <c r="O20" s="200">
        <v>28</v>
      </c>
      <c r="P20" s="201">
        <v>25</v>
      </c>
      <c r="Q20" s="201">
        <v>1498</v>
      </c>
      <c r="R20" s="201">
        <v>3028</v>
      </c>
      <c r="S20" s="201">
        <v>4526</v>
      </c>
      <c r="T20" s="200">
        <v>181.04</v>
      </c>
      <c r="U20" s="200">
        <v>21</v>
      </c>
      <c r="V20" s="201">
        <v>19</v>
      </c>
      <c r="W20" s="201">
        <v>803</v>
      </c>
      <c r="X20" s="201">
        <v>520</v>
      </c>
      <c r="Y20" s="201">
        <v>1323</v>
      </c>
      <c r="Z20" s="200">
        <v>69.631578947368425</v>
      </c>
      <c r="AA20" s="200">
        <v>0</v>
      </c>
      <c r="AB20" s="201">
        <v>0</v>
      </c>
      <c r="AC20" s="201">
        <v>0</v>
      </c>
      <c r="AD20" s="201">
        <v>0</v>
      </c>
      <c r="AE20" s="201">
        <v>0</v>
      </c>
      <c r="AF20" s="200">
        <v>0</v>
      </c>
      <c r="AG20" s="200">
        <v>14</v>
      </c>
      <c r="AH20" s="200">
        <v>5</v>
      </c>
      <c r="AI20" s="200">
        <v>447</v>
      </c>
      <c r="AJ20" s="200">
        <v>770</v>
      </c>
      <c r="AK20" s="200">
        <v>1217</v>
      </c>
      <c r="AL20" s="200">
        <v>243.4</v>
      </c>
      <c r="AM20" s="200">
        <v>2</v>
      </c>
      <c r="AN20" s="200">
        <v>2</v>
      </c>
      <c r="AO20" s="200">
        <v>316</v>
      </c>
      <c r="AP20" s="200">
        <v>35</v>
      </c>
      <c r="AQ20" s="200">
        <v>351</v>
      </c>
      <c r="AR20" s="200">
        <v>175.5</v>
      </c>
      <c r="AS20" s="200">
        <f t="shared" si="1"/>
        <v>118</v>
      </c>
      <c r="AT20" s="200">
        <f t="shared" si="2"/>
        <v>99</v>
      </c>
      <c r="AU20" s="200">
        <f t="shared" si="3"/>
        <v>10204</v>
      </c>
      <c r="AV20" s="200">
        <f t="shared" si="4"/>
        <v>7659</v>
      </c>
      <c r="AW20" s="200">
        <f t="shared" si="5"/>
        <v>17863</v>
      </c>
      <c r="AX20" s="200">
        <f t="shared" si="6"/>
        <v>180.43434343434345</v>
      </c>
    </row>
    <row r="21" spans="1:50" s="163" customFormat="1" ht="26.25" customHeight="1">
      <c r="A21" s="166">
        <v>16</v>
      </c>
      <c r="B21" s="171" t="s">
        <v>29</v>
      </c>
      <c r="C21" s="200">
        <v>41</v>
      </c>
      <c r="D21" s="201">
        <v>39</v>
      </c>
      <c r="E21" s="201">
        <v>19444</v>
      </c>
      <c r="F21" s="201">
        <v>3667</v>
      </c>
      <c r="G21" s="201">
        <v>23111</v>
      </c>
      <c r="H21" s="201">
        <v>592.58974358974353</v>
      </c>
      <c r="I21" s="200">
        <v>6</v>
      </c>
      <c r="J21" s="201">
        <v>6</v>
      </c>
      <c r="K21" s="201">
        <v>1188</v>
      </c>
      <c r="L21" s="201">
        <v>693</v>
      </c>
      <c r="M21" s="201">
        <v>1881</v>
      </c>
      <c r="N21" s="200">
        <v>313.5</v>
      </c>
      <c r="O21" s="200">
        <v>33</v>
      </c>
      <c r="P21" s="201">
        <v>28</v>
      </c>
      <c r="Q21" s="201">
        <v>809</v>
      </c>
      <c r="R21" s="201">
        <v>3139</v>
      </c>
      <c r="S21" s="201">
        <v>3948</v>
      </c>
      <c r="T21" s="200">
        <v>141</v>
      </c>
      <c r="U21" s="200">
        <v>5</v>
      </c>
      <c r="V21" s="201">
        <v>5</v>
      </c>
      <c r="W21" s="201">
        <v>233</v>
      </c>
      <c r="X21" s="201">
        <v>683</v>
      </c>
      <c r="Y21" s="201">
        <v>916</v>
      </c>
      <c r="Z21" s="200">
        <v>183.2</v>
      </c>
      <c r="AA21" s="200">
        <v>1</v>
      </c>
      <c r="AB21" s="201">
        <v>1</v>
      </c>
      <c r="AC21" s="201">
        <v>102</v>
      </c>
      <c r="AD21" s="201">
        <v>15</v>
      </c>
      <c r="AE21" s="201">
        <v>117</v>
      </c>
      <c r="AF21" s="200">
        <v>117</v>
      </c>
      <c r="AG21" s="200">
        <v>4</v>
      </c>
      <c r="AH21" s="200">
        <v>3</v>
      </c>
      <c r="AI21" s="200">
        <v>274</v>
      </c>
      <c r="AJ21" s="200">
        <v>220</v>
      </c>
      <c r="AK21" s="200">
        <v>494</v>
      </c>
      <c r="AL21" s="200">
        <v>164.66666666666666</v>
      </c>
      <c r="AM21" s="200">
        <v>1</v>
      </c>
      <c r="AN21" s="200">
        <v>1</v>
      </c>
      <c r="AO21" s="200">
        <v>25</v>
      </c>
      <c r="AP21" s="200">
        <v>6</v>
      </c>
      <c r="AQ21" s="200">
        <v>31</v>
      </c>
      <c r="AR21" s="200">
        <v>31</v>
      </c>
      <c r="AS21" s="200">
        <f t="shared" si="1"/>
        <v>91</v>
      </c>
      <c r="AT21" s="200">
        <f t="shared" si="2"/>
        <v>83</v>
      </c>
      <c r="AU21" s="200">
        <f t="shared" si="3"/>
        <v>22075</v>
      </c>
      <c r="AV21" s="200">
        <f t="shared" si="4"/>
        <v>8423</v>
      </c>
      <c r="AW21" s="200">
        <f t="shared" si="5"/>
        <v>30498</v>
      </c>
      <c r="AX21" s="200">
        <f t="shared" si="6"/>
        <v>367.4457831325301</v>
      </c>
    </row>
    <row r="22" spans="1:50" s="163" customFormat="1" ht="26.25" customHeight="1">
      <c r="A22" s="166">
        <v>17</v>
      </c>
      <c r="B22" s="171" t="s">
        <v>30</v>
      </c>
      <c r="C22" s="200">
        <v>355</v>
      </c>
      <c r="D22" s="201">
        <v>332</v>
      </c>
      <c r="E22" s="201">
        <v>87900</v>
      </c>
      <c r="F22" s="201">
        <v>29238</v>
      </c>
      <c r="G22" s="201">
        <v>117138</v>
      </c>
      <c r="H22" s="201">
        <v>352.82530120481925</v>
      </c>
      <c r="I22" s="200">
        <v>25</v>
      </c>
      <c r="J22" s="201">
        <v>16</v>
      </c>
      <c r="K22" s="201">
        <v>2728</v>
      </c>
      <c r="L22" s="201">
        <v>1960</v>
      </c>
      <c r="M22" s="201">
        <v>4688</v>
      </c>
      <c r="N22" s="200">
        <v>293</v>
      </c>
      <c r="O22" s="200">
        <v>613</v>
      </c>
      <c r="P22" s="201">
        <v>443</v>
      </c>
      <c r="Q22" s="201">
        <v>15815</v>
      </c>
      <c r="R22" s="201">
        <v>39523</v>
      </c>
      <c r="S22" s="201">
        <v>55338</v>
      </c>
      <c r="T22" s="200">
        <v>124.91647855530474</v>
      </c>
      <c r="U22" s="200">
        <v>417</v>
      </c>
      <c r="V22" s="201">
        <v>261</v>
      </c>
      <c r="W22" s="201">
        <v>1858</v>
      </c>
      <c r="X22" s="201">
        <v>5031</v>
      </c>
      <c r="Y22" s="201">
        <v>6889</v>
      </c>
      <c r="Z22" s="200">
        <v>26.39463601532567</v>
      </c>
      <c r="AA22" s="200">
        <v>9</v>
      </c>
      <c r="AB22" s="201">
        <v>3</v>
      </c>
      <c r="AC22" s="201">
        <v>700</v>
      </c>
      <c r="AD22" s="201">
        <v>116</v>
      </c>
      <c r="AE22" s="201">
        <v>816</v>
      </c>
      <c r="AF22" s="200">
        <v>272</v>
      </c>
      <c r="AG22" s="200">
        <v>269</v>
      </c>
      <c r="AH22" s="200">
        <v>42</v>
      </c>
      <c r="AI22" s="200">
        <v>1849</v>
      </c>
      <c r="AJ22" s="200">
        <v>2807</v>
      </c>
      <c r="AK22" s="200">
        <v>4656</v>
      </c>
      <c r="AL22" s="200">
        <v>110.85714285714286</v>
      </c>
      <c r="AM22" s="200">
        <v>2</v>
      </c>
      <c r="AN22" s="200">
        <v>1</v>
      </c>
      <c r="AO22" s="200">
        <v>16</v>
      </c>
      <c r="AP22" s="200">
        <v>3</v>
      </c>
      <c r="AQ22" s="200">
        <v>19</v>
      </c>
      <c r="AR22" s="200">
        <v>19</v>
      </c>
      <c r="AS22" s="200">
        <f t="shared" si="1"/>
        <v>1690</v>
      </c>
      <c r="AT22" s="200">
        <f t="shared" si="2"/>
        <v>1098</v>
      </c>
      <c r="AU22" s="200">
        <f t="shared" si="3"/>
        <v>110866</v>
      </c>
      <c r="AV22" s="200">
        <f t="shared" si="4"/>
        <v>78678</v>
      </c>
      <c r="AW22" s="200">
        <f t="shared" si="5"/>
        <v>189544</v>
      </c>
      <c r="AX22" s="200">
        <f t="shared" si="6"/>
        <v>172.62659380692168</v>
      </c>
    </row>
    <row r="23" spans="1:50" s="163" customFormat="1" ht="26.25" customHeight="1">
      <c r="A23" s="166">
        <v>18</v>
      </c>
      <c r="B23" s="171" t="s">
        <v>31</v>
      </c>
      <c r="C23" s="200">
        <v>83</v>
      </c>
      <c r="D23" s="201">
        <v>77</v>
      </c>
      <c r="E23" s="201">
        <v>37334</v>
      </c>
      <c r="F23" s="201">
        <v>10942</v>
      </c>
      <c r="G23" s="201">
        <v>48276</v>
      </c>
      <c r="H23" s="201">
        <v>626.96103896103898</v>
      </c>
      <c r="I23" s="200">
        <v>6</v>
      </c>
      <c r="J23" s="201">
        <v>4</v>
      </c>
      <c r="K23" s="201">
        <v>408</v>
      </c>
      <c r="L23" s="201">
        <v>355</v>
      </c>
      <c r="M23" s="201">
        <v>763</v>
      </c>
      <c r="N23" s="200">
        <v>190.75</v>
      </c>
      <c r="O23" s="200">
        <v>161</v>
      </c>
      <c r="P23" s="201">
        <v>135</v>
      </c>
      <c r="Q23" s="201">
        <v>422</v>
      </c>
      <c r="R23" s="201">
        <v>9616</v>
      </c>
      <c r="S23" s="201">
        <v>10038</v>
      </c>
      <c r="T23" s="200">
        <v>74.355555555555554</v>
      </c>
      <c r="U23" s="200">
        <v>197</v>
      </c>
      <c r="V23" s="201">
        <v>142</v>
      </c>
      <c r="W23" s="201">
        <v>1824</v>
      </c>
      <c r="X23" s="201">
        <v>9441</v>
      </c>
      <c r="Y23" s="201">
        <v>11265</v>
      </c>
      <c r="Z23" s="200">
        <v>79.33098591549296</v>
      </c>
      <c r="AA23" s="200">
        <v>2</v>
      </c>
      <c r="AB23" s="201">
        <v>0</v>
      </c>
      <c r="AC23" s="201">
        <v>0</v>
      </c>
      <c r="AD23" s="201">
        <v>0</v>
      </c>
      <c r="AE23" s="201">
        <v>0</v>
      </c>
      <c r="AF23" s="200"/>
      <c r="AG23" s="200">
        <v>1</v>
      </c>
      <c r="AH23" s="200">
        <v>1</v>
      </c>
      <c r="AI23" s="200">
        <v>9</v>
      </c>
      <c r="AJ23" s="200">
        <v>43</v>
      </c>
      <c r="AK23" s="200">
        <v>52</v>
      </c>
      <c r="AL23" s="200">
        <v>52</v>
      </c>
      <c r="AM23" s="200">
        <v>2</v>
      </c>
      <c r="AN23" s="200">
        <v>0</v>
      </c>
      <c r="AO23" s="200">
        <v>0</v>
      </c>
      <c r="AP23" s="200">
        <v>0</v>
      </c>
      <c r="AQ23" s="200">
        <v>0</v>
      </c>
      <c r="AR23" s="200"/>
      <c r="AS23" s="200">
        <f t="shared" si="1"/>
        <v>452</v>
      </c>
      <c r="AT23" s="200">
        <f t="shared" si="2"/>
        <v>359</v>
      </c>
      <c r="AU23" s="200">
        <f t="shared" si="3"/>
        <v>39997</v>
      </c>
      <c r="AV23" s="200">
        <f t="shared" si="4"/>
        <v>30397</v>
      </c>
      <c r="AW23" s="200">
        <f t="shared" si="5"/>
        <v>70394</v>
      </c>
      <c r="AX23" s="200">
        <f t="shared" si="6"/>
        <v>196.08356545961001</v>
      </c>
    </row>
    <row r="24" spans="1:50" s="163" customFormat="1" ht="26.25" customHeight="1">
      <c r="A24" s="166">
        <v>19</v>
      </c>
      <c r="B24" s="106" t="s">
        <v>761</v>
      </c>
      <c r="C24" s="200">
        <v>2</v>
      </c>
      <c r="D24" s="201">
        <v>2</v>
      </c>
      <c r="E24" s="201">
        <v>112</v>
      </c>
      <c r="F24" s="201">
        <v>24</v>
      </c>
      <c r="G24" s="201">
        <v>136</v>
      </c>
      <c r="H24" s="201">
        <v>68</v>
      </c>
      <c r="I24" s="200">
        <v>0</v>
      </c>
      <c r="J24" s="201">
        <v>0</v>
      </c>
      <c r="K24" s="201">
        <v>0</v>
      </c>
      <c r="L24" s="201">
        <v>0</v>
      </c>
      <c r="M24" s="201">
        <v>0</v>
      </c>
      <c r="N24" s="200"/>
      <c r="O24" s="200">
        <v>0</v>
      </c>
      <c r="P24" s="201">
        <v>0</v>
      </c>
      <c r="Q24" s="201">
        <v>0</v>
      </c>
      <c r="R24" s="201">
        <v>0</v>
      </c>
      <c r="S24" s="201">
        <v>0</v>
      </c>
      <c r="T24" s="200"/>
      <c r="U24" s="200">
        <v>2</v>
      </c>
      <c r="V24" s="201">
        <v>2</v>
      </c>
      <c r="W24" s="201">
        <v>0</v>
      </c>
      <c r="X24" s="201">
        <v>0</v>
      </c>
      <c r="Y24" s="201">
        <v>0</v>
      </c>
      <c r="Z24" s="200">
        <v>0</v>
      </c>
      <c r="AA24" s="200">
        <v>0</v>
      </c>
      <c r="AB24" s="201">
        <v>0</v>
      </c>
      <c r="AC24" s="201">
        <v>0</v>
      </c>
      <c r="AD24" s="201">
        <v>0</v>
      </c>
      <c r="AE24" s="201">
        <v>0</v>
      </c>
      <c r="AF24" s="200"/>
      <c r="AG24" s="200">
        <v>0</v>
      </c>
      <c r="AH24" s="200">
        <v>0</v>
      </c>
      <c r="AI24" s="200">
        <v>0</v>
      </c>
      <c r="AJ24" s="200">
        <v>0</v>
      </c>
      <c r="AK24" s="200">
        <v>0</v>
      </c>
      <c r="AL24" s="200"/>
      <c r="AM24" s="200">
        <v>0</v>
      </c>
      <c r="AN24" s="200">
        <v>0</v>
      </c>
      <c r="AO24" s="200">
        <v>0</v>
      </c>
      <c r="AP24" s="200">
        <v>0</v>
      </c>
      <c r="AQ24" s="200">
        <v>0</v>
      </c>
      <c r="AR24" s="200"/>
      <c r="AS24" s="200">
        <f t="shared" si="1"/>
        <v>4</v>
      </c>
      <c r="AT24" s="200">
        <f t="shared" si="2"/>
        <v>4</v>
      </c>
      <c r="AU24" s="200">
        <f t="shared" si="3"/>
        <v>112</v>
      </c>
      <c r="AV24" s="200">
        <f t="shared" si="4"/>
        <v>24</v>
      </c>
      <c r="AW24" s="200">
        <f t="shared" si="5"/>
        <v>136</v>
      </c>
      <c r="AX24" s="200">
        <f t="shared" si="6"/>
        <v>34</v>
      </c>
    </row>
    <row r="25" spans="1:50" s="163" customFormat="1" ht="26.25" customHeight="1">
      <c r="A25" s="166">
        <v>20</v>
      </c>
      <c r="B25" s="171" t="s">
        <v>32</v>
      </c>
      <c r="C25" s="200">
        <v>0</v>
      </c>
      <c r="D25" s="201">
        <v>0</v>
      </c>
      <c r="E25" s="201">
        <v>0</v>
      </c>
      <c r="F25" s="201">
        <v>0</v>
      </c>
      <c r="G25" s="201">
        <v>0</v>
      </c>
      <c r="H25" s="201"/>
      <c r="I25" s="200">
        <v>0</v>
      </c>
      <c r="J25" s="201">
        <v>0</v>
      </c>
      <c r="K25" s="201">
        <v>0</v>
      </c>
      <c r="L25" s="201">
        <v>0</v>
      </c>
      <c r="M25" s="201">
        <v>0</v>
      </c>
      <c r="N25" s="200"/>
      <c r="O25" s="200">
        <v>0</v>
      </c>
      <c r="P25" s="201">
        <v>0</v>
      </c>
      <c r="Q25" s="201">
        <v>0</v>
      </c>
      <c r="R25" s="201">
        <v>0</v>
      </c>
      <c r="S25" s="201">
        <v>0</v>
      </c>
      <c r="T25" s="200"/>
      <c r="U25" s="200">
        <v>0</v>
      </c>
      <c r="V25" s="201">
        <v>0</v>
      </c>
      <c r="W25" s="201">
        <v>0</v>
      </c>
      <c r="X25" s="201">
        <v>0</v>
      </c>
      <c r="Y25" s="201">
        <v>0</v>
      </c>
      <c r="Z25" s="200"/>
      <c r="AA25" s="200">
        <v>0</v>
      </c>
      <c r="AB25" s="201">
        <v>0</v>
      </c>
      <c r="AC25" s="201">
        <v>0</v>
      </c>
      <c r="AD25" s="201">
        <v>0</v>
      </c>
      <c r="AE25" s="201">
        <v>0</v>
      </c>
      <c r="AF25" s="200"/>
      <c r="AG25" s="200">
        <v>0</v>
      </c>
      <c r="AH25" s="200">
        <v>0</v>
      </c>
      <c r="AI25" s="200">
        <v>0</v>
      </c>
      <c r="AJ25" s="200">
        <v>0</v>
      </c>
      <c r="AK25" s="200">
        <v>0</v>
      </c>
      <c r="AL25" s="200"/>
      <c r="AM25" s="200">
        <v>0</v>
      </c>
      <c r="AN25" s="200">
        <v>0</v>
      </c>
      <c r="AO25" s="200">
        <v>0</v>
      </c>
      <c r="AP25" s="200">
        <v>0</v>
      </c>
      <c r="AQ25" s="200">
        <v>0</v>
      </c>
      <c r="AR25" s="200"/>
      <c r="AS25" s="200">
        <f t="shared" si="1"/>
        <v>0</v>
      </c>
      <c r="AT25" s="200">
        <f t="shared" si="2"/>
        <v>0</v>
      </c>
      <c r="AU25" s="200">
        <f t="shared" si="3"/>
        <v>0</v>
      </c>
      <c r="AV25" s="200">
        <f t="shared" si="4"/>
        <v>0</v>
      </c>
      <c r="AW25" s="200">
        <f t="shared" si="5"/>
        <v>0</v>
      </c>
      <c r="AX25" s="200"/>
    </row>
    <row r="26" spans="1:50" s="163" customFormat="1" ht="26.25" customHeight="1">
      <c r="A26" s="166">
        <v>21</v>
      </c>
      <c r="B26" s="171" t="s">
        <v>33</v>
      </c>
      <c r="C26" s="200">
        <v>69</v>
      </c>
      <c r="D26" s="201">
        <v>32</v>
      </c>
      <c r="E26" s="201">
        <v>8361</v>
      </c>
      <c r="F26" s="201">
        <v>2173</v>
      </c>
      <c r="G26" s="201">
        <v>10534</v>
      </c>
      <c r="H26" s="201">
        <v>329.1875</v>
      </c>
      <c r="I26" s="200">
        <v>35</v>
      </c>
      <c r="J26" s="201">
        <v>12</v>
      </c>
      <c r="K26" s="201">
        <v>1697</v>
      </c>
      <c r="L26" s="201">
        <v>760</v>
      </c>
      <c r="M26" s="201">
        <v>2457</v>
      </c>
      <c r="N26" s="200">
        <v>204.75</v>
      </c>
      <c r="O26" s="200">
        <v>130</v>
      </c>
      <c r="P26" s="201">
        <v>52</v>
      </c>
      <c r="Q26" s="201">
        <v>2022</v>
      </c>
      <c r="R26" s="201">
        <v>6300</v>
      </c>
      <c r="S26" s="201">
        <v>8322</v>
      </c>
      <c r="T26" s="200">
        <v>160.03846153846155</v>
      </c>
      <c r="U26" s="200">
        <v>139</v>
      </c>
      <c r="V26" s="201">
        <v>70</v>
      </c>
      <c r="W26" s="201">
        <v>4214</v>
      </c>
      <c r="X26" s="201">
        <v>5989</v>
      </c>
      <c r="Y26" s="201">
        <v>10203</v>
      </c>
      <c r="Z26" s="200">
        <v>145.75714285714287</v>
      </c>
      <c r="AA26" s="200">
        <v>3</v>
      </c>
      <c r="AB26" s="201">
        <v>1</v>
      </c>
      <c r="AC26" s="201">
        <v>163</v>
      </c>
      <c r="AD26" s="201">
        <v>67</v>
      </c>
      <c r="AE26" s="201">
        <v>230</v>
      </c>
      <c r="AF26" s="200">
        <v>230</v>
      </c>
      <c r="AG26" s="200">
        <v>1</v>
      </c>
      <c r="AH26" s="200">
        <v>0</v>
      </c>
      <c r="AI26" s="200">
        <v>0</v>
      </c>
      <c r="AJ26" s="200">
        <v>0</v>
      </c>
      <c r="AK26" s="200">
        <v>0</v>
      </c>
      <c r="AL26" s="200"/>
      <c r="AM26" s="200">
        <v>2</v>
      </c>
      <c r="AN26" s="200">
        <v>0</v>
      </c>
      <c r="AO26" s="200">
        <v>0</v>
      </c>
      <c r="AP26" s="200">
        <v>0</v>
      </c>
      <c r="AQ26" s="200">
        <v>0</v>
      </c>
      <c r="AR26" s="200"/>
      <c r="AS26" s="200">
        <f t="shared" si="1"/>
        <v>379</v>
      </c>
      <c r="AT26" s="200">
        <f t="shared" si="2"/>
        <v>167</v>
      </c>
      <c r="AU26" s="200">
        <f t="shared" si="3"/>
        <v>16457</v>
      </c>
      <c r="AV26" s="200">
        <f t="shared" si="4"/>
        <v>15289</v>
      </c>
      <c r="AW26" s="200">
        <f t="shared" si="5"/>
        <v>31746</v>
      </c>
      <c r="AX26" s="200">
        <f t="shared" si="6"/>
        <v>190.09580838323353</v>
      </c>
    </row>
    <row r="27" spans="1:50" s="163" customFormat="1" ht="26.25" customHeight="1">
      <c r="A27" s="166">
        <v>22</v>
      </c>
      <c r="B27" s="171" t="s">
        <v>34</v>
      </c>
      <c r="C27" s="200">
        <v>746</v>
      </c>
      <c r="D27" s="201">
        <v>724</v>
      </c>
      <c r="E27" s="201">
        <v>142365</v>
      </c>
      <c r="F27" s="201">
        <v>61751</v>
      </c>
      <c r="G27" s="201">
        <v>204116</v>
      </c>
      <c r="H27" s="201">
        <v>281.9281767955801</v>
      </c>
      <c r="I27" s="200">
        <v>64</v>
      </c>
      <c r="J27" s="201">
        <v>39</v>
      </c>
      <c r="K27" s="201">
        <v>6361</v>
      </c>
      <c r="L27" s="201">
        <v>4622</v>
      </c>
      <c r="M27" s="201">
        <v>10983</v>
      </c>
      <c r="N27" s="200">
        <v>281.61538461538464</v>
      </c>
      <c r="O27" s="200">
        <v>607</v>
      </c>
      <c r="P27" s="201">
        <v>576</v>
      </c>
      <c r="Q27" s="201">
        <v>3572</v>
      </c>
      <c r="R27" s="201">
        <v>33539</v>
      </c>
      <c r="S27" s="201">
        <v>37111</v>
      </c>
      <c r="T27" s="200">
        <v>64.428819444444443</v>
      </c>
      <c r="U27" s="200">
        <v>959</v>
      </c>
      <c r="V27" s="201">
        <v>761</v>
      </c>
      <c r="W27" s="201">
        <v>6837</v>
      </c>
      <c r="X27" s="201">
        <v>25783</v>
      </c>
      <c r="Y27" s="201">
        <v>32620</v>
      </c>
      <c r="Z27" s="200">
        <v>42.864651773981606</v>
      </c>
      <c r="AA27" s="200">
        <v>15</v>
      </c>
      <c r="AB27" s="201">
        <v>9</v>
      </c>
      <c r="AC27" s="201">
        <v>2748</v>
      </c>
      <c r="AD27" s="201">
        <v>376</v>
      </c>
      <c r="AE27" s="201">
        <v>3124</v>
      </c>
      <c r="AF27" s="200">
        <v>347.11111111111109</v>
      </c>
      <c r="AG27" s="200">
        <v>0</v>
      </c>
      <c r="AH27" s="200">
        <v>0</v>
      </c>
      <c r="AI27" s="200">
        <v>0</v>
      </c>
      <c r="AJ27" s="200">
        <v>0</v>
      </c>
      <c r="AK27" s="200">
        <v>0</v>
      </c>
      <c r="AL27" s="200"/>
      <c r="AM27" s="200">
        <v>2</v>
      </c>
      <c r="AN27" s="200">
        <v>1</v>
      </c>
      <c r="AO27" s="200">
        <v>764</v>
      </c>
      <c r="AP27" s="200">
        <v>301</v>
      </c>
      <c r="AQ27" s="200">
        <v>1065</v>
      </c>
      <c r="AR27" s="200">
        <v>1065</v>
      </c>
      <c r="AS27" s="200">
        <f t="shared" si="1"/>
        <v>2393</v>
      </c>
      <c r="AT27" s="200">
        <f t="shared" si="2"/>
        <v>2110</v>
      </c>
      <c r="AU27" s="200">
        <f t="shared" si="3"/>
        <v>162647</v>
      </c>
      <c r="AV27" s="200">
        <f t="shared" si="4"/>
        <v>126372</v>
      </c>
      <c r="AW27" s="200">
        <f t="shared" si="5"/>
        <v>289019</v>
      </c>
      <c r="AX27" s="200">
        <f t="shared" si="6"/>
        <v>136.97582938388626</v>
      </c>
    </row>
    <row r="28" spans="1:50" s="163" customFormat="1" ht="26.25" customHeight="1">
      <c r="A28" s="166">
        <v>23</v>
      </c>
      <c r="B28" s="171" t="s">
        <v>35</v>
      </c>
      <c r="C28" s="200">
        <v>2</v>
      </c>
      <c r="D28" s="201">
        <v>2</v>
      </c>
      <c r="E28" s="201">
        <v>139</v>
      </c>
      <c r="F28" s="201">
        <v>73</v>
      </c>
      <c r="G28" s="201">
        <v>212</v>
      </c>
      <c r="H28" s="201">
        <v>106</v>
      </c>
      <c r="I28" s="200">
        <v>0</v>
      </c>
      <c r="J28" s="201">
        <v>0</v>
      </c>
      <c r="K28" s="201">
        <v>0</v>
      </c>
      <c r="L28" s="201">
        <v>0</v>
      </c>
      <c r="M28" s="201">
        <v>0</v>
      </c>
      <c r="N28" s="200"/>
      <c r="O28" s="200">
        <v>12</v>
      </c>
      <c r="P28" s="201">
        <v>11</v>
      </c>
      <c r="Q28" s="201">
        <v>59</v>
      </c>
      <c r="R28" s="201">
        <v>811</v>
      </c>
      <c r="S28" s="201">
        <v>870</v>
      </c>
      <c r="T28" s="200">
        <v>79.090909090909093</v>
      </c>
      <c r="U28" s="200">
        <v>11</v>
      </c>
      <c r="V28" s="201">
        <v>11</v>
      </c>
      <c r="W28" s="201">
        <v>276</v>
      </c>
      <c r="X28" s="201">
        <v>829</v>
      </c>
      <c r="Y28" s="201">
        <v>1105</v>
      </c>
      <c r="Z28" s="200">
        <v>100.45454545454545</v>
      </c>
      <c r="AA28" s="200">
        <v>1</v>
      </c>
      <c r="AB28" s="201">
        <v>1</v>
      </c>
      <c r="AC28" s="201">
        <v>141</v>
      </c>
      <c r="AD28" s="201">
        <v>49</v>
      </c>
      <c r="AE28" s="201">
        <v>190</v>
      </c>
      <c r="AF28" s="200">
        <v>190</v>
      </c>
      <c r="AG28" s="200">
        <v>3</v>
      </c>
      <c r="AH28" s="200">
        <v>3</v>
      </c>
      <c r="AI28" s="200">
        <v>71</v>
      </c>
      <c r="AJ28" s="200">
        <v>120</v>
      </c>
      <c r="AK28" s="200">
        <v>191</v>
      </c>
      <c r="AL28" s="200">
        <v>63.666666666666664</v>
      </c>
      <c r="AM28" s="200">
        <v>0</v>
      </c>
      <c r="AN28" s="200">
        <v>0</v>
      </c>
      <c r="AO28" s="200">
        <v>0</v>
      </c>
      <c r="AP28" s="200">
        <v>0</v>
      </c>
      <c r="AQ28" s="200">
        <v>0</v>
      </c>
      <c r="AR28" s="200"/>
      <c r="AS28" s="200">
        <f t="shared" si="1"/>
        <v>29</v>
      </c>
      <c r="AT28" s="200">
        <f t="shared" si="2"/>
        <v>28</v>
      </c>
      <c r="AU28" s="200">
        <f t="shared" si="3"/>
        <v>686</v>
      </c>
      <c r="AV28" s="200">
        <f t="shared" si="4"/>
        <v>1882</v>
      </c>
      <c r="AW28" s="200">
        <f t="shared" si="5"/>
        <v>2568</v>
      </c>
      <c r="AX28" s="200">
        <f t="shared" si="6"/>
        <v>91.714285714285708</v>
      </c>
    </row>
    <row r="29" spans="1:50" s="163" customFormat="1" ht="26.25" customHeight="1">
      <c r="A29" s="166">
        <v>24</v>
      </c>
      <c r="B29" s="171" t="s">
        <v>36</v>
      </c>
      <c r="C29" s="200">
        <v>3</v>
      </c>
      <c r="D29" s="201">
        <v>3</v>
      </c>
      <c r="E29" s="201">
        <v>583</v>
      </c>
      <c r="F29" s="201">
        <v>282</v>
      </c>
      <c r="G29" s="201">
        <v>865</v>
      </c>
      <c r="H29" s="201">
        <v>288.33333333333331</v>
      </c>
      <c r="I29" s="200">
        <v>0</v>
      </c>
      <c r="J29" s="201">
        <v>0</v>
      </c>
      <c r="K29" s="201">
        <v>0</v>
      </c>
      <c r="L29" s="201">
        <v>0</v>
      </c>
      <c r="M29" s="201">
        <v>0</v>
      </c>
      <c r="N29" s="200"/>
      <c r="O29" s="200">
        <v>8</v>
      </c>
      <c r="P29" s="201">
        <v>7</v>
      </c>
      <c r="Q29" s="201">
        <v>13</v>
      </c>
      <c r="R29" s="201">
        <v>779</v>
      </c>
      <c r="S29" s="201">
        <v>792</v>
      </c>
      <c r="T29" s="200">
        <v>113.14285714285714</v>
      </c>
      <c r="U29" s="200">
        <v>8</v>
      </c>
      <c r="V29" s="201">
        <v>7</v>
      </c>
      <c r="W29" s="201">
        <v>334</v>
      </c>
      <c r="X29" s="201">
        <v>642</v>
      </c>
      <c r="Y29" s="201">
        <v>976</v>
      </c>
      <c r="Z29" s="200">
        <v>139.42857142857142</v>
      </c>
      <c r="AA29" s="200">
        <v>1</v>
      </c>
      <c r="AB29" s="201">
        <v>1</v>
      </c>
      <c r="AC29" s="201">
        <v>162</v>
      </c>
      <c r="AD29" s="201">
        <v>258</v>
      </c>
      <c r="AE29" s="201">
        <v>420</v>
      </c>
      <c r="AF29" s="200">
        <v>420</v>
      </c>
      <c r="AG29" s="200">
        <v>0</v>
      </c>
      <c r="AH29" s="200">
        <v>0</v>
      </c>
      <c r="AI29" s="200">
        <v>0</v>
      </c>
      <c r="AJ29" s="200">
        <v>0</v>
      </c>
      <c r="AK29" s="200">
        <v>0</v>
      </c>
      <c r="AL29" s="200"/>
      <c r="AM29" s="200">
        <v>1</v>
      </c>
      <c r="AN29" s="200">
        <v>1</v>
      </c>
      <c r="AO29" s="200">
        <v>260</v>
      </c>
      <c r="AP29" s="200">
        <v>116</v>
      </c>
      <c r="AQ29" s="200">
        <v>376</v>
      </c>
      <c r="AR29" s="200">
        <v>376</v>
      </c>
      <c r="AS29" s="200">
        <f t="shared" si="1"/>
        <v>21</v>
      </c>
      <c r="AT29" s="200">
        <f t="shared" si="2"/>
        <v>19</v>
      </c>
      <c r="AU29" s="200">
        <f t="shared" si="3"/>
        <v>1352</v>
      </c>
      <c r="AV29" s="200">
        <f t="shared" si="4"/>
        <v>2077</v>
      </c>
      <c r="AW29" s="200">
        <f t="shared" si="5"/>
        <v>3429</v>
      </c>
      <c r="AX29" s="200">
        <f t="shared" si="6"/>
        <v>180.47368421052633</v>
      </c>
    </row>
    <row r="30" spans="1:50" s="163" customFormat="1" ht="26.25" customHeight="1">
      <c r="A30" s="166">
        <v>25</v>
      </c>
      <c r="B30" s="171" t="s">
        <v>37</v>
      </c>
      <c r="C30" s="200">
        <v>2</v>
      </c>
      <c r="D30" s="201">
        <v>2</v>
      </c>
      <c r="E30" s="201">
        <v>161</v>
      </c>
      <c r="F30" s="201">
        <v>230</v>
      </c>
      <c r="G30" s="201">
        <v>391</v>
      </c>
      <c r="H30" s="201">
        <v>195.5</v>
      </c>
      <c r="I30" s="200">
        <v>0</v>
      </c>
      <c r="J30" s="201">
        <v>0</v>
      </c>
      <c r="K30" s="201">
        <v>0</v>
      </c>
      <c r="L30" s="201">
        <v>0</v>
      </c>
      <c r="M30" s="201">
        <v>0</v>
      </c>
      <c r="N30" s="200"/>
      <c r="O30" s="200">
        <v>5</v>
      </c>
      <c r="P30" s="201">
        <v>5</v>
      </c>
      <c r="Q30" s="201">
        <v>46</v>
      </c>
      <c r="R30" s="201">
        <v>361</v>
      </c>
      <c r="S30" s="201">
        <v>407</v>
      </c>
      <c r="T30" s="200">
        <v>81.400000000000006</v>
      </c>
      <c r="U30" s="200">
        <v>9</v>
      </c>
      <c r="V30" s="201">
        <v>9</v>
      </c>
      <c r="W30" s="201">
        <v>480</v>
      </c>
      <c r="X30" s="201">
        <v>791</v>
      </c>
      <c r="Y30" s="201">
        <v>1271</v>
      </c>
      <c r="Z30" s="200">
        <v>141.22222222222223</v>
      </c>
      <c r="AA30" s="200">
        <v>0</v>
      </c>
      <c r="AB30" s="201">
        <v>0</v>
      </c>
      <c r="AC30" s="201">
        <v>0</v>
      </c>
      <c r="AD30" s="201">
        <v>0</v>
      </c>
      <c r="AE30" s="201">
        <v>0</v>
      </c>
      <c r="AF30" s="200"/>
      <c r="AG30" s="200">
        <v>0</v>
      </c>
      <c r="AH30" s="200">
        <v>0</v>
      </c>
      <c r="AI30" s="200">
        <v>0</v>
      </c>
      <c r="AJ30" s="200">
        <v>0</v>
      </c>
      <c r="AK30" s="200">
        <v>0</v>
      </c>
      <c r="AL30" s="200"/>
      <c r="AM30" s="200">
        <v>0</v>
      </c>
      <c r="AN30" s="200">
        <v>0</v>
      </c>
      <c r="AO30" s="200">
        <v>0</v>
      </c>
      <c r="AP30" s="200">
        <v>0</v>
      </c>
      <c r="AQ30" s="200">
        <v>0</v>
      </c>
      <c r="AR30" s="200"/>
      <c r="AS30" s="200">
        <f t="shared" si="1"/>
        <v>16</v>
      </c>
      <c r="AT30" s="200">
        <f t="shared" si="2"/>
        <v>16</v>
      </c>
      <c r="AU30" s="200">
        <f t="shared" si="3"/>
        <v>687</v>
      </c>
      <c r="AV30" s="200">
        <f t="shared" si="4"/>
        <v>1382</v>
      </c>
      <c r="AW30" s="200">
        <f t="shared" si="5"/>
        <v>2069</v>
      </c>
      <c r="AX30" s="200">
        <f t="shared" si="6"/>
        <v>129.3125</v>
      </c>
    </row>
    <row r="31" spans="1:50" s="163" customFormat="1" ht="26.25" customHeight="1">
      <c r="A31" s="166">
        <v>26</v>
      </c>
      <c r="B31" s="171" t="s">
        <v>38</v>
      </c>
      <c r="C31" s="200">
        <v>7</v>
      </c>
      <c r="D31" s="201">
        <v>5</v>
      </c>
      <c r="E31" s="201">
        <v>506</v>
      </c>
      <c r="F31" s="201">
        <v>153</v>
      </c>
      <c r="G31" s="201">
        <v>659</v>
      </c>
      <c r="H31" s="201">
        <v>131.80000000000001</v>
      </c>
      <c r="I31" s="200">
        <v>0</v>
      </c>
      <c r="J31" s="201">
        <v>0</v>
      </c>
      <c r="K31" s="201">
        <v>0</v>
      </c>
      <c r="L31" s="201">
        <v>0</v>
      </c>
      <c r="M31" s="201">
        <v>0</v>
      </c>
      <c r="N31" s="200"/>
      <c r="O31" s="200">
        <v>4</v>
      </c>
      <c r="P31" s="201">
        <v>3</v>
      </c>
      <c r="Q31" s="201">
        <v>14</v>
      </c>
      <c r="R31" s="201">
        <v>230</v>
      </c>
      <c r="S31" s="201">
        <v>244</v>
      </c>
      <c r="T31" s="200">
        <v>81.333333333333329</v>
      </c>
      <c r="U31" s="200">
        <v>9</v>
      </c>
      <c r="V31" s="201">
        <v>9</v>
      </c>
      <c r="W31" s="201">
        <v>266</v>
      </c>
      <c r="X31" s="201">
        <v>552</v>
      </c>
      <c r="Y31" s="201">
        <v>818</v>
      </c>
      <c r="Z31" s="200">
        <v>90.888888888888886</v>
      </c>
      <c r="AA31" s="200">
        <v>0</v>
      </c>
      <c r="AB31" s="201">
        <v>0</v>
      </c>
      <c r="AC31" s="201">
        <v>0</v>
      </c>
      <c r="AD31" s="201">
        <v>0</v>
      </c>
      <c r="AE31" s="201">
        <v>0</v>
      </c>
      <c r="AF31" s="200"/>
      <c r="AG31" s="200">
        <v>0</v>
      </c>
      <c r="AH31" s="200">
        <v>0</v>
      </c>
      <c r="AI31" s="200">
        <v>0</v>
      </c>
      <c r="AJ31" s="200">
        <v>0</v>
      </c>
      <c r="AK31" s="200">
        <v>0</v>
      </c>
      <c r="AL31" s="200"/>
      <c r="AM31" s="200">
        <v>0</v>
      </c>
      <c r="AN31" s="200">
        <v>0</v>
      </c>
      <c r="AO31" s="200">
        <v>0</v>
      </c>
      <c r="AP31" s="200">
        <v>0</v>
      </c>
      <c r="AQ31" s="200">
        <v>0</v>
      </c>
      <c r="AR31" s="200"/>
      <c r="AS31" s="200">
        <f t="shared" si="1"/>
        <v>20</v>
      </c>
      <c r="AT31" s="200">
        <f t="shared" si="2"/>
        <v>17</v>
      </c>
      <c r="AU31" s="200">
        <f t="shared" si="3"/>
        <v>786</v>
      </c>
      <c r="AV31" s="200">
        <f t="shared" si="4"/>
        <v>935</v>
      </c>
      <c r="AW31" s="200">
        <f t="shared" si="5"/>
        <v>1721</v>
      </c>
      <c r="AX31" s="200">
        <f t="shared" si="6"/>
        <v>101.23529411764706</v>
      </c>
    </row>
    <row r="32" spans="1:50" s="163" customFormat="1" ht="26.25" customHeight="1">
      <c r="A32" s="166">
        <v>27</v>
      </c>
      <c r="B32" s="171" t="s">
        <v>39</v>
      </c>
      <c r="C32" s="200">
        <v>127</v>
      </c>
      <c r="D32" s="201">
        <v>127</v>
      </c>
      <c r="E32" s="201">
        <v>76547</v>
      </c>
      <c r="F32" s="201">
        <v>16339</v>
      </c>
      <c r="G32" s="201">
        <v>92886</v>
      </c>
      <c r="H32" s="201">
        <v>731.38582677165357</v>
      </c>
      <c r="I32" s="200">
        <v>8</v>
      </c>
      <c r="J32" s="201">
        <v>6</v>
      </c>
      <c r="K32" s="201">
        <v>543</v>
      </c>
      <c r="L32" s="201">
        <v>320</v>
      </c>
      <c r="M32" s="201">
        <v>863</v>
      </c>
      <c r="N32" s="200">
        <v>143.83333333333334</v>
      </c>
      <c r="O32" s="200">
        <v>170</v>
      </c>
      <c r="P32" s="201">
        <v>170</v>
      </c>
      <c r="Q32" s="201">
        <v>808</v>
      </c>
      <c r="R32" s="201">
        <v>14502</v>
      </c>
      <c r="S32" s="201">
        <v>15310</v>
      </c>
      <c r="T32" s="200">
        <v>90.058823529411768</v>
      </c>
      <c r="U32" s="200">
        <v>66</v>
      </c>
      <c r="V32" s="201">
        <v>65</v>
      </c>
      <c r="W32" s="201">
        <v>5785</v>
      </c>
      <c r="X32" s="201">
        <v>6130</v>
      </c>
      <c r="Y32" s="201">
        <v>11915</v>
      </c>
      <c r="Z32" s="200">
        <v>183.30769230769232</v>
      </c>
      <c r="AA32" s="200">
        <v>3</v>
      </c>
      <c r="AB32" s="201">
        <v>2</v>
      </c>
      <c r="AC32" s="201">
        <v>165</v>
      </c>
      <c r="AD32" s="201">
        <v>91</v>
      </c>
      <c r="AE32" s="201">
        <v>256</v>
      </c>
      <c r="AF32" s="200">
        <v>128</v>
      </c>
      <c r="AG32" s="200">
        <v>11</v>
      </c>
      <c r="AH32" s="200">
        <v>10</v>
      </c>
      <c r="AI32" s="200">
        <v>290</v>
      </c>
      <c r="AJ32" s="200">
        <v>191</v>
      </c>
      <c r="AK32" s="200">
        <v>481</v>
      </c>
      <c r="AL32" s="200">
        <v>48.1</v>
      </c>
      <c r="AM32" s="200">
        <v>1</v>
      </c>
      <c r="AN32" s="200">
        <v>1</v>
      </c>
      <c r="AO32" s="200">
        <v>459</v>
      </c>
      <c r="AP32" s="200">
        <v>218</v>
      </c>
      <c r="AQ32" s="200">
        <v>677</v>
      </c>
      <c r="AR32" s="200">
        <v>677</v>
      </c>
      <c r="AS32" s="200">
        <f t="shared" si="1"/>
        <v>386</v>
      </c>
      <c r="AT32" s="200">
        <f t="shared" si="2"/>
        <v>381</v>
      </c>
      <c r="AU32" s="200">
        <f t="shared" si="3"/>
        <v>84597</v>
      </c>
      <c r="AV32" s="200">
        <f t="shared" si="4"/>
        <v>37791</v>
      </c>
      <c r="AW32" s="200">
        <f t="shared" si="5"/>
        <v>122388</v>
      </c>
      <c r="AX32" s="200">
        <f t="shared" si="6"/>
        <v>321.22834645669292</v>
      </c>
    </row>
    <row r="33" spans="1:50" s="163" customFormat="1" ht="26.25" customHeight="1">
      <c r="A33" s="166">
        <v>28</v>
      </c>
      <c r="B33" s="171" t="s">
        <v>40</v>
      </c>
      <c r="C33" s="200">
        <v>9</v>
      </c>
      <c r="D33" s="201">
        <v>9</v>
      </c>
      <c r="E33" s="201">
        <v>2910</v>
      </c>
      <c r="F33" s="201">
        <v>693</v>
      </c>
      <c r="G33" s="201">
        <v>3603</v>
      </c>
      <c r="H33" s="201">
        <v>400.33333333333331</v>
      </c>
      <c r="I33" s="200">
        <v>0</v>
      </c>
      <c r="J33" s="201">
        <v>0</v>
      </c>
      <c r="K33" s="201">
        <v>0</v>
      </c>
      <c r="L33" s="201">
        <v>0</v>
      </c>
      <c r="M33" s="201">
        <v>0</v>
      </c>
      <c r="N33" s="200"/>
      <c r="O33" s="200">
        <v>1</v>
      </c>
      <c r="P33" s="201">
        <v>1</v>
      </c>
      <c r="Q33" s="201">
        <v>0</v>
      </c>
      <c r="R33" s="201">
        <v>129</v>
      </c>
      <c r="S33" s="201">
        <v>129</v>
      </c>
      <c r="T33" s="200">
        <v>129</v>
      </c>
      <c r="U33" s="200">
        <v>4</v>
      </c>
      <c r="V33" s="201">
        <v>3</v>
      </c>
      <c r="W33" s="201">
        <v>10</v>
      </c>
      <c r="X33" s="201">
        <v>216</v>
      </c>
      <c r="Y33" s="201">
        <v>226</v>
      </c>
      <c r="Z33" s="200">
        <v>75.333333333333329</v>
      </c>
      <c r="AA33" s="200">
        <v>0</v>
      </c>
      <c r="AB33" s="201">
        <v>0</v>
      </c>
      <c r="AC33" s="201">
        <v>0</v>
      </c>
      <c r="AD33" s="201">
        <v>0</v>
      </c>
      <c r="AE33" s="201">
        <v>0</v>
      </c>
      <c r="AF33" s="200">
        <v>0</v>
      </c>
      <c r="AG33" s="200">
        <v>0</v>
      </c>
      <c r="AH33" s="200">
        <v>0</v>
      </c>
      <c r="AI33" s="200">
        <v>0</v>
      </c>
      <c r="AJ33" s="200">
        <v>0</v>
      </c>
      <c r="AK33" s="200">
        <v>0</v>
      </c>
      <c r="AL33" s="200"/>
      <c r="AM33" s="200">
        <v>0</v>
      </c>
      <c r="AN33" s="200">
        <v>0</v>
      </c>
      <c r="AO33" s="200">
        <v>0</v>
      </c>
      <c r="AP33" s="200">
        <v>0</v>
      </c>
      <c r="AQ33" s="200">
        <v>0</v>
      </c>
      <c r="AR33" s="200"/>
      <c r="AS33" s="200">
        <f t="shared" si="1"/>
        <v>14</v>
      </c>
      <c r="AT33" s="200">
        <f t="shared" si="2"/>
        <v>13</v>
      </c>
      <c r="AU33" s="200">
        <f t="shared" si="3"/>
        <v>2920</v>
      </c>
      <c r="AV33" s="200">
        <f t="shared" si="4"/>
        <v>1038</v>
      </c>
      <c r="AW33" s="200">
        <f t="shared" si="5"/>
        <v>3958</v>
      </c>
      <c r="AX33" s="200">
        <f t="shared" si="6"/>
        <v>304.46153846153845</v>
      </c>
    </row>
    <row r="34" spans="1:50" s="163" customFormat="1" ht="26.25" customHeight="1">
      <c r="A34" s="166">
        <v>29</v>
      </c>
      <c r="B34" s="171" t="s">
        <v>41</v>
      </c>
      <c r="C34" s="200">
        <v>196</v>
      </c>
      <c r="D34" s="201">
        <v>189</v>
      </c>
      <c r="E34" s="201">
        <v>41287</v>
      </c>
      <c r="F34" s="201">
        <v>8333</v>
      </c>
      <c r="G34" s="201">
        <v>49620</v>
      </c>
      <c r="H34" s="201">
        <v>262.53968253968253</v>
      </c>
      <c r="I34" s="200">
        <v>2</v>
      </c>
      <c r="J34" s="201">
        <v>0</v>
      </c>
      <c r="K34" s="201">
        <v>0</v>
      </c>
      <c r="L34" s="201">
        <v>0</v>
      </c>
      <c r="M34" s="201">
        <v>0</v>
      </c>
      <c r="N34" s="200"/>
      <c r="O34" s="200">
        <v>155</v>
      </c>
      <c r="P34" s="201">
        <v>98</v>
      </c>
      <c r="Q34" s="201">
        <v>1636</v>
      </c>
      <c r="R34" s="201">
        <v>9104</v>
      </c>
      <c r="S34" s="201">
        <v>10740</v>
      </c>
      <c r="T34" s="200">
        <v>109.59183673469387</v>
      </c>
      <c r="U34" s="200">
        <v>59</v>
      </c>
      <c r="V34" s="201">
        <v>53</v>
      </c>
      <c r="W34" s="201">
        <v>1887</v>
      </c>
      <c r="X34" s="201">
        <v>4244</v>
      </c>
      <c r="Y34" s="201">
        <v>6131</v>
      </c>
      <c r="Z34" s="200">
        <v>115.67924528301887</v>
      </c>
      <c r="AA34" s="200">
        <v>3</v>
      </c>
      <c r="AB34" s="201">
        <v>2</v>
      </c>
      <c r="AC34" s="201">
        <v>1643</v>
      </c>
      <c r="AD34" s="201">
        <v>64</v>
      </c>
      <c r="AE34" s="201">
        <v>1707</v>
      </c>
      <c r="AF34" s="200">
        <v>853.5</v>
      </c>
      <c r="AG34" s="200">
        <v>5</v>
      </c>
      <c r="AH34" s="200">
        <v>1</v>
      </c>
      <c r="AI34" s="200">
        <v>99</v>
      </c>
      <c r="AJ34" s="200">
        <v>18</v>
      </c>
      <c r="AK34" s="200">
        <v>117</v>
      </c>
      <c r="AL34" s="200">
        <v>117</v>
      </c>
      <c r="AM34" s="200">
        <v>1</v>
      </c>
      <c r="AN34" s="200">
        <v>1</v>
      </c>
      <c r="AO34" s="200">
        <v>467</v>
      </c>
      <c r="AP34" s="200">
        <v>71</v>
      </c>
      <c r="AQ34" s="200">
        <v>538</v>
      </c>
      <c r="AR34" s="200">
        <v>538</v>
      </c>
      <c r="AS34" s="200">
        <f t="shared" si="1"/>
        <v>421</v>
      </c>
      <c r="AT34" s="200">
        <f t="shared" si="2"/>
        <v>344</v>
      </c>
      <c r="AU34" s="200">
        <f t="shared" si="3"/>
        <v>47019</v>
      </c>
      <c r="AV34" s="200">
        <f t="shared" si="4"/>
        <v>21834</v>
      </c>
      <c r="AW34" s="200">
        <f t="shared" si="5"/>
        <v>68853</v>
      </c>
      <c r="AX34" s="200">
        <f t="shared" si="6"/>
        <v>200.15406976744185</v>
      </c>
    </row>
    <row r="35" spans="1:50" s="163" customFormat="1" ht="26.25" customHeight="1">
      <c r="A35" s="166">
        <v>30</v>
      </c>
      <c r="B35" s="171" t="s">
        <v>42</v>
      </c>
      <c r="C35" s="200">
        <v>191</v>
      </c>
      <c r="D35" s="201">
        <v>149</v>
      </c>
      <c r="E35" s="201">
        <v>28867</v>
      </c>
      <c r="F35" s="201">
        <v>4697</v>
      </c>
      <c r="G35" s="201">
        <v>33564</v>
      </c>
      <c r="H35" s="201">
        <v>225.26174496644296</v>
      </c>
      <c r="I35" s="200">
        <v>9</v>
      </c>
      <c r="J35" s="201">
        <v>3</v>
      </c>
      <c r="K35" s="201">
        <v>509</v>
      </c>
      <c r="L35" s="201">
        <v>377</v>
      </c>
      <c r="M35" s="201">
        <v>886</v>
      </c>
      <c r="N35" s="200">
        <v>295.33333333333331</v>
      </c>
      <c r="O35" s="200">
        <v>72</v>
      </c>
      <c r="P35" s="201">
        <v>38</v>
      </c>
      <c r="Q35" s="201">
        <v>2956</v>
      </c>
      <c r="R35" s="201">
        <v>1613</v>
      </c>
      <c r="S35" s="201">
        <v>4569</v>
      </c>
      <c r="T35" s="200">
        <v>120.23684210526316</v>
      </c>
      <c r="U35" s="200">
        <v>235</v>
      </c>
      <c r="V35" s="201">
        <v>192</v>
      </c>
      <c r="W35" s="201">
        <v>12425</v>
      </c>
      <c r="X35" s="201">
        <v>11009</v>
      </c>
      <c r="Y35" s="201">
        <v>23434</v>
      </c>
      <c r="Z35" s="200">
        <v>122.05208333333333</v>
      </c>
      <c r="AA35" s="200">
        <v>3</v>
      </c>
      <c r="AB35" s="201">
        <v>1</v>
      </c>
      <c r="AC35" s="201">
        <v>315</v>
      </c>
      <c r="AD35" s="201">
        <v>8</v>
      </c>
      <c r="AE35" s="201">
        <v>323</v>
      </c>
      <c r="AF35" s="200">
        <v>323</v>
      </c>
      <c r="AG35" s="200">
        <v>52</v>
      </c>
      <c r="AH35" s="200">
        <v>25</v>
      </c>
      <c r="AI35" s="200">
        <v>2150</v>
      </c>
      <c r="AJ35" s="200">
        <v>654</v>
      </c>
      <c r="AK35" s="200">
        <v>2804</v>
      </c>
      <c r="AL35" s="200">
        <v>112.16</v>
      </c>
      <c r="AM35" s="200">
        <v>5</v>
      </c>
      <c r="AN35" s="200">
        <v>1</v>
      </c>
      <c r="AO35" s="200">
        <v>0</v>
      </c>
      <c r="AP35" s="200">
        <v>0</v>
      </c>
      <c r="AQ35" s="200">
        <v>0</v>
      </c>
      <c r="AR35" s="200">
        <v>0</v>
      </c>
      <c r="AS35" s="200">
        <f t="shared" si="1"/>
        <v>567</v>
      </c>
      <c r="AT35" s="200">
        <f t="shared" si="2"/>
        <v>409</v>
      </c>
      <c r="AU35" s="200">
        <f t="shared" si="3"/>
        <v>47222</v>
      </c>
      <c r="AV35" s="200">
        <f t="shared" si="4"/>
        <v>18358</v>
      </c>
      <c r="AW35" s="200">
        <f t="shared" si="5"/>
        <v>65580</v>
      </c>
      <c r="AX35" s="200">
        <f t="shared" si="6"/>
        <v>160.34229828850854</v>
      </c>
    </row>
    <row r="36" spans="1:50" s="163" customFormat="1" ht="26.25" customHeight="1">
      <c r="A36" s="166">
        <v>31</v>
      </c>
      <c r="B36" s="171" t="s">
        <v>43</v>
      </c>
      <c r="C36" s="200">
        <v>2</v>
      </c>
      <c r="D36" s="201">
        <v>2</v>
      </c>
      <c r="E36" s="201">
        <v>750</v>
      </c>
      <c r="F36" s="201">
        <v>382</v>
      </c>
      <c r="G36" s="201">
        <v>1132</v>
      </c>
      <c r="H36" s="201">
        <v>566</v>
      </c>
      <c r="I36" s="200">
        <v>0</v>
      </c>
      <c r="J36" s="201">
        <v>0</v>
      </c>
      <c r="K36" s="201">
        <v>0</v>
      </c>
      <c r="L36" s="201">
        <v>0</v>
      </c>
      <c r="M36" s="201">
        <v>0</v>
      </c>
      <c r="N36" s="200"/>
      <c r="O36" s="200">
        <v>1</v>
      </c>
      <c r="P36" s="201">
        <v>1</v>
      </c>
      <c r="Q36" s="201">
        <v>0</v>
      </c>
      <c r="R36" s="201">
        <v>20</v>
      </c>
      <c r="S36" s="201">
        <v>20</v>
      </c>
      <c r="T36" s="200">
        <v>20</v>
      </c>
      <c r="U36" s="200">
        <v>4</v>
      </c>
      <c r="V36" s="201">
        <v>4</v>
      </c>
      <c r="W36" s="201">
        <v>59</v>
      </c>
      <c r="X36" s="201">
        <v>271</v>
      </c>
      <c r="Y36" s="201">
        <v>330</v>
      </c>
      <c r="Z36" s="200">
        <v>82.5</v>
      </c>
      <c r="AA36" s="200">
        <v>0</v>
      </c>
      <c r="AB36" s="201">
        <v>0</v>
      </c>
      <c r="AC36" s="201">
        <v>0</v>
      </c>
      <c r="AD36" s="201">
        <v>0</v>
      </c>
      <c r="AE36" s="201">
        <v>0</v>
      </c>
      <c r="AF36" s="200"/>
      <c r="AG36" s="200">
        <v>0</v>
      </c>
      <c r="AH36" s="200">
        <v>0</v>
      </c>
      <c r="AI36" s="200">
        <v>0</v>
      </c>
      <c r="AJ36" s="200">
        <v>0</v>
      </c>
      <c r="AK36" s="200">
        <v>0</v>
      </c>
      <c r="AL36" s="200"/>
      <c r="AM36" s="200">
        <v>1</v>
      </c>
      <c r="AN36" s="200">
        <v>1</v>
      </c>
      <c r="AO36" s="200">
        <v>56</v>
      </c>
      <c r="AP36" s="200">
        <v>22</v>
      </c>
      <c r="AQ36" s="200">
        <v>78</v>
      </c>
      <c r="AR36" s="200">
        <v>78</v>
      </c>
      <c r="AS36" s="200">
        <f t="shared" si="1"/>
        <v>8</v>
      </c>
      <c r="AT36" s="200">
        <f t="shared" si="2"/>
        <v>8</v>
      </c>
      <c r="AU36" s="200">
        <f t="shared" si="3"/>
        <v>865</v>
      </c>
      <c r="AV36" s="200">
        <f t="shared" si="4"/>
        <v>695</v>
      </c>
      <c r="AW36" s="200">
        <f t="shared" si="5"/>
        <v>1560</v>
      </c>
      <c r="AX36" s="200">
        <f t="shared" si="6"/>
        <v>195</v>
      </c>
    </row>
    <row r="37" spans="1:50" s="163" customFormat="1" ht="26.25" customHeight="1">
      <c r="A37" s="166">
        <v>32</v>
      </c>
      <c r="B37" s="171" t="s">
        <v>44</v>
      </c>
      <c r="C37" s="200">
        <v>494</v>
      </c>
      <c r="D37" s="201">
        <v>494</v>
      </c>
      <c r="E37" s="201">
        <v>273057</v>
      </c>
      <c r="F37" s="201">
        <v>27930</v>
      </c>
      <c r="G37" s="201">
        <v>300987</v>
      </c>
      <c r="H37" s="201">
        <v>609.28542510121463</v>
      </c>
      <c r="I37" s="200">
        <v>11</v>
      </c>
      <c r="J37" s="201">
        <v>8</v>
      </c>
      <c r="K37" s="201">
        <v>463</v>
      </c>
      <c r="L37" s="201">
        <v>293</v>
      </c>
      <c r="M37" s="201">
        <v>756</v>
      </c>
      <c r="N37" s="200">
        <v>94.5</v>
      </c>
      <c r="O37" s="200">
        <v>106</v>
      </c>
      <c r="P37" s="201">
        <v>106</v>
      </c>
      <c r="Q37" s="201">
        <v>65</v>
      </c>
      <c r="R37" s="201">
        <v>8448</v>
      </c>
      <c r="S37" s="201">
        <v>8513</v>
      </c>
      <c r="T37" s="200">
        <v>80.311320754716988</v>
      </c>
      <c r="U37" s="200">
        <v>293</v>
      </c>
      <c r="V37" s="201">
        <v>293</v>
      </c>
      <c r="W37" s="201">
        <v>436</v>
      </c>
      <c r="X37" s="201">
        <v>5553</v>
      </c>
      <c r="Y37" s="201">
        <v>5989</v>
      </c>
      <c r="Z37" s="200">
        <v>20.440273037542664</v>
      </c>
      <c r="AA37" s="200">
        <v>8</v>
      </c>
      <c r="AB37" s="201">
        <v>5</v>
      </c>
      <c r="AC37" s="201">
        <v>1063</v>
      </c>
      <c r="AD37" s="201">
        <v>106</v>
      </c>
      <c r="AE37" s="201">
        <v>1169</v>
      </c>
      <c r="AF37" s="200">
        <v>233.8</v>
      </c>
      <c r="AG37" s="200">
        <v>0</v>
      </c>
      <c r="AH37" s="200">
        <v>0</v>
      </c>
      <c r="AI37" s="200">
        <v>0</v>
      </c>
      <c r="AJ37" s="200">
        <v>0</v>
      </c>
      <c r="AK37" s="200">
        <v>0</v>
      </c>
      <c r="AL37" s="200"/>
      <c r="AM37" s="200">
        <v>2</v>
      </c>
      <c r="AN37" s="200">
        <v>2</v>
      </c>
      <c r="AO37" s="200">
        <v>925</v>
      </c>
      <c r="AP37" s="200">
        <v>192</v>
      </c>
      <c r="AQ37" s="200">
        <v>1117</v>
      </c>
      <c r="AR37" s="200">
        <v>558.5</v>
      </c>
      <c r="AS37" s="200">
        <f t="shared" si="1"/>
        <v>914</v>
      </c>
      <c r="AT37" s="200">
        <f t="shared" si="2"/>
        <v>908</v>
      </c>
      <c r="AU37" s="200">
        <f t="shared" si="3"/>
        <v>276009</v>
      </c>
      <c r="AV37" s="200">
        <f t="shared" si="4"/>
        <v>42522</v>
      </c>
      <c r="AW37" s="200">
        <f t="shared" si="5"/>
        <v>318531</v>
      </c>
      <c r="AX37" s="200">
        <f t="shared" si="6"/>
        <v>350.80506607929516</v>
      </c>
    </row>
    <row r="38" spans="1:50" s="163" customFormat="1" ht="26.25" customHeight="1">
      <c r="A38" s="166">
        <v>33</v>
      </c>
      <c r="B38" s="171" t="s">
        <v>134</v>
      </c>
      <c r="C38" s="200">
        <v>155</v>
      </c>
      <c r="D38" s="201">
        <v>136</v>
      </c>
      <c r="E38" s="201">
        <v>46442</v>
      </c>
      <c r="F38" s="201">
        <v>20047</v>
      </c>
      <c r="G38" s="201">
        <v>66489</v>
      </c>
      <c r="H38" s="201">
        <v>488.88970588235293</v>
      </c>
      <c r="I38" s="200">
        <v>14</v>
      </c>
      <c r="J38" s="201">
        <v>7</v>
      </c>
      <c r="K38" s="201">
        <v>1534</v>
      </c>
      <c r="L38" s="201">
        <v>1155</v>
      </c>
      <c r="M38" s="201">
        <v>2689</v>
      </c>
      <c r="N38" s="200">
        <v>384.14285714285717</v>
      </c>
      <c r="O38" s="200">
        <v>155</v>
      </c>
      <c r="P38" s="201">
        <v>121</v>
      </c>
      <c r="Q38" s="201">
        <v>671</v>
      </c>
      <c r="R38" s="201">
        <v>13802</v>
      </c>
      <c r="S38" s="201">
        <v>14473</v>
      </c>
      <c r="T38" s="200">
        <v>119.61157024793388</v>
      </c>
      <c r="U38" s="200">
        <v>186</v>
      </c>
      <c r="V38" s="201">
        <v>179</v>
      </c>
      <c r="W38" s="201">
        <v>2790</v>
      </c>
      <c r="X38" s="201">
        <v>8693</v>
      </c>
      <c r="Y38" s="201">
        <v>11483</v>
      </c>
      <c r="Z38" s="200">
        <v>64.150837988826822</v>
      </c>
      <c r="AA38" s="200">
        <v>3</v>
      </c>
      <c r="AB38" s="201">
        <v>0</v>
      </c>
      <c r="AC38" s="201">
        <v>0</v>
      </c>
      <c r="AD38" s="201">
        <v>0</v>
      </c>
      <c r="AE38" s="201">
        <v>0</v>
      </c>
      <c r="AF38" s="200"/>
      <c r="AG38" s="200">
        <v>0</v>
      </c>
      <c r="AH38" s="200">
        <v>0</v>
      </c>
      <c r="AI38" s="200">
        <v>0</v>
      </c>
      <c r="AJ38" s="200">
        <v>0</v>
      </c>
      <c r="AK38" s="200">
        <v>0</v>
      </c>
      <c r="AL38" s="200"/>
      <c r="AM38" s="200">
        <v>1</v>
      </c>
      <c r="AN38" s="200">
        <v>1</v>
      </c>
      <c r="AO38" s="200">
        <v>570</v>
      </c>
      <c r="AP38" s="200">
        <v>174</v>
      </c>
      <c r="AQ38" s="200">
        <v>744</v>
      </c>
      <c r="AR38" s="200">
        <v>744</v>
      </c>
      <c r="AS38" s="200">
        <f t="shared" si="1"/>
        <v>514</v>
      </c>
      <c r="AT38" s="200">
        <f t="shared" si="2"/>
        <v>444</v>
      </c>
      <c r="AU38" s="200">
        <f t="shared" si="3"/>
        <v>52007</v>
      </c>
      <c r="AV38" s="200">
        <f t="shared" si="4"/>
        <v>43871</v>
      </c>
      <c r="AW38" s="200">
        <f t="shared" si="5"/>
        <v>95878</v>
      </c>
      <c r="AX38" s="200">
        <f t="shared" si="6"/>
        <v>215.94144144144144</v>
      </c>
    </row>
    <row r="39" spans="1:50" s="163" customFormat="1" ht="26.25" customHeight="1">
      <c r="A39" s="166">
        <v>34</v>
      </c>
      <c r="B39" s="171" t="s">
        <v>45</v>
      </c>
      <c r="C39" s="200">
        <v>0</v>
      </c>
      <c r="D39" s="201">
        <v>0</v>
      </c>
      <c r="E39" s="201">
        <v>0</v>
      </c>
      <c r="F39" s="201">
        <v>0</v>
      </c>
      <c r="G39" s="201">
        <v>0</v>
      </c>
      <c r="H39" s="201"/>
      <c r="I39" s="200">
        <v>0</v>
      </c>
      <c r="J39" s="201">
        <v>0</v>
      </c>
      <c r="K39" s="201">
        <v>0</v>
      </c>
      <c r="L39" s="201">
        <v>0</v>
      </c>
      <c r="M39" s="201">
        <v>0</v>
      </c>
      <c r="N39" s="200"/>
      <c r="O39" s="200">
        <v>7</v>
      </c>
      <c r="P39" s="201">
        <v>5</v>
      </c>
      <c r="Q39" s="201">
        <v>134</v>
      </c>
      <c r="R39" s="201">
        <v>368</v>
      </c>
      <c r="S39" s="201">
        <v>502</v>
      </c>
      <c r="T39" s="200">
        <v>100.4</v>
      </c>
      <c r="U39" s="200">
        <v>4</v>
      </c>
      <c r="V39" s="201">
        <v>4</v>
      </c>
      <c r="W39" s="201">
        <v>368</v>
      </c>
      <c r="X39" s="201">
        <v>542</v>
      </c>
      <c r="Y39" s="201">
        <v>910</v>
      </c>
      <c r="Z39" s="200">
        <v>227.5</v>
      </c>
      <c r="AA39" s="200">
        <v>1</v>
      </c>
      <c r="AB39" s="201">
        <v>1</v>
      </c>
      <c r="AC39" s="201">
        <v>12</v>
      </c>
      <c r="AD39" s="201">
        <v>8</v>
      </c>
      <c r="AE39" s="201">
        <v>20</v>
      </c>
      <c r="AF39" s="200">
        <v>20</v>
      </c>
      <c r="AG39" s="200">
        <v>0</v>
      </c>
      <c r="AH39" s="200">
        <v>0</v>
      </c>
      <c r="AI39" s="200">
        <v>0</v>
      </c>
      <c r="AJ39" s="200">
        <v>0</v>
      </c>
      <c r="AK39" s="200">
        <v>0</v>
      </c>
      <c r="AL39" s="200"/>
      <c r="AM39" s="200">
        <v>0</v>
      </c>
      <c r="AN39" s="200">
        <v>0</v>
      </c>
      <c r="AO39" s="200">
        <v>0</v>
      </c>
      <c r="AP39" s="200">
        <v>0</v>
      </c>
      <c r="AQ39" s="200">
        <v>0</v>
      </c>
      <c r="AR39" s="200"/>
      <c r="AS39" s="200">
        <f t="shared" si="1"/>
        <v>12</v>
      </c>
      <c r="AT39" s="200">
        <f t="shared" si="2"/>
        <v>10</v>
      </c>
      <c r="AU39" s="200">
        <f t="shared" si="3"/>
        <v>514</v>
      </c>
      <c r="AV39" s="200">
        <f t="shared" si="4"/>
        <v>918</v>
      </c>
      <c r="AW39" s="200">
        <f t="shared" si="5"/>
        <v>1432</v>
      </c>
      <c r="AX39" s="200">
        <f t="shared" si="6"/>
        <v>143.19999999999999</v>
      </c>
    </row>
    <row r="40" spans="1:50" s="163" customFormat="1" ht="26.25" customHeight="1">
      <c r="A40" s="166">
        <v>35</v>
      </c>
      <c r="B40" s="171" t="s">
        <v>47</v>
      </c>
      <c r="C40" s="200">
        <v>508</v>
      </c>
      <c r="D40" s="201">
        <v>383</v>
      </c>
      <c r="E40" s="201">
        <v>128571</v>
      </c>
      <c r="F40" s="201">
        <v>24636</v>
      </c>
      <c r="G40" s="201">
        <v>153207</v>
      </c>
      <c r="H40" s="201">
        <v>400.01827676240208</v>
      </c>
      <c r="I40" s="200">
        <v>70</v>
      </c>
      <c r="J40" s="201">
        <v>33</v>
      </c>
      <c r="K40" s="201">
        <v>3815</v>
      </c>
      <c r="L40" s="201">
        <v>2250</v>
      </c>
      <c r="M40" s="201">
        <v>6065</v>
      </c>
      <c r="N40" s="200">
        <v>183.78787878787878</v>
      </c>
      <c r="O40" s="200">
        <v>275</v>
      </c>
      <c r="P40" s="201">
        <v>259</v>
      </c>
      <c r="Q40" s="201">
        <v>8250</v>
      </c>
      <c r="R40" s="201">
        <v>46683</v>
      </c>
      <c r="S40" s="201">
        <v>54933</v>
      </c>
      <c r="T40" s="200">
        <v>212.09652509652508</v>
      </c>
      <c r="U40" s="200">
        <v>239</v>
      </c>
      <c r="V40" s="201">
        <v>132</v>
      </c>
      <c r="W40" s="201">
        <v>8691</v>
      </c>
      <c r="X40" s="201">
        <v>12466</v>
      </c>
      <c r="Y40" s="201">
        <v>21157</v>
      </c>
      <c r="Z40" s="200">
        <v>160.28030303030303</v>
      </c>
      <c r="AA40" s="200">
        <v>6</v>
      </c>
      <c r="AB40" s="201">
        <v>2</v>
      </c>
      <c r="AC40" s="201">
        <v>463</v>
      </c>
      <c r="AD40" s="201">
        <v>72</v>
      </c>
      <c r="AE40" s="201">
        <v>535</v>
      </c>
      <c r="AF40" s="200">
        <v>267.5</v>
      </c>
      <c r="AG40" s="200">
        <v>15</v>
      </c>
      <c r="AH40" s="200">
        <v>7</v>
      </c>
      <c r="AI40" s="200">
        <v>256</v>
      </c>
      <c r="AJ40" s="200">
        <v>106</v>
      </c>
      <c r="AK40" s="200">
        <v>362</v>
      </c>
      <c r="AL40" s="200">
        <v>51.714285714285715</v>
      </c>
      <c r="AM40" s="200">
        <v>3</v>
      </c>
      <c r="AN40" s="200">
        <v>2</v>
      </c>
      <c r="AO40" s="200">
        <v>265</v>
      </c>
      <c r="AP40" s="200">
        <v>20</v>
      </c>
      <c r="AQ40" s="200">
        <v>285</v>
      </c>
      <c r="AR40" s="200">
        <v>142.5</v>
      </c>
      <c r="AS40" s="200">
        <f t="shared" si="1"/>
        <v>1116</v>
      </c>
      <c r="AT40" s="200">
        <f t="shared" si="2"/>
        <v>818</v>
      </c>
      <c r="AU40" s="200">
        <f t="shared" si="3"/>
        <v>150311</v>
      </c>
      <c r="AV40" s="200">
        <f t="shared" si="4"/>
        <v>86233</v>
      </c>
      <c r="AW40" s="200">
        <f t="shared" si="5"/>
        <v>236544</v>
      </c>
      <c r="AX40" s="200">
        <f t="shared" si="6"/>
        <v>289.17359413202934</v>
      </c>
    </row>
    <row r="41" spans="1:50" s="163" customFormat="1" ht="26.25" customHeight="1">
      <c r="A41" s="166">
        <v>36</v>
      </c>
      <c r="B41" s="171" t="s">
        <v>46</v>
      </c>
      <c r="C41" s="200">
        <v>114</v>
      </c>
      <c r="D41" s="201">
        <v>107</v>
      </c>
      <c r="E41" s="201">
        <v>13744</v>
      </c>
      <c r="F41" s="201">
        <v>3749</v>
      </c>
      <c r="G41" s="201">
        <v>17493</v>
      </c>
      <c r="H41" s="201">
        <v>163.48598130841123</v>
      </c>
      <c r="I41" s="200">
        <v>3</v>
      </c>
      <c r="J41" s="201">
        <v>2</v>
      </c>
      <c r="K41" s="201">
        <v>245</v>
      </c>
      <c r="L41" s="201">
        <v>493</v>
      </c>
      <c r="M41" s="201">
        <v>738</v>
      </c>
      <c r="N41" s="200">
        <v>369</v>
      </c>
      <c r="O41" s="200">
        <v>33</v>
      </c>
      <c r="P41" s="201">
        <v>25</v>
      </c>
      <c r="Q41" s="201">
        <v>1004</v>
      </c>
      <c r="R41" s="201">
        <v>1809</v>
      </c>
      <c r="S41" s="201">
        <v>2813</v>
      </c>
      <c r="T41" s="200">
        <v>112.52</v>
      </c>
      <c r="U41" s="200">
        <v>13</v>
      </c>
      <c r="V41" s="201">
        <v>13</v>
      </c>
      <c r="W41" s="201">
        <v>367</v>
      </c>
      <c r="X41" s="201">
        <v>249</v>
      </c>
      <c r="Y41" s="201">
        <v>616</v>
      </c>
      <c r="Z41" s="200">
        <v>47.384615384615387</v>
      </c>
      <c r="AA41" s="200">
        <v>2</v>
      </c>
      <c r="AB41" s="201">
        <v>2</v>
      </c>
      <c r="AC41" s="201">
        <v>354</v>
      </c>
      <c r="AD41" s="201">
        <v>46</v>
      </c>
      <c r="AE41" s="201">
        <v>400</v>
      </c>
      <c r="AF41" s="200">
        <v>200</v>
      </c>
      <c r="AG41" s="200">
        <v>0</v>
      </c>
      <c r="AH41" s="200">
        <v>0</v>
      </c>
      <c r="AI41" s="200">
        <v>0</v>
      </c>
      <c r="AJ41" s="200">
        <v>0</v>
      </c>
      <c r="AK41" s="200">
        <v>0</v>
      </c>
      <c r="AL41" s="200"/>
      <c r="AM41" s="200">
        <v>1</v>
      </c>
      <c r="AN41" s="200">
        <v>1</v>
      </c>
      <c r="AO41" s="200">
        <v>432</v>
      </c>
      <c r="AP41" s="200">
        <v>34</v>
      </c>
      <c r="AQ41" s="200">
        <v>466</v>
      </c>
      <c r="AR41" s="200">
        <v>466</v>
      </c>
      <c r="AS41" s="200">
        <f t="shared" si="1"/>
        <v>166</v>
      </c>
      <c r="AT41" s="200">
        <f t="shared" si="2"/>
        <v>150</v>
      </c>
      <c r="AU41" s="200">
        <f t="shared" si="3"/>
        <v>16146</v>
      </c>
      <c r="AV41" s="200">
        <f t="shared" si="4"/>
        <v>6380</v>
      </c>
      <c r="AW41" s="200">
        <f t="shared" si="5"/>
        <v>22526</v>
      </c>
      <c r="AX41" s="200">
        <f t="shared" si="6"/>
        <v>150.17333333333335</v>
      </c>
    </row>
    <row r="42" spans="1:50" s="163" customFormat="1" ht="26.25" customHeight="1">
      <c r="A42" s="166">
        <v>37</v>
      </c>
      <c r="B42" s="171" t="s">
        <v>48</v>
      </c>
      <c r="C42" s="200">
        <v>153</v>
      </c>
      <c r="D42" s="201">
        <v>153</v>
      </c>
      <c r="E42" s="201">
        <v>81767</v>
      </c>
      <c r="F42" s="201">
        <v>11930</v>
      </c>
      <c r="G42" s="201">
        <v>93697</v>
      </c>
      <c r="H42" s="201">
        <v>612.39869281045753</v>
      </c>
      <c r="I42" s="200">
        <v>15</v>
      </c>
      <c r="J42" s="201">
        <v>15</v>
      </c>
      <c r="K42" s="201">
        <v>3173</v>
      </c>
      <c r="L42" s="201">
        <v>1279</v>
      </c>
      <c r="M42" s="201">
        <v>4452</v>
      </c>
      <c r="N42" s="200">
        <v>296.8</v>
      </c>
      <c r="O42" s="200">
        <v>76</v>
      </c>
      <c r="P42" s="201">
        <v>76</v>
      </c>
      <c r="Q42" s="201">
        <v>248</v>
      </c>
      <c r="R42" s="201">
        <v>15638</v>
      </c>
      <c r="S42" s="201">
        <v>15886</v>
      </c>
      <c r="T42" s="200">
        <v>209.02631578947367</v>
      </c>
      <c r="U42" s="200">
        <v>219</v>
      </c>
      <c r="V42" s="201">
        <v>219</v>
      </c>
      <c r="W42" s="201">
        <v>18341</v>
      </c>
      <c r="X42" s="201">
        <v>19476</v>
      </c>
      <c r="Y42" s="201">
        <v>37817</v>
      </c>
      <c r="Z42" s="200">
        <v>172.68036529680364</v>
      </c>
      <c r="AA42" s="200">
        <v>12</v>
      </c>
      <c r="AB42" s="201">
        <v>12</v>
      </c>
      <c r="AC42" s="201">
        <v>3089</v>
      </c>
      <c r="AD42" s="201">
        <v>850</v>
      </c>
      <c r="AE42" s="201">
        <v>3939</v>
      </c>
      <c r="AF42" s="200">
        <v>328.25</v>
      </c>
      <c r="AG42" s="200">
        <v>1</v>
      </c>
      <c r="AH42" s="200">
        <v>1</v>
      </c>
      <c r="AI42" s="200">
        <v>49</v>
      </c>
      <c r="AJ42" s="200">
        <v>11</v>
      </c>
      <c r="AK42" s="200">
        <v>60</v>
      </c>
      <c r="AL42" s="200">
        <v>60</v>
      </c>
      <c r="AM42" s="200">
        <v>1</v>
      </c>
      <c r="AN42" s="200">
        <v>1</v>
      </c>
      <c r="AO42" s="200">
        <v>122</v>
      </c>
      <c r="AP42" s="200">
        <v>58</v>
      </c>
      <c r="AQ42" s="200">
        <v>180</v>
      </c>
      <c r="AR42" s="200">
        <v>180</v>
      </c>
      <c r="AS42" s="200">
        <f t="shared" si="1"/>
        <v>477</v>
      </c>
      <c r="AT42" s="200">
        <f t="shared" si="2"/>
        <v>477</v>
      </c>
      <c r="AU42" s="200">
        <f t="shared" si="3"/>
        <v>106789</v>
      </c>
      <c r="AV42" s="200">
        <f t="shared" si="4"/>
        <v>49242</v>
      </c>
      <c r="AW42" s="200">
        <f t="shared" si="5"/>
        <v>156031</v>
      </c>
      <c r="AX42" s="200">
        <f t="shared" si="6"/>
        <v>327.10901467505244</v>
      </c>
    </row>
    <row r="43" spans="1:50" s="173" customFormat="1" ht="21.75" customHeight="1">
      <c r="A43" s="788" t="s">
        <v>49</v>
      </c>
      <c r="B43" s="788"/>
      <c r="C43" s="171">
        <f>SUM(C6:C42)</f>
        <v>3805</v>
      </c>
      <c r="D43" s="171">
        <f>SUM(D6:D42)</f>
        <v>3451</v>
      </c>
      <c r="E43" s="171">
        <f t="shared" ref="E43:G43" si="7">SUM(E6:E42)</f>
        <v>1153337</v>
      </c>
      <c r="F43" s="171">
        <f t="shared" si="7"/>
        <v>267182</v>
      </c>
      <c r="G43" s="171">
        <f t="shared" si="7"/>
        <v>1420519</v>
      </c>
      <c r="H43" s="210">
        <f t="shared" ref="H43" si="8">G43/D43</f>
        <v>411.62532599246595</v>
      </c>
      <c r="I43" s="171">
        <f>SUM(I6:I42)</f>
        <v>321</v>
      </c>
      <c r="J43" s="171">
        <f t="shared" ref="J43:M43" si="9">SUM(J6:J42)</f>
        <v>188</v>
      </c>
      <c r="K43" s="171">
        <f t="shared" si="9"/>
        <v>32641</v>
      </c>
      <c r="L43" s="171">
        <f t="shared" si="9"/>
        <v>21394</v>
      </c>
      <c r="M43" s="171">
        <f t="shared" si="9"/>
        <v>54035</v>
      </c>
      <c r="N43" s="202">
        <f t="shared" ref="N43" si="10">M43/J43</f>
        <v>287.42021276595744</v>
      </c>
      <c r="O43" s="171">
        <f>SUM(O6:O42)</f>
        <v>3264</v>
      </c>
      <c r="P43" s="171">
        <f t="shared" ref="P43:S43" si="11">SUM(P6:P42)</f>
        <v>2723</v>
      </c>
      <c r="Q43" s="171">
        <f t="shared" si="11"/>
        <v>44903</v>
      </c>
      <c r="R43" s="171">
        <f t="shared" si="11"/>
        <v>262360</v>
      </c>
      <c r="S43" s="171">
        <f t="shared" si="11"/>
        <v>307263</v>
      </c>
      <c r="T43" s="202">
        <f>S43/P43</f>
        <v>112.83988248255601</v>
      </c>
      <c r="U43" s="171">
        <f>SUM(U6:U42)</f>
        <v>3849</v>
      </c>
      <c r="V43" s="171">
        <f t="shared" ref="V43:Y43" si="12">SUM(V6:V42)</f>
        <v>3041</v>
      </c>
      <c r="W43" s="171">
        <f t="shared" si="12"/>
        <v>90188</v>
      </c>
      <c r="X43" s="171">
        <f t="shared" si="12"/>
        <v>159789</v>
      </c>
      <c r="Y43" s="171">
        <f t="shared" si="12"/>
        <v>249977</v>
      </c>
      <c r="Z43" s="202">
        <f>Y43/V43</f>
        <v>82.202236106543907</v>
      </c>
      <c r="AA43" s="171">
        <f>SUM(AA6:AA42)</f>
        <v>108</v>
      </c>
      <c r="AB43" s="171">
        <f t="shared" ref="AB43" si="13">SUM(AB6:AB42)</f>
        <v>58</v>
      </c>
      <c r="AC43" s="171">
        <f t="shared" ref="AC43" si="14">SUM(AC6:AC42)</f>
        <v>12878</v>
      </c>
      <c r="AD43" s="171">
        <f t="shared" ref="AD43" si="15">SUM(AD6:AD42)</f>
        <v>2824</v>
      </c>
      <c r="AE43" s="171">
        <f>SUM(AE6:AE42)</f>
        <v>15702</v>
      </c>
      <c r="AF43" s="202">
        <f>AE43/AB43</f>
        <v>270.72413793103448</v>
      </c>
      <c r="AG43" s="171">
        <f>SUM(AG6:AG42)</f>
        <v>388</v>
      </c>
      <c r="AH43" s="171">
        <f>SUM(AH6:AH42)</f>
        <v>109</v>
      </c>
      <c r="AI43" s="171">
        <f>SUM(AI6:AI42)</f>
        <v>9339</v>
      </c>
      <c r="AJ43" s="171">
        <f>SUM(AJ6:AJ42)</f>
        <v>5424</v>
      </c>
      <c r="AK43" s="171">
        <f>SUM(AK6:AK42)</f>
        <v>14763</v>
      </c>
      <c r="AL43" s="202">
        <f>AK43/AH43</f>
        <v>135.44036697247705</v>
      </c>
      <c r="AM43" s="171">
        <f>SUM(AM6:AM42)</f>
        <v>44</v>
      </c>
      <c r="AN43" s="171">
        <f>SUM(AN6:AN42)</f>
        <v>29</v>
      </c>
      <c r="AO43" s="171">
        <f>SUM(AO6:AO42)</f>
        <v>9382</v>
      </c>
      <c r="AP43" s="171">
        <f>SUM(AP6:AP42)</f>
        <v>2199</v>
      </c>
      <c r="AQ43" s="171">
        <f>SUM(AQ6:AQ42)</f>
        <v>11581</v>
      </c>
      <c r="AR43" s="202">
        <f>AQ43/AN43</f>
        <v>399.34482758620692</v>
      </c>
      <c r="AS43" s="171">
        <f>SUM(AS6:AS42)</f>
        <v>11779</v>
      </c>
      <c r="AT43" s="171">
        <f t="shared" ref="AT43" si="16">SUM(AT6:AT42)</f>
        <v>9599</v>
      </c>
      <c r="AU43" s="171">
        <f t="shared" ref="AU43" si="17">SUM(AU6:AU42)</f>
        <v>1352668</v>
      </c>
      <c r="AV43" s="171">
        <f t="shared" ref="AV43" si="18">SUM(AV6:AV42)</f>
        <v>721172</v>
      </c>
      <c r="AW43" s="171">
        <f t="shared" ref="AW43" si="19">SUM(AW6:AW42)</f>
        <v>2073840</v>
      </c>
      <c r="AX43" s="202">
        <f>AW43/AT43</f>
        <v>216.04750494843213</v>
      </c>
    </row>
  </sheetData>
  <mergeCells count="39">
    <mergeCell ref="AU3:AW3"/>
    <mergeCell ref="AX3:AX4"/>
    <mergeCell ref="AF3:AF4"/>
    <mergeCell ref="AS3:AT3"/>
    <mergeCell ref="AG3:AH3"/>
    <mergeCell ref="AI3:AK3"/>
    <mergeCell ref="AL3:AL4"/>
    <mergeCell ref="A43:B43"/>
    <mergeCell ref="AS2:AX2"/>
    <mergeCell ref="C3:D3"/>
    <mergeCell ref="E3:G3"/>
    <mergeCell ref="H3:H4"/>
    <mergeCell ref="I3:J3"/>
    <mergeCell ref="K3:M3"/>
    <mergeCell ref="N3:N4"/>
    <mergeCell ref="O3:P3"/>
    <mergeCell ref="Q3:S3"/>
    <mergeCell ref="T3:T4"/>
    <mergeCell ref="A2:A4"/>
    <mergeCell ref="B2:B4"/>
    <mergeCell ref="C2:H2"/>
    <mergeCell ref="AA3:AB3"/>
    <mergeCell ref="AC3:AE3"/>
    <mergeCell ref="AM2:AR2"/>
    <mergeCell ref="AM3:AN3"/>
    <mergeCell ref="AO3:AQ3"/>
    <mergeCell ref="AR3:AR4"/>
    <mergeCell ref="C1:N1"/>
    <mergeCell ref="O1:Z1"/>
    <mergeCell ref="AA1:AL1"/>
    <mergeCell ref="AM1:AX1"/>
    <mergeCell ref="AA2:AF2"/>
    <mergeCell ref="I2:N2"/>
    <mergeCell ref="O2:T2"/>
    <mergeCell ref="U2:Z2"/>
    <mergeCell ref="AG2:AL2"/>
    <mergeCell ref="U3:V3"/>
    <mergeCell ref="W3:Y3"/>
    <mergeCell ref="Z3:Z4"/>
  </mergeCells>
  <pageMargins left="0.5" right="0.5" top="0.5" bottom="0.5" header="0.196850393700787" footer="0.15748031496063"/>
  <pageSetup paperSize="9" scale="69" firstPageNumber="17" orientation="portrait" useFirstPageNumber="1" r:id="rId1"/>
  <headerFooter>
    <oddFooter>&amp;LAISHE 2019-20&amp;CT-9</oddFooter>
  </headerFooter>
  <colBreaks count="3" manualBreakCount="3">
    <brk id="14" max="41" man="1"/>
    <brk id="26" max="41" man="1"/>
    <brk id="38" max="4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tabColor rgb="FF00B050"/>
  </sheetPr>
  <dimension ref="A1:H42"/>
  <sheetViews>
    <sheetView view="pageBreakPreview" topLeftCell="A18" zoomScaleSheetLayoutView="100" workbookViewId="0">
      <selection activeCell="H42" sqref="H42"/>
    </sheetView>
  </sheetViews>
  <sheetFormatPr defaultColWidth="9.140625" defaultRowHeight="15"/>
  <cols>
    <col min="1" max="1" width="5.140625" style="114" customWidth="1"/>
    <col min="2" max="2" width="25.140625" style="114" customWidth="1"/>
    <col min="3" max="5" width="11.7109375" style="114" customWidth="1"/>
    <col min="6" max="8" width="12.140625" style="114" customWidth="1"/>
    <col min="9" max="16384" width="9.140625" style="114"/>
  </cols>
  <sheetData>
    <row r="1" spans="1:8" s="452" customFormat="1" ht="27" customHeight="1">
      <c r="B1" s="728" t="s">
        <v>911</v>
      </c>
      <c r="C1" s="453" t="s">
        <v>912</v>
      </c>
      <c r="F1" s="453"/>
    </row>
    <row r="2" spans="1:8" s="213" customFormat="1" ht="21" customHeight="1">
      <c r="A2" s="813" t="s">
        <v>84</v>
      </c>
      <c r="B2" s="815" t="s">
        <v>713</v>
      </c>
      <c r="C2" s="816" t="s">
        <v>85</v>
      </c>
      <c r="D2" s="817"/>
      <c r="E2" s="818"/>
      <c r="F2" s="816" t="s">
        <v>86</v>
      </c>
      <c r="G2" s="817"/>
      <c r="H2" s="818"/>
    </row>
    <row r="3" spans="1:8" s="214" customFormat="1" ht="21" customHeight="1">
      <c r="A3" s="814"/>
      <c r="B3" s="815"/>
      <c r="C3" s="472" t="s">
        <v>87</v>
      </c>
      <c r="D3" s="472" t="s">
        <v>88</v>
      </c>
      <c r="E3" s="472" t="s">
        <v>12</v>
      </c>
      <c r="F3" s="472" t="s">
        <v>87</v>
      </c>
      <c r="G3" s="472" t="s">
        <v>88</v>
      </c>
      <c r="H3" s="472" t="s">
        <v>12</v>
      </c>
    </row>
    <row r="4" spans="1:8" s="97" customFormat="1" ht="14.25" customHeight="1">
      <c r="A4" s="152">
        <v>1</v>
      </c>
      <c r="B4" s="152">
        <v>2</v>
      </c>
      <c r="C4" s="152">
        <v>3</v>
      </c>
      <c r="D4" s="152">
        <v>4</v>
      </c>
      <c r="E4" s="152">
        <v>5</v>
      </c>
      <c r="F4" s="152">
        <v>6</v>
      </c>
      <c r="G4" s="152">
        <v>7</v>
      </c>
      <c r="H4" s="152">
        <v>8</v>
      </c>
    </row>
    <row r="5" spans="1:8" s="97" customFormat="1" ht="30">
      <c r="A5" s="84">
        <v>1</v>
      </c>
      <c r="B5" s="160" t="s">
        <v>154</v>
      </c>
      <c r="C5" s="155">
        <v>69</v>
      </c>
      <c r="D5" s="155">
        <v>283</v>
      </c>
      <c r="E5" s="155">
        <v>352</v>
      </c>
      <c r="F5" s="155">
        <v>1933</v>
      </c>
      <c r="G5" s="155">
        <v>2757</v>
      </c>
      <c r="H5" s="155">
        <v>4690</v>
      </c>
    </row>
    <row r="6" spans="1:8" s="97" customFormat="1" ht="19.5" customHeight="1">
      <c r="A6" s="84">
        <v>2</v>
      </c>
      <c r="B6" s="156" t="s">
        <v>15</v>
      </c>
      <c r="C6" s="155">
        <v>73624</v>
      </c>
      <c r="D6" s="155">
        <v>68039</v>
      </c>
      <c r="E6" s="155">
        <v>141663</v>
      </c>
      <c r="F6" s="155">
        <v>617882</v>
      </c>
      <c r="G6" s="155">
        <v>561805</v>
      </c>
      <c r="H6" s="155">
        <v>1179687</v>
      </c>
    </row>
    <row r="7" spans="1:8" s="97" customFormat="1" ht="19.5" customHeight="1">
      <c r="A7" s="84">
        <v>3</v>
      </c>
      <c r="B7" s="156" t="s">
        <v>16</v>
      </c>
      <c r="C7" s="155">
        <v>62</v>
      </c>
      <c r="D7" s="155">
        <v>140</v>
      </c>
      <c r="E7" s="155">
        <v>202</v>
      </c>
      <c r="F7" s="155">
        <v>10157</v>
      </c>
      <c r="G7" s="155">
        <v>10435</v>
      </c>
      <c r="H7" s="155">
        <v>20592</v>
      </c>
    </row>
    <row r="8" spans="1:8" s="97" customFormat="1" ht="19.5" customHeight="1">
      <c r="A8" s="84">
        <v>4</v>
      </c>
      <c r="B8" s="156" t="s">
        <v>17</v>
      </c>
      <c r="C8" s="155">
        <v>3582</v>
      </c>
      <c r="D8" s="155">
        <v>5592</v>
      </c>
      <c r="E8" s="155">
        <v>9174</v>
      </c>
      <c r="F8" s="155">
        <v>224775</v>
      </c>
      <c r="G8" s="155">
        <v>249458</v>
      </c>
      <c r="H8" s="155">
        <v>474233</v>
      </c>
    </row>
    <row r="9" spans="1:8" s="97" customFormat="1" ht="19.5" customHeight="1">
      <c r="A9" s="84">
        <v>5</v>
      </c>
      <c r="B9" s="156" t="s">
        <v>18</v>
      </c>
      <c r="C9" s="155">
        <v>21709</v>
      </c>
      <c r="D9" s="155">
        <v>20838</v>
      </c>
      <c r="E9" s="155">
        <v>42547</v>
      </c>
      <c r="F9" s="155">
        <v>773344</v>
      </c>
      <c r="G9" s="155">
        <v>628761</v>
      </c>
      <c r="H9" s="155">
        <v>1402105</v>
      </c>
    </row>
    <row r="10" spans="1:8" s="97" customFormat="1" ht="19.5" customHeight="1">
      <c r="A10" s="84">
        <v>6</v>
      </c>
      <c r="B10" s="156" t="s">
        <v>19</v>
      </c>
      <c r="C10" s="155">
        <v>1429</v>
      </c>
      <c r="D10" s="155">
        <v>4570</v>
      </c>
      <c r="E10" s="155">
        <v>5999</v>
      </c>
      <c r="F10" s="155">
        <v>18984</v>
      </c>
      <c r="G10" s="155">
        <v>24512</v>
      </c>
      <c r="H10" s="155">
        <v>43496</v>
      </c>
    </row>
    <row r="11" spans="1:8" s="97" customFormat="1" ht="19.5" customHeight="1">
      <c r="A11" s="84">
        <v>7</v>
      </c>
      <c r="B11" s="156" t="s">
        <v>20</v>
      </c>
      <c r="C11" s="155">
        <v>17475</v>
      </c>
      <c r="D11" s="155">
        <v>29527</v>
      </c>
      <c r="E11" s="155">
        <v>47002</v>
      </c>
      <c r="F11" s="155">
        <v>155048</v>
      </c>
      <c r="G11" s="155">
        <v>209518</v>
      </c>
      <c r="H11" s="155">
        <v>364566</v>
      </c>
    </row>
    <row r="12" spans="1:8" s="97" customFormat="1" ht="19.5" customHeight="1">
      <c r="A12" s="84">
        <v>8</v>
      </c>
      <c r="B12" s="156" t="s">
        <v>155</v>
      </c>
      <c r="C12" s="155">
        <v>66</v>
      </c>
      <c r="D12" s="155">
        <v>185</v>
      </c>
      <c r="E12" s="155">
        <v>251</v>
      </c>
      <c r="F12" s="155">
        <v>2247</v>
      </c>
      <c r="G12" s="155">
        <v>2822</v>
      </c>
      <c r="H12" s="155">
        <v>5069</v>
      </c>
    </row>
    <row r="13" spans="1:8" s="97" customFormat="1" ht="19.5" customHeight="1">
      <c r="A13" s="84">
        <v>9</v>
      </c>
      <c r="B13" s="156" t="s">
        <v>156</v>
      </c>
      <c r="C13" s="155">
        <v>66</v>
      </c>
      <c r="D13" s="155">
        <v>186</v>
      </c>
      <c r="E13" s="155">
        <v>252</v>
      </c>
      <c r="F13" s="155">
        <v>1035</v>
      </c>
      <c r="G13" s="155">
        <v>1310</v>
      </c>
      <c r="H13" s="155">
        <v>2345</v>
      </c>
    </row>
    <row r="14" spans="1:8" s="97" customFormat="1" ht="19.5" customHeight="1">
      <c r="A14" s="84">
        <v>10</v>
      </c>
      <c r="B14" s="156" t="s">
        <v>23</v>
      </c>
      <c r="C14" s="155">
        <v>5865</v>
      </c>
      <c r="D14" s="155">
        <v>8161</v>
      </c>
      <c r="E14" s="155">
        <v>14026</v>
      </c>
      <c r="F14" s="155">
        <v>128305</v>
      </c>
      <c r="G14" s="155">
        <v>131231</v>
      </c>
      <c r="H14" s="155">
        <v>259536</v>
      </c>
    </row>
    <row r="15" spans="1:8" s="97" customFormat="1" ht="19.5" customHeight="1">
      <c r="A15" s="84">
        <v>11</v>
      </c>
      <c r="B15" s="156" t="s">
        <v>24</v>
      </c>
      <c r="C15" s="155">
        <v>639</v>
      </c>
      <c r="D15" s="155">
        <v>1601</v>
      </c>
      <c r="E15" s="155">
        <v>2240</v>
      </c>
      <c r="F15" s="155">
        <v>14917</v>
      </c>
      <c r="G15" s="155">
        <v>20571</v>
      </c>
      <c r="H15" s="155">
        <v>35488</v>
      </c>
    </row>
    <row r="16" spans="1:8" s="97" customFormat="1" ht="19.5" customHeight="1">
      <c r="A16" s="84">
        <v>12</v>
      </c>
      <c r="B16" s="156" t="s">
        <v>25</v>
      </c>
      <c r="C16" s="155">
        <v>36247</v>
      </c>
      <c r="D16" s="155">
        <v>51915</v>
      </c>
      <c r="E16" s="155">
        <v>88162</v>
      </c>
      <c r="F16" s="155">
        <v>548523</v>
      </c>
      <c r="G16" s="155">
        <v>443575</v>
      </c>
      <c r="H16" s="155">
        <v>992098</v>
      </c>
    </row>
    <row r="17" spans="1:8" s="97" customFormat="1" ht="19.5" customHeight="1">
      <c r="A17" s="84">
        <v>13</v>
      </c>
      <c r="B17" s="156" t="s">
        <v>26</v>
      </c>
      <c r="C17" s="155">
        <v>13731</v>
      </c>
      <c r="D17" s="155">
        <v>33619</v>
      </c>
      <c r="E17" s="155">
        <v>47350</v>
      </c>
      <c r="F17" s="155">
        <v>228093</v>
      </c>
      <c r="G17" s="155">
        <v>305107</v>
      </c>
      <c r="H17" s="155">
        <v>533200</v>
      </c>
    </row>
    <row r="18" spans="1:8" s="97" customFormat="1" ht="19.5" customHeight="1">
      <c r="A18" s="84">
        <v>14</v>
      </c>
      <c r="B18" s="156" t="s">
        <v>27</v>
      </c>
      <c r="C18" s="155">
        <v>2405</v>
      </c>
      <c r="D18" s="155">
        <v>5950</v>
      </c>
      <c r="E18" s="155">
        <v>8355</v>
      </c>
      <c r="F18" s="155">
        <v>70514</v>
      </c>
      <c r="G18" s="155">
        <v>103526</v>
      </c>
      <c r="H18" s="155">
        <v>174040</v>
      </c>
    </row>
    <row r="19" spans="1:8" s="97" customFormat="1" ht="19.5" customHeight="1">
      <c r="A19" s="84">
        <v>15</v>
      </c>
      <c r="B19" s="156" t="s">
        <v>57</v>
      </c>
      <c r="C19" s="155">
        <v>2089</v>
      </c>
      <c r="D19" s="155">
        <v>2299</v>
      </c>
      <c r="E19" s="155">
        <v>4388</v>
      </c>
      <c r="F19" s="155">
        <v>103100</v>
      </c>
      <c r="G19" s="155">
        <v>113765</v>
      </c>
      <c r="H19" s="155">
        <v>216865</v>
      </c>
    </row>
    <row r="20" spans="1:8" s="97" customFormat="1" ht="19.5" customHeight="1">
      <c r="A20" s="84">
        <v>16</v>
      </c>
      <c r="B20" s="156" t="s">
        <v>29</v>
      </c>
      <c r="C20" s="155">
        <v>12746</v>
      </c>
      <c r="D20" s="155">
        <v>23820</v>
      </c>
      <c r="E20" s="155">
        <v>36566</v>
      </c>
      <c r="F20" s="155">
        <v>275455</v>
      </c>
      <c r="G20" s="155">
        <v>296088</v>
      </c>
      <c r="H20" s="155">
        <v>571543</v>
      </c>
    </row>
    <row r="21" spans="1:8" s="97" customFormat="1" ht="19.5" customHeight="1">
      <c r="A21" s="84">
        <v>17</v>
      </c>
      <c r="B21" s="156" t="s">
        <v>30</v>
      </c>
      <c r="C21" s="155">
        <v>49567</v>
      </c>
      <c r="D21" s="155">
        <v>67984</v>
      </c>
      <c r="E21" s="155">
        <v>117551</v>
      </c>
      <c r="F21" s="155">
        <v>732827</v>
      </c>
      <c r="G21" s="155">
        <v>774134</v>
      </c>
      <c r="H21" s="155">
        <v>1506961</v>
      </c>
    </row>
    <row r="22" spans="1:8" s="97" customFormat="1" ht="19.5" customHeight="1">
      <c r="A22" s="84">
        <v>18</v>
      </c>
      <c r="B22" s="156" t="s">
        <v>31</v>
      </c>
      <c r="C22" s="155">
        <v>16291</v>
      </c>
      <c r="D22" s="155">
        <v>58848</v>
      </c>
      <c r="E22" s="155">
        <v>75139</v>
      </c>
      <c r="F22" s="155">
        <v>269037</v>
      </c>
      <c r="G22" s="155">
        <v>395984</v>
      </c>
      <c r="H22" s="155">
        <v>665021</v>
      </c>
    </row>
    <row r="23" spans="1:8" s="97" customFormat="1" ht="19.5" customHeight="1">
      <c r="A23" s="84">
        <v>19</v>
      </c>
      <c r="B23" s="156" t="s">
        <v>761</v>
      </c>
      <c r="C23" s="155">
        <v>0</v>
      </c>
      <c r="D23" s="155">
        <v>0</v>
      </c>
      <c r="E23" s="155">
        <v>0</v>
      </c>
      <c r="F23" s="155">
        <v>721</v>
      </c>
      <c r="G23" s="155">
        <v>1677</v>
      </c>
      <c r="H23" s="155">
        <v>2398</v>
      </c>
    </row>
    <row r="24" spans="1:8" s="97" customFormat="1" ht="19.5" customHeight="1">
      <c r="A24" s="84">
        <v>20</v>
      </c>
      <c r="B24" s="156" t="s">
        <v>32</v>
      </c>
      <c r="C24" s="155">
        <v>0</v>
      </c>
      <c r="D24" s="155">
        <v>0</v>
      </c>
      <c r="E24" s="155">
        <v>0</v>
      </c>
      <c r="F24" s="155">
        <v>0</v>
      </c>
      <c r="G24" s="155">
        <v>0</v>
      </c>
      <c r="H24" s="155">
        <v>0</v>
      </c>
    </row>
    <row r="25" spans="1:8" s="97" customFormat="1" ht="19.5" customHeight="1">
      <c r="A25" s="84">
        <v>21</v>
      </c>
      <c r="B25" s="156" t="s">
        <v>33</v>
      </c>
      <c r="C25" s="155">
        <v>86655</v>
      </c>
      <c r="D25" s="155">
        <v>119478</v>
      </c>
      <c r="E25" s="155">
        <v>206133</v>
      </c>
      <c r="F25" s="155">
        <v>689439</v>
      </c>
      <c r="G25" s="155">
        <v>672246</v>
      </c>
      <c r="H25" s="155">
        <v>1361685</v>
      </c>
    </row>
    <row r="26" spans="1:8" s="97" customFormat="1" ht="19.5" customHeight="1">
      <c r="A26" s="84">
        <v>22</v>
      </c>
      <c r="B26" s="156" t="s">
        <v>34</v>
      </c>
      <c r="C26" s="155">
        <v>116886</v>
      </c>
      <c r="D26" s="155">
        <v>147597</v>
      </c>
      <c r="E26" s="155">
        <v>264483</v>
      </c>
      <c r="F26" s="155">
        <v>1418866</v>
      </c>
      <c r="G26" s="155">
        <v>1277075</v>
      </c>
      <c r="H26" s="155">
        <v>2695941</v>
      </c>
    </row>
    <row r="27" spans="1:8" s="97" customFormat="1" ht="19.5" customHeight="1">
      <c r="A27" s="84">
        <v>23</v>
      </c>
      <c r="B27" s="156" t="s">
        <v>35</v>
      </c>
      <c r="C27" s="155">
        <v>754</v>
      </c>
      <c r="D27" s="155">
        <v>1316</v>
      </c>
      <c r="E27" s="155">
        <v>2070</v>
      </c>
      <c r="F27" s="155">
        <v>50455</v>
      </c>
      <c r="G27" s="155">
        <v>52634</v>
      </c>
      <c r="H27" s="155">
        <v>103089</v>
      </c>
    </row>
    <row r="28" spans="1:8" s="97" customFormat="1" ht="19.5" customHeight="1">
      <c r="A28" s="84">
        <v>24</v>
      </c>
      <c r="B28" s="156" t="s">
        <v>36</v>
      </c>
      <c r="C28" s="155">
        <v>118</v>
      </c>
      <c r="D28" s="155">
        <v>252</v>
      </c>
      <c r="E28" s="155">
        <v>370</v>
      </c>
      <c r="F28" s="155">
        <v>28316</v>
      </c>
      <c r="G28" s="155">
        <v>34301</v>
      </c>
      <c r="H28" s="155">
        <v>62617</v>
      </c>
    </row>
    <row r="29" spans="1:8" s="97" customFormat="1" ht="19.5" customHeight="1">
      <c r="A29" s="84">
        <v>25</v>
      </c>
      <c r="B29" s="156" t="s">
        <v>37</v>
      </c>
      <c r="C29" s="155">
        <v>140</v>
      </c>
      <c r="D29" s="155">
        <v>93</v>
      </c>
      <c r="E29" s="155">
        <v>233</v>
      </c>
      <c r="F29" s="155">
        <v>9913</v>
      </c>
      <c r="G29" s="155">
        <v>8927</v>
      </c>
      <c r="H29" s="155">
        <v>18840</v>
      </c>
    </row>
    <row r="30" spans="1:8" s="97" customFormat="1" ht="19.5" customHeight="1">
      <c r="A30" s="84">
        <v>26</v>
      </c>
      <c r="B30" s="156" t="s">
        <v>38</v>
      </c>
      <c r="C30" s="155">
        <v>271</v>
      </c>
      <c r="D30" s="155">
        <v>407</v>
      </c>
      <c r="E30" s="155">
        <v>678</v>
      </c>
      <c r="F30" s="155">
        <v>14918</v>
      </c>
      <c r="G30" s="155">
        <v>17665</v>
      </c>
      <c r="H30" s="155">
        <v>32583</v>
      </c>
    </row>
    <row r="31" spans="1:8" s="97" customFormat="1" ht="19.5" customHeight="1">
      <c r="A31" s="84">
        <v>27</v>
      </c>
      <c r="B31" s="156" t="s">
        <v>39</v>
      </c>
      <c r="C31" s="155">
        <v>22393</v>
      </c>
      <c r="D31" s="155">
        <v>19433</v>
      </c>
      <c r="E31" s="155">
        <v>41826</v>
      </c>
      <c r="F31" s="155">
        <v>328227</v>
      </c>
      <c r="G31" s="155">
        <v>322453</v>
      </c>
      <c r="H31" s="155">
        <v>650680</v>
      </c>
    </row>
    <row r="32" spans="1:8" s="97" customFormat="1" ht="19.5" customHeight="1">
      <c r="A32" s="84">
        <v>28</v>
      </c>
      <c r="B32" s="156" t="s">
        <v>40</v>
      </c>
      <c r="C32" s="155">
        <v>1255</v>
      </c>
      <c r="D32" s="155">
        <v>2517</v>
      </c>
      <c r="E32" s="155">
        <v>3772</v>
      </c>
      <c r="F32" s="155">
        <v>18500</v>
      </c>
      <c r="G32" s="155">
        <v>23459</v>
      </c>
      <c r="H32" s="155">
        <v>41959</v>
      </c>
    </row>
    <row r="33" spans="1:8" s="97" customFormat="1" ht="19.5" customHeight="1">
      <c r="A33" s="84">
        <v>29</v>
      </c>
      <c r="B33" s="156" t="s">
        <v>41</v>
      </c>
      <c r="C33" s="155">
        <v>16531</v>
      </c>
      <c r="D33" s="155">
        <v>40400</v>
      </c>
      <c r="E33" s="155">
        <v>56931</v>
      </c>
      <c r="F33" s="155">
        <v>208365</v>
      </c>
      <c r="G33" s="155">
        <v>257685</v>
      </c>
      <c r="H33" s="155">
        <v>466050</v>
      </c>
    </row>
    <row r="34" spans="1:8" s="97" customFormat="1" ht="19.5" customHeight="1">
      <c r="A34" s="84">
        <v>30</v>
      </c>
      <c r="B34" s="156" t="s">
        <v>42</v>
      </c>
      <c r="C34" s="155">
        <v>43901</v>
      </c>
      <c r="D34" s="155">
        <v>84897</v>
      </c>
      <c r="E34" s="155">
        <v>128798</v>
      </c>
      <c r="F34" s="155">
        <v>738803</v>
      </c>
      <c r="G34" s="155">
        <v>768007</v>
      </c>
      <c r="H34" s="155">
        <v>1506810</v>
      </c>
    </row>
    <row r="35" spans="1:8" s="97" customFormat="1" ht="19.5" customHeight="1">
      <c r="A35" s="84">
        <v>31</v>
      </c>
      <c r="B35" s="156" t="s">
        <v>43</v>
      </c>
      <c r="C35" s="155">
        <v>133</v>
      </c>
      <c r="D35" s="155">
        <v>122</v>
      </c>
      <c r="E35" s="155">
        <v>255</v>
      </c>
      <c r="F35" s="155">
        <v>4829</v>
      </c>
      <c r="G35" s="155">
        <v>6525</v>
      </c>
      <c r="H35" s="155">
        <v>11354</v>
      </c>
    </row>
    <row r="36" spans="1:8" s="97" customFormat="1" ht="19.5" customHeight="1">
      <c r="A36" s="84">
        <v>32</v>
      </c>
      <c r="B36" s="156" t="s">
        <v>44</v>
      </c>
      <c r="C36" s="155">
        <v>71082</v>
      </c>
      <c r="D36" s="155">
        <v>145539</v>
      </c>
      <c r="E36" s="155">
        <v>216621</v>
      </c>
      <c r="F36" s="155">
        <v>912430</v>
      </c>
      <c r="G36" s="155">
        <v>1099897</v>
      </c>
      <c r="H36" s="155">
        <v>2012327</v>
      </c>
    </row>
    <row r="37" spans="1:8" s="97" customFormat="1" ht="19.5" customHeight="1">
      <c r="A37" s="84">
        <v>33</v>
      </c>
      <c r="B37" s="156" t="s">
        <v>134</v>
      </c>
      <c r="C37" s="155">
        <v>51887</v>
      </c>
      <c r="D37" s="155">
        <v>71935</v>
      </c>
      <c r="E37" s="155">
        <v>123822</v>
      </c>
      <c r="F37" s="155">
        <v>495795</v>
      </c>
      <c r="G37" s="155">
        <v>540726</v>
      </c>
      <c r="H37" s="155">
        <v>1036521</v>
      </c>
    </row>
    <row r="38" spans="1:8" s="97" customFormat="1" ht="19.5" customHeight="1">
      <c r="A38" s="84">
        <v>34</v>
      </c>
      <c r="B38" s="156" t="s">
        <v>45</v>
      </c>
      <c r="C38" s="155">
        <v>129</v>
      </c>
      <c r="D38" s="155">
        <v>161</v>
      </c>
      <c r="E38" s="155">
        <f>C38+D38</f>
        <v>290</v>
      </c>
      <c r="F38" s="155">
        <v>30929</v>
      </c>
      <c r="G38" s="155">
        <v>27724</v>
      </c>
      <c r="H38" s="155">
        <v>58653</v>
      </c>
    </row>
    <row r="39" spans="1:8" s="97" customFormat="1" ht="19.5" customHeight="1">
      <c r="A39" s="84">
        <v>35</v>
      </c>
      <c r="B39" s="156" t="s">
        <v>47</v>
      </c>
      <c r="C39" s="155">
        <v>165281</v>
      </c>
      <c r="D39" s="155">
        <v>272886</v>
      </c>
      <c r="E39" s="155">
        <v>438167</v>
      </c>
      <c r="F39" s="155">
        <v>2407756</v>
      </c>
      <c r="G39" s="155">
        <v>2641746</v>
      </c>
      <c r="H39" s="155">
        <v>5049502</v>
      </c>
    </row>
    <row r="40" spans="1:8" s="97" customFormat="1" ht="19.5" customHeight="1">
      <c r="A40" s="84">
        <v>36</v>
      </c>
      <c r="B40" s="156" t="s">
        <v>46</v>
      </c>
      <c r="C40" s="155">
        <v>12112</v>
      </c>
      <c r="D40" s="155">
        <v>19993</v>
      </c>
      <c r="E40" s="155">
        <v>32105</v>
      </c>
      <c r="F40" s="155">
        <v>98269</v>
      </c>
      <c r="G40" s="155">
        <v>117634</v>
      </c>
      <c r="H40" s="155">
        <v>215903</v>
      </c>
    </row>
    <row r="41" spans="1:8" s="97" customFormat="1" ht="19.5" customHeight="1">
      <c r="A41" s="84">
        <v>37</v>
      </c>
      <c r="B41" s="156" t="s">
        <v>48</v>
      </c>
      <c r="C41" s="155">
        <v>13971</v>
      </c>
      <c r="D41" s="155">
        <v>17747</v>
      </c>
      <c r="E41" s="155">
        <v>31718</v>
      </c>
      <c r="F41" s="155">
        <v>735726</v>
      </c>
      <c r="G41" s="155">
        <v>841367</v>
      </c>
      <c r="H41" s="155">
        <v>1577093</v>
      </c>
    </row>
    <row r="42" spans="1:8" s="212" customFormat="1" ht="24" customHeight="1">
      <c r="A42" s="751" t="s">
        <v>49</v>
      </c>
      <c r="B42" s="751"/>
      <c r="C42" s="211">
        <f>SUM(C5:C41)</f>
        <v>861161</v>
      </c>
      <c r="D42" s="86">
        <f t="shared" ref="D42:H42" si="0">SUM(D5:D41)</f>
        <v>1328330</v>
      </c>
      <c r="E42" s="744">
        <f>SUM(E5:E41)</f>
        <v>2189491</v>
      </c>
      <c r="F42" s="86">
        <f>SUM(F5:F41)</f>
        <v>12368433</v>
      </c>
      <c r="G42" s="86">
        <f t="shared" si="0"/>
        <v>12987107</v>
      </c>
      <c r="H42" s="86">
        <f t="shared" si="0"/>
        <v>25355540</v>
      </c>
    </row>
  </sheetData>
  <mergeCells count="5">
    <mergeCell ref="A2:A3"/>
    <mergeCell ref="B2:B3"/>
    <mergeCell ref="C2:E2"/>
    <mergeCell ref="F2:H2"/>
    <mergeCell ref="A42:B42"/>
  </mergeCells>
  <printOptions horizontalCentered="1"/>
  <pageMargins left="0.51181102362204722" right="0.51181102362204722" top="0.51181102362204722" bottom="0.39370078740157483" header="0.19685039370078741" footer="0.15748031496062992"/>
  <pageSetup paperSize="9" scale="92" firstPageNumber="20" orientation="portrait" useFirstPageNumber="1" r:id="rId1"/>
  <headerFooter>
    <oddFooter>&amp;LAISHE 2019-20&amp;CT-10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tabColor rgb="FF00B050"/>
  </sheetPr>
  <dimension ref="A1:N200"/>
  <sheetViews>
    <sheetView view="pageBreakPreview" topLeftCell="F181" zoomScale="70" zoomScaleSheetLayoutView="70" workbookViewId="0">
      <selection activeCell="O1" sqref="O1:X1048576"/>
    </sheetView>
  </sheetViews>
  <sheetFormatPr defaultColWidth="9.140625" defaultRowHeight="14.25"/>
  <cols>
    <col min="1" max="1" width="7.42578125" style="80" bestFit="1" customWidth="1"/>
    <col min="2" max="2" width="30.7109375" style="226" customWidth="1"/>
    <col min="3" max="14" width="16.85546875" style="80" customWidth="1"/>
    <col min="15" max="16" width="10" style="80" bestFit="1" customWidth="1"/>
    <col min="17" max="17" width="11.140625" style="80" bestFit="1" customWidth="1"/>
    <col min="18" max="16384" width="9.140625" style="80"/>
  </cols>
  <sheetData>
    <row r="1" spans="1:14" s="454" customFormat="1" ht="29.25" customHeight="1">
      <c r="A1" s="820" t="s">
        <v>711</v>
      </c>
      <c r="B1" s="820"/>
      <c r="C1" s="821" t="s">
        <v>854</v>
      </c>
      <c r="D1" s="822"/>
      <c r="E1" s="822"/>
      <c r="F1" s="822"/>
      <c r="G1" s="822"/>
      <c r="H1" s="822"/>
      <c r="I1" s="821" t="str">
        <f>C1</f>
        <v>Programme-wise Enrolment (Based on actual Response)</v>
      </c>
      <c r="J1" s="823"/>
      <c r="K1" s="823"/>
      <c r="L1" s="823"/>
      <c r="M1" s="823"/>
      <c r="N1" s="823"/>
    </row>
    <row r="2" spans="1:14" s="227" customFormat="1" ht="23.25" customHeight="1">
      <c r="A2" s="824" t="s">
        <v>165</v>
      </c>
      <c r="B2" s="826" t="s">
        <v>785</v>
      </c>
      <c r="C2" s="827" t="s">
        <v>843</v>
      </c>
      <c r="D2" s="827"/>
      <c r="E2" s="827"/>
      <c r="F2" s="827" t="s">
        <v>95</v>
      </c>
      <c r="G2" s="827"/>
      <c r="H2" s="827"/>
      <c r="I2" s="827" t="s">
        <v>96</v>
      </c>
      <c r="J2" s="827"/>
      <c r="K2" s="827"/>
      <c r="L2" s="827" t="s">
        <v>97</v>
      </c>
      <c r="M2" s="827"/>
      <c r="N2" s="827"/>
    </row>
    <row r="3" spans="1:14" s="229" customFormat="1" ht="23.25" customHeight="1">
      <c r="A3" s="825"/>
      <c r="B3" s="826"/>
      <c r="C3" s="228" t="s">
        <v>87</v>
      </c>
      <c r="D3" s="228" t="s">
        <v>88</v>
      </c>
      <c r="E3" s="228" t="s">
        <v>12</v>
      </c>
      <c r="F3" s="228" t="s">
        <v>87</v>
      </c>
      <c r="G3" s="228" t="s">
        <v>88</v>
      </c>
      <c r="H3" s="228" t="s">
        <v>12</v>
      </c>
      <c r="I3" s="228" t="s">
        <v>87</v>
      </c>
      <c r="J3" s="228" t="s">
        <v>88</v>
      </c>
      <c r="K3" s="228" t="s">
        <v>12</v>
      </c>
      <c r="L3" s="228" t="s">
        <v>87</v>
      </c>
      <c r="M3" s="228" t="s">
        <v>88</v>
      </c>
      <c r="N3" s="228" t="s">
        <v>12</v>
      </c>
    </row>
    <row r="4" spans="1:14" s="219" customFormat="1" ht="12">
      <c r="A4" s="218">
        <v>1</v>
      </c>
      <c r="B4" s="218">
        <v>2</v>
      </c>
      <c r="C4" s="218">
        <v>3</v>
      </c>
      <c r="D4" s="218">
        <v>4</v>
      </c>
      <c r="E4" s="218">
        <v>5</v>
      </c>
      <c r="F4" s="218">
        <v>6</v>
      </c>
      <c r="G4" s="218">
        <v>7</v>
      </c>
      <c r="H4" s="218">
        <v>8</v>
      </c>
      <c r="I4" s="218">
        <v>9</v>
      </c>
      <c r="J4" s="218">
        <v>10</v>
      </c>
      <c r="K4" s="218">
        <v>11</v>
      </c>
      <c r="L4" s="218">
        <v>12</v>
      </c>
      <c r="M4" s="218">
        <v>13</v>
      </c>
      <c r="N4" s="218">
        <v>14</v>
      </c>
    </row>
    <row r="5" spans="1:14" ht="18" customHeight="1">
      <c r="A5" s="220">
        <v>1</v>
      </c>
      <c r="B5" s="221" t="s">
        <v>179</v>
      </c>
      <c r="C5" s="222">
        <v>109249</v>
      </c>
      <c r="D5" s="222">
        <v>89976</v>
      </c>
      <c r="E5" s="222">
        <v>199225</v>
      </c>
      <c r="F5" s="222">
        <v>11890</v>
      </c>
      <c r="G5" s="222">
        <v>7681</v>
      </c>
      <c r="H5" s="222">
        <v>19571</v>
      </c>
      <c r="I5" s="222">
        <v>4009</v>
      </c>
      <c r="J5" s="222">
        <v>3140</v>
      </c>
      <c r="K5" s="222">
        <v>7149</v>
      </c>
      <c r="L5" s="222">
        <v>27542</v>
      </c>
      <c r="M5" s="222">
        <v>21804</v>
      </c>
      <c r="N5" s="222">
        <v>49346</v>
      </c>
    </row>
    <row r="6" spans="1:14" ht="18" customHeight="1">
      <c r="A6" s="220">
        <v>2</v>
      </c>
      <c r="B6" s="221" t="s">
        <v>183</v>
      </c>
      <c r="C6" s="222">
        <v>634</v>
      </c>
      <c r="D6" s="222">
        <v>306</v>
      </c>
      <c r="E6" s="222">
        <v>940</v>
      </c>
      <c r="F6" s="222">
        <v>59</v>
      </c>
      <c r="G6" s="222">
        <v>63</v>
      </c>
      <c r="H6" s="222">
        <v>122</v>
      </c>
      <c r="I6" s="222">
        <v>6</v>
      </c>
      <c r="J6" s="222">
        <v>2</v>
      </c>
      <c r="K6" s="222">
        <v>8</v>
      </c>
      <c r="L6" s="222">
        <v>100</v>
      </c>
      <c r="M6" s="222">
        <v>94</v>
      </c>
      <c r="N6" s="222">
        <v>194</v>
      </c>
    </row>
    <row r="7" spans="1:14" ht="18" customHeight="1">
      <c r="A7" s="220">
        <v>3</v>
      </c>
      <c r="B7" s="221" t="s">
        <v>181</v>
      </c>
      <c r="C7" s="222">
        <v>621</v>
      </c>
      <c r="D7" s="222">
        <v>272</v>
      </c>
      <c r="E7" s="222">
        <v>893</v>
      </c>
      <c r="F7" s="222">
        <v>0</v>
      </c>
      <c r="G7" s="222">
        <v>3</v>
      </c>
      <c r="H7" s="222">
        <v>3</v>
      </c>
      <c r="I7" s="222">
        <v>1</v>
      </c>
      <c r="J7" s="222">
        <v>0</v>
      </c>
      <c r="K7" s="222">
        <v>1</v>
      </c>
      <c r="L7" s="222">
        <v>54</v>
      </c>
      <c r="M7" s="222">
        <v>8</v>
      </c>
      <c r="N7" s="222">
        <v>62</v>
      </c>
    </row>
    <row r="8" spans="1:14" ht="18" customHeight="1">
      <c r="A8" s="220">
        <v>4</v>
      </c>
      <c r="B8" s="221" t="s">
        <v>182</v>
      </c>
      <c r="C8" s="222">
        <v>460</v>
      </c>
      <c r="D8" s="222">
        <v>118</v>
      </c>
      <c r="E8" s="222">
        <v>578</v>
      </c>
      <c r="F8" s="222">
        <v>11</v>
      </c>
      <c r="G8" s="222">
        <v>1</v>
      </c>
      <c r="H8" s="222">
        <v>12</v>
      </c>
      <c r="I8" s="222">
        <v>1</v>
      </c>
      <c r="J8" s="222">
        <v>0</v>
      </c>
      <c r="K8" s="222">
        <v>1</v>
      </c>
      <c r="L8" s="222">
        <v>43</v>
      </c>
      <c r="M8" s="222">
        <v>7</v>
      </c>
      <c r="N8" s="222">
        <v>50</v>
      </c>
    </row>
    <row r="9" spans="1:14" ht="18" customHeight="1">
      <c r="A9" s="220">
        <v>5</v>
      </c>
      <c r="B9" s="221" t="s">
        <v>180</v>
      </c>
      <c r="C9" s="222">
        <v>240</v>
      </c>
      <c r="D9" s="222">
        <v>209</v>
      </c>
      <c r="E9" s="222">
        <v>449</v>
      </c>
      <c r="F9" s="222">
        <v>29</v>
      </c>
      <c r="G9" s="222">
        <v>23</v>
      </c>
      <c r="H9" s="222">
        <v>52</v>
      </c>
      <c r="I9" s="222">
        <v>4</v>
      </c>
      <c r="J9" s="222">
        <v>4</v>
      </c>
      <c r="K9" s="222">
        <v>8</v>
      </c>
      <c r="L9" s="222">
        <v>96</v>
      </c>
      <c r="M9" s="222">
        <v>65</v>
      </c>
      <c r="N9" s="222">
        <v>161</v>
      </c>
    </row>
    <row r="10" spans="1:14" ht="18" customHeight="1">
      <c r="A10" s="220">
        <v>6</v>
      </c>
      <c r="B10" s="221" t="s">
        <v>187</v>
      </c>
      <c r="C10" s="222">
        <v>128</v>
      </c>
      <c r="D10" s="222">
        <v>125</v>
      </c>
      <c r="E10" s="222">
        <v>253</v>
      </c>
      <c r="F10" s="222">
        <v>25</v>
      </c>
      <c r="G10" s="222">
        <v>26</v>
      </c>
      <c r="H10" s="222">
        <v>51</v>
      </c>
      <c r="I10" s="222">
        <v>1</v>
      </c>
      <c r="J10" s="222">
        <v>1</v>
      </c>
      <c r="K10" s="222">
        <v>2</v>
      </c>
      <c r="L10" s="222">
        <v>37</v>
      </c>
      <c r="M10" s="222">
        <v>31</v>
      </c>
      <c r="N10" s="222">
        <v>68</v>
      </c>
    </row>
    <row r="11" spans="1:14" ht="28.5">
      <c r="A11" s="220">
        <v>7</v>
      </c>
      <c r="B11" s="221" t="s">
        <v>184</v>
      </c>
      <c r="C11" s="222">
        <v>67</v>
      </c>
      <c r="D11" s="222">
        <v>59</v>
      </c>
      <c r="E11" s="222">
        <v>126</v>
      </c>
      <c r="F11" s="222">
        <v>3</v>
      </c>
      <c r="G11" s="222">
        <v>6</v>
      </c>
      <c r="H11" s="222">
        <v>9</v>
      </c>
      <c r="I11" s="222">
        <v>5</v>
      </c>
      <c r="J11" s="222">
        <v>6</v>
      </c>
      <c r="K11" s="222">
        <v>11</v>
      </c>
      <c r="L11" s="222">
        <v>19</v>
      </c>
      <c r="M11" s="222">
        <v>14</v>
      </c>
      <c r="N11" s="222">
        <v>33</v>
      </c>
    </row>
    <row r="12" spans="1:14" ht="17.45" customHeight="1">
      <c r="A12" s="220">
        <v>8</v>
      </c>
      <c r="B12" s="221" t="s">
        <v>185</v>
      </c>
      <c r="C12" s="222">
        <v>40</v>
      </c>
      <c r="D12" s="222">
        <v>35</v>
      </c>
      <c r="E12" s="222">
        <v>75</v>
      </c>
      <c r="F12" s="222">
        <v>4</v>
      </c>
      <c r="G12" s="222">
        <v>5</v>
      </c>
      <c r="H12" s="222">
        <v>9</v>
      </c>
      <c r="I12" s="222">
        <v>2</v>
      </c>
      <c r="J12" s="222">
        <v>0</v>
      </c>
      <c r="K12" s="222">
        <v>2</v>
      </c>
      <c r="L12" s="222">
        <v>4</v>
      </c>
      <c r="M12" s="222">
        <v>2</v>
      </c>
      <c r="N12" s="222">
        <v>6</v>
      </c>
    </row>
    <row r="13" spans="1:14" ht="28.5">
      <c r="A13" s="220">
        <v>9</v>
      </c>
      <c r="B13" s="221" t="s">
        <v>186</v>
      </c>
      <c r="C13" s="222">
        <v>5</v>
      </c>
      <c r="D13" s="222">
        <v>3</v>
      </c>
      <c r="E13" s="222">
        <v>8</v>
      </c>
      <c r="F13" s="222">
        <v>0</v>
      </c>
      <c r="G13" s="222">
        <v>2</v>
      </c>
      <c r="H13" s="222">
        <v>2</v>
      </c>
      <c r="I13" s="222">
        <v>0</v>
      </c>
      <c r="J13" s="222">
        <v>0</v>
      </c>
      <c r="K13" s="222">
        <v>0</v>
      </c>
      <c r="L13" s="222">
        <v>0</v>
      </c>
      <c r="M13" s="222">
        <v>0</v>
      </c>
      <c r="N13" s="222">
        <v>0</v>
      </c>
    </row>
    <row r="14" spans="1:14" ht="17.45" customHeight="1">
      <c r="A14" s="220">
        <v>10</v>
      </c>
      <c r="B14" s="221" t="s">
        <v>762</v>
      </c>
      <c r="C14" s="222">
        <v>0</v>
      </c>
      <c r="D14" s="222">
        <v>3</v>
      </c>
      <c r="E14" s="222">
        <v>3</v>
      </c>
      <c r="F14" s="222"/>
      <c r="G14" s="222"/>
      <c r="H14" s="222"/>
      <c r="I14" s="222"/>
      <c r="J14" s="222"/>
      <c r="K14" s="222"/>
      <c r="L14" s="222"/>
      <c r="M14" s="222"/>
      <c r="N14" s="222"/>
    </row>
    <row r="15" spans="1:14" ht="17.45" customHeight="1">
      <c r="A15" s="220">
        <v>12</v>
      </c>
      <c r="B15" s="221" t="s">
        <v>188</v>
      </c>
      <c r="C15" s="222">
        <v>9043</v>
      </c>
      <c r="D15" s="222">
        <v>14891</v>
      </c>
      <c r="E15" s="222">
        <v>23934</v>
      </c>
      <c r="F15" s="222">
        <v>1522</v>
      </c>
      <c r="G15" s="222">
        <v>2021</v>
      </c>
      <c r="H15" s="222">
        <v>3543</v>
      </c>
      <c r="I15" s="222">
        <v>590</v>
      </c>
      <c r="J15" s="222">
        <v>636</v>
      </c>
      <c r="K15" s="222">
        <v>1226</v>
      </c>
      <c r="L15" s="222">
        <v>2656</v>
      </c>
      <c r="M15" s="222">
        <v>6439</v>
      </c>
      <c r="N15" s="222">
        <v>9095</v>
      </c>
    </row>
    <row r="16" spans="1:14" ht="17.45" customHeight="1">
      <c r="A16" s="220">
        <v>13</v>
      </c>
      <c r="B16" s="221" t="s">
        <v>189</v>
      </c>
      <c r="C16" s="222">
        <v>603337</v>
      </c>
      <c r="D16" s="222">
        <v>998712</v>
      </c>
      <c r="E16" s="222">
        <v>1602049</v>
      </c>
      <c r="F16" s="222">
        <v>101977</v>
      </c>
      <c r="G16" s="222">
        <v>147496</v>
      </c>
      <c r="H16" s="222">
        <v>249473</v>
      </c>
      <c r="I16" s="222">
        <v>53960</v>
      </c>
      <c r="J16" s="222">
        <v>72286</v>
      </c>
      <c r="K16" s="222">
        <v>126246</v>
      </c>
      <c r="L16" s="222">
        <v>197525</v>
      </c>
      <c r="M16" s="222">
        <v>333370</v>
      </c>
      <c r="N16" s="222">
        <v>530895</v>
      </c>
    </row>
    <row r="17" spans="1:14" ht="17.45" customHeight="1">
      <c r="A17" s="220">
        <v>14</v>
      </c>
      <c r="B17" s="221" t="s">
        <v>190</v>
      </c>
      <c r="C17" s="222">
        <v>294081</v>
      </c>
      <c r="D17" s="222">
        <v>490595</v>
      </c>
      <c r="E17" s="222">
        <v>784676</v>
      </c>
      <c r="F17" s="222">
        <v>37047</v>
      </c>
      <c r="G17" s="222">
        <v>53631</v>
      </c>
      <c r="H17" s="222">
        <v>90678</v>
      </c>
      <c r="I17" s="222">
        <v>14791</v>
      </c>
      <c r="J17" s="222">
        <v>19475</v>
      </c>
      <c r="K17" s="222">
        <v>34266</v>
      </c>
      <c r="L17" s="222">
        <v>112771</v>
      </c>
      <c r="M17" s="222">
        <v>202557</v>
      </c>
      <c r="N17" s="222">
        <v>315328</v>
      </c>
    </row>
    <row r="18" spans="1:14" ht="28.5">
      <c r="A18" s="220">
        <v>15</v>
      </c>
      <c r="B18" s="221" t="s">
        <v>191</v>
      </c>
      <c r="C18" s="222">
        <v>350268</v>
      </c>
      <c r="D18" s="222">
        <v>259528</v>
      </c>
      <c r="E18" s="222">
        <v>609796</v>
      </c>
      <c r="F18" s="222">
        <v>35219</v>
      </c>
      <c r="G18" s="222">
        <v>25702</v>
      </c>
      <c r="H18" s="222">
        <v>60921</v>
      </c>
      <c r="I18" s="222">
        <v>6975</v>
      </c>
      <c r="J18" s="222">
        <v>4513</v>
      </c>
      <c r="K18" s="222">
        <v>11488</v>
      </c>
      <c r="L18" s="222">
        <v>116869</v>
      </c>
      <c r="M18" s="222">
        <v>87524</v>
      </c>
      <c r="N18" s="222">
        <v>204393</v>
      </c>
    </row>
    <row r="19" spans="1:14" ht="16.149999999999999" customHeight="1">
      <c r="A19" s="220">
        <v>16</v>
      </c>
      <c r="B19" s="221" t="s">
        <v>192</v>
      </c>
      <c r="C19" s="222">
        <v>174866</v>
      </c>
      <c r="D19" s="222">
        <v>301899</v>
      </c>
      <c r="E19" s="222">
        <v>476765</v>
      </c>
      <c r="F19" s="222">
        <v>19285</v>
      </c>
      <c r="G19" s="222">
        <v>29767</v>
      </c>
      <c r="H19" s="222">
        <v>49052</v>
      </c>
      <c r="I19" s="222">
        <v>7359</v>
      </c>
      <c r="J19" s="222">
        <v>9364</v>
      </c>
      <c r="K19" s="222">
        <v>16723</v>
      </c>
      <c r="L19" s="222">
        <v>58609</v>
      </c>
      <c r="M19" s="222">
        <v>102269</v>
      </c>
      <c r="N19" s="222">
        <v>160878</v>
      </c>
    </row>
    <row r="20" spans="1:14" ht="28.5">
      <c r="A20" s="220">
        <v>17</v>
      </c>
      <c r="B20" s="221" t="s">
        <v>194</v>
      </c>
      <c r="C20" s="222">
        <v>78513</v>
      </c>
      <c r="D20" s="222">
        <v>65005</v>
      </c>
      <c r="E20" s="222">
        <v>143518</v>
      </c>
      <c r="F20" s="222">
        <v>5834</v>
      </c>
      <c r="G20" s="222">
        <v>5132</v>
      </c>
      <c r="H20" s="222">
        <v>10966</v>
      </c>
      <c r="I20" s="222">
        <v>1792</v>
      </c>
      <c r="J20" s="222">
        <v>1073</v>
      </c>
      <c r="K20" s="222">
        <v>2865</v>
      </c>
      <c r="L20" s="222">
        <v>24679</v>
      </c>
      <c r="M20" s="222">
        <v>22333</v>
      </c>
      <c r="N20" s="222">
        <v>47012</v>
      </c>
    </row>
    <row r="21" spans="1:14" ht="19.149999999999999" customHeight="1">
      <c r="A21" s="220">
        <v>18</v>
      </c>
      <c r="B21" s="221" t="s">
        <v>193</v>
      </c>
      <c r="C21" s="222">
        <v>91553</v>
      </c>
      <c r="D21" s="222">
        <v>45498</v>
      </c>
      <c r="E21" s="222">
        <v>137051</v>
      </c>
      <c r="F21" s="222">
        <v>10470</v>
      </c>
      <c r="G21" s="222">
        <v>5450</v>
      </c>
      <c r="H21" s="222">
        <v>15920</v>
      </c>
      <c r="I21" s="222">
        <v>3044</v>
      </c>
      <c r="J21" s="222">
        <v>1250</v>
      </c>
      <c r="K21" s="222">
        <v>4294</v>
      </c>
      <c r="L21" s="222">
        <v>26821</v>
      </c>
      <c r="M21" s="222">
        <v>14106</v>
      </c>
      <c r="N21" s="222">
        <v>40927</v>
      </c>
    </row>
    <row r="22" spans="1:14" ht="19.149999999999999" customHeight="1">
      <c r="A22" s="220">
        <v>19</v>
      </c>
      <c r="B22" s="221" t="s">
        <v>200</v>
      </c>
      <c r="C22" s="222">
        <v>33516</v>
      </c>
      <c r="D22" s="222">
        <v>30136</v>
      </c>
      <c r="E22" s="222">
        <v>63652</v>
      </c>
      <c r="F22" s="222">
        <v>2195</v>
      </c>
      <c r="G22" s="222">
        <v>2337</v>
      </c>
      <c r="H22" s="222">
        <v>4532</v>
      </c>
      <c r="I22" s="222">
        <v>958</v>
      </c>
      <c r="J22" s="222">
        <v>989</v>
      </c>
      <c r="K22" s="222">
        <v>1947</v>
      </c>
      <c r="L22" s="222">
        <v>5194</v>
      </c>
      <c r="M22" s="222">
        <v>6024</v>
      </c>
      <c r="N22" s="222">
        <v>11218</v>
      </c>
    </row>
    <row r="23" spans="1:14" ht="19.149999999999999" customHeight="1">
      <c r="A23" s="220">
        <v>20</v>
      </c>
      <c r="B23" s="221" t="s">
        <v>196</v>
      </c>
      <c r="C23" s="222">
        <v>24480</v>
      </c>
      <c r="D23" s="222">
        <v>28991</v>
      </c>
      <c r="E23" s="222">
        <v>53471</v>
      </c>
      <c r="F23" s="222">
        <v>6175</v>
      </c>
      <c r="G23" s="222">
        <v>5770</v>
      </c>
      <c r="H23" s="222">
        <v>11945</v>
      </c>
      <c r="I23" s="222">
        <v>4125</v>
      </c>
      <c r="J23" s="222">
        <v>4346</v>
      </c>
      <c r="K23" s="222">
        <v>8471</v>
      </c>
      <c r="L23" s="222">
        <v>7253</v>
      </c>
      <c r="M23" s="222">
        <v>8594</v>
      </c>
      <c r="N23" s="222">
        <v>15847</v>
      </c>
    </row>
    <row r="24" spans="1:14" ht="19.149999999999999" customHeight="1">
      <c r="A24" s="220">
        <v>21</v>
      </c>
      <c r="B24" s="221" t="s">
        <v>197</v>
      </c>
      <c r="C24" s="222">
        <v>18015</v>
      </c>
      <c r="D24" s="222">
        <v>32866</v>
      </c>
      <c r="E24" s="222">
        <v>50881</v>
      </c>
      <c r="F24" s="222">
        <v>5263</v>
      </c>
      <c r="G24" s="222">
        <v>6829</v>
      </c>
      <c r="H24" s="222">
        <v>12092</v>
      </c>
      <c r="I24" s="222">
        <v>1304</v>
      </c>
      <c r="J24" s="222">
        <v>2476</v>
      </c>
      <c r="K24" s="222">
        <v>3780</v>
      </c>
      <c r="L24" s="222">
        <v>5146</v>
      </c>
      <c r="M24" s="222">
        <v>8697</v>
      </c>
      <c r="N24" s="222">
        <v>13843</v>
      </c>
    </row>
    <row r="25" spans="1:14" ht="19.149999999999999" customHeight="1">
      <c r="A25" s="220">
        <v>22</v>
      </c>
      <c r="B25" s="221" t="s">
        <v>199</v>
      </c>
      <c r="C25" s="222">
        <v>15801</v>
      </c>
      <c r="D25" s="222">
        <v>19056</v>
      </c>
      <c r="E25" s="222">
        <v>34857</v>
      </c>
      <c r="F25" s="222">
        <v>1953</v>
      </c>
      <c r="G25" s="222">
        <v>2598</v>
      </c>
      <c r="H25" s="222">
        <v>4551</v>
      </c>
      <c r="I25" s="222">
        <v>554</v>
      </c>
      <c r="J25" s="222">
        <v>594</v>
      </c>
      <c r="K25" s="222">
        <v>1148</v>
      </c>
      <c r="L25" s="222">
        <v>5676</v>
      </c>
      <c r="M25" s="222">
        <v>6459</v>
      </c>
      <c r="N25" s="222">
        <v>12135</v>
      </c>
    </row>
    <row r="26" spans="1:14" ht="19.149999999999999" customHeight="1">
      <c r="A26" s="220">
        <v>23</v>
      </c>
      <c r="B26" s="221" t="s">
        <v>195</v>
      </c>
      <c r="C26" s="222">
        <v>20046</v>
      </c>
      <c r="D26" s="222">
        <v>13596</v>
      </c>
      <c r="E26" s="222">
        <v>33642</v>
      </c>
      <c r="F26" s="222">
        <v>2557</v>
      </c>
      <c r="G26" s="222">
        <v>1933</v>
      </c>
      <c r="H26" s="222">
        <v>4490</v>
      </c>
      <c r="I26" s="222">
        <v>569</v>
      </c>
      <c r="J26" s="222">
        <v>252</v>
      </c>
      <c r="K26" s="222">
        <v>821</v>
      </c>
      <c r="L26" s="222">
        <v>7287</v>
      </c>
      <c r="M26" s="222">
        <v>6103</v>
      </c>
      <c r="N26" s="222">
        <v>13390</v>
      </c>
    </row>
    <row r="27" spans="1:14" ht="19.149999999999999" customHeight="1">
      <c r="A27" s="220">
        <v>24</v>
      </c>
      <c r="B27" s="221" t="s">
        <v>210</v>
      </c>
      <c r="C27" s="222">
        <v>11142</v>
      </c>
      <c r="D27" s="222">
        <v>20187</v>
      </c>
      <c r="E27" s="222">
        <v>31329</v>
      </c>
      <c r="F27" s="222">
        <v>959</v>
      </c>
      <c r="G27" s="222">
        <v>1928</v>
      </c>
      <c r="H27" s="222">
        <v>2887</v>
      </c>
      <c r="I27" s="222">
        <v>333</v>
      </c>
      <c r="J27" s="222">
        <v>484</v>
      </c>
      <c r="K27" s="222">
        <v>817</v>
      </c>
      <c r="L27" s="222">
        <v>4597</v>
      </c>
      <c r="M27" s="222">
        <v>8142</v>
      </c>
      <c r="N27" s="222">
        <v>12739</v>
      </c>
    </row>
    <row r="28" spans="1:14" ht="19.149999999999999" customHeight="1">
      <c r="A28" s="220">
        <v>25</v>
      </c>
      <c r="B28" s="221" t="s">
        <v>202</v>
      </c>
      <c r="C28" s="222">
        <v>14473</v>
      </c>
      <c r="D28" s="222">
        <v>11995</v>
      </c>
      <c r="E28" s="222">
        <v>26468</v>
      </c>
      <c r="F28" s="222">
        <v>1983</v>
      </c>
      <c r="G28" s="222">
        <v>1326</v>
      </c>
      <c r="H28" s="222">
        <v>3309</v>
      </c>
      <c r="I28" s="222">
        <v>508</v>
      </c>
      <c r="J28" s="222">
        <v>427</v>
      </c>
      <c r="K28" s="222">
        <v>935</v>
      </c>
      <c r="L28" s="222">
        <v>3609</v>
      </c>
      <c r="M28" s="222">
        <v>2619</v>
      </c>
      <c r="N28" s="222">
        <v>6228</v>
      </c>
    </row>
    <row r="29" spans="1:14" ht="15.75" customHeight="1">
      <c r="A29" s="220">
        <v>26</v>
      </c>
      <c r="B29" s="221" t="s">
        <v>207</v>
      </c>
      <c r="C29" s="222">
        <v>14778</v>
      </c>
      <c r="D29" s="222">
        <v>7674</v>
      </c>
      <c r="E29" s="222">
        <v>22452</v>
      </c>
      <c r="F29" s="222">
        <v>697</v>
      </c>
      <c r="G29" s="222">
        <v>487</v>
      </c>
      <c r="H29" s="222">
        <v>1184</v>
      </c>
      <c r="I29" s="222">
        <v>336</v>
      </c>
      <c r="J29" s="222">
        <v>227</v>
      </c>
      <c r="K29" s="222">
        <v>563</v>
      </c>
      <c r="L29" s="222">
        <v>1801</v>
      </c>
      <c r="M29" s="222">
        <v>1368</v>
      </c>
      <c r="N29" s="222">
        <v>3169</v>
      </c>
    </row>
    <row r="30" spans="1:14" ht="19.149999999999999" customHeight="1">
      <c r="A30" s="220">
        <v>27</v>
      </c>
      <c r="B30" s="221" t="s">
        <v>198</v>
      </c>
      <c r="C30" s="222">
        <v>12108</v>
      </c>
      <c r="D30" s="222">
        <v>8000</v>
      </c>
      <c r="E30" s="222">
        <v>20108</v>
      </c>
      <c r="F30" s="222">
        <v>658</v>
      </c>
      <c r="G30" s="222">
        <v>882</v>
      </c>
      <c r="H30" s="222">
        <v>1540</v>
      </c>
      <c r="I30" s="222">
        <v>391</v>
      </c>
      <c r="J30" s="222">
        <v>461</v>
      </c>
      <c r="K30" s="222">
        <v>852</v>
      </c>
      <c r="L30" s="222">
        <v>2116</v>
      </c>
      <c r="M30" s="222">
        <v>2888</v>
      </c>
      <c r="N30" s="222">
        <v>5004</v>
      </c>
    </row>
    <row r="31" spans="1:14" ht="28.5">
      <c r="A31" s="220">
        <v>28</v>
      </c>
      <c r="B31" s="221" t="s">
        <v>201</v>
      </c>
      <c r="C31" s="222">
        <v>12377</v>
      </c>
      <c r="D31" s="222">
        <v>7630</v>
      </c>
      <c r="E31" s="222">
        <v>20007</v>
      </c>
      <c r="F31" s="222">
        <v>778</v>
      </c>
      <c r="G31" s="222">
        <v>535</v>
      </c>
      <c r="H31" s="222">
        <v>1313</v>
      </c>
      <c r="I31" s="222">
        <v>238</v>
      </c>
      <c r="J31" s="222">
        <v>173</v>
      </c>
      <c r="K31" s="222">
        <v>411</v>
      </c>
      <c r="L31" s="222">
        <v>2407</v>
      </c>
      <c r="M31" s="222">
        <v>1216</v>
      </c>
      <c r="N31" s="222">
        <v>3623</v>
      </c>
    </row>
    <row r="32" spans="1:14" ht="28.5">
      <c r="A32" s="220">
        <v>29</v>
      </c>
      <c r="B32" s="221" t="s">
        <v>203</v>
      </c>
      <c r="C32" s="222">
        <v>5361</v>
      </c>
      <c r="D32" s="222">
        <v>10535</v>
      </c>
      <c r="E32" s="222">
        <v>15896</v>
      </c>
      <c r="F32" s="222">
        <v>360</v>
      </c>
      <c r="G32" s="222">
        <v>607</v>
      </c>
      <c r="H32" s="222">
        <v>967</v>
      </c>
      <c r="I32" s="222">
        <v>104</v>
      </c>
      <c r="J32" s="222">
        <v>185</v>
      </c>
      <c r="K32" s="222">
        <v>289</v>
      </c>
      <c r="L32" s="222">
        <v>1035</v>
      </c>
      <c r="M32" s="222">
        <v>2102</v>
      </c>
      <c r="N32" s="222">
        <v>3137</v>
      </c>
    </row>
    <row r="33" spans="1:14" ht="28.5">
      <c r="A33" s="220">
        <v>30</v>
      </c>
      <c r="B33" s="221" t="s">
        <v>204</v>
      </c>
      <c r="C33" s="222">
        <v>2314</v>
      </c>
      <c r="D33" s="222">
        <v>10915</v>
      </c>
      <c r="E33" s="222">
        <v>13229</v>
      </c>
      <c r="F33" s="222">
        <v>308</v>
      </c>
      <c r="G33" s="222">
        <v>1503</v>
      </c>
      <c r="H33" s="222">
        <v>1811</v>
      </c>
      <c r="I33" s="222">
        <v>111</v>
      </c>
      <c r="J33" s="222">
        <v>552</v>
      </c>
      <c r="K33" s="222">
        <v>663</v>
      </c>
      <c r="L33" s="222">
        <v>664</v>
      </c>
      <c r="M33" s="222">
        <v>2796</v>
      </c>
      <c r="N33" s="222">
        <v>3460</v>
      </c>
    </row>
    <row r="34" spans="1:14" ht="28.5">
      <c r="A34" s="220">
        <v>31</v>
      </c>
      <c r="B34" s="221" t="s">
        <v>206</v>
      </c>
      <c r="C34" s="222">
        <v>6286</v>
      </c>
      <c r="D34" s="222">
        <v>2879</v>
      </c>
      <c r="E34" s="222">
        <v>9165</v>
      </c>
      <c r="F34" s="222">
        <v>1166</v>
      </c>
      <c r="G34" s="222">
        <v>524</v>
      </c>
      <c r="H34" s="222">
        <v>1690</v>
      </c>
      <c r="I34" s="222">
        <v>356</v>
      </c>
      <c r="J34" s="222">
        <v>154</v>
      </c>
      <c r="K34" s="222">
        <v>510</v>
      </c>
      <c r="L34" s="222">
        <v>1908</v>
      </c>
      <c r="M34" s="222">
        <v>822</v>
      </c>
      <c r="N34" s="222">
        <v>2730</v>
      </c>
    </row>
    <row r="35" spans="1:14" ht="19.899999999999999" customHeight="1">
      <c r="A35" s="220">
        <v>32</v>
      </c>
      <c r="B35" s="221" t="s">
        <v>208</v>
      </c>
      <c r="C35" s="222">
        <v>4422</v>
      </c>
      <c r="D35" s="222">
        <v>4168</v>
      </c>
      <c r="E35" s="222">
        <v>8590</v>
      </c>
      <c r="F35" s="222">
        <v>459</v>
      </c>
      <c r="G35" s="222">
        <v>378</v>
      </c>
      <c r="H35" s="222">
        <v>837</v>
      </c>
      <c r="I35" s="222">
        <v>145</v>
      </c>
      <c r="J35" s="222">
        <v>109</v>
      </c>
      <c r="K35" s="222">
        <v>254</v>
      </c>
      <c r="L35" s="222">
        <v>1320</v>
      </c>
      <c r="M35" s="222">
        <v>1489</v>
      </c>
      <c r="N35" s="222">
        <v>2809</v>
      </c>
    </row>
    <row r="36" spans="1:14" ht="19.899999999999999" customHeight="1">
      <c r="A36" s="220">
        <v>33</v>
      </c>
      <c r="B36" s="221" t="s">
        <v>209</v>
      </c>
      <c r="C36" s="222">
        <v>4106</v>
      </c>
      <c r="D36" s="222">
        <v>2605</v>
      </c>
      <c r="E36" s="222">
        <v>6711</v>
      </c>
      <c r="F36" s="222">
        <v>521</v>
      </c>
      <c r="G36" s="222">
        <v>278</v>
      </c>
      <c r="H36" s="222">
        <v>799</v>
      </c>
      <c r="I36" s="222">
        <v>151</v>
      </c>
      <c r="J36" s="222">
        <v>92</v>
      </c>
      <c r="K36" s="222">
        <v>243</v>
      </c>
      <c r="L36" s="222">
        <v>607</v>
      </c>
      <c r="M36" s="222">
        <v>481</v>
      </c>
      <c r="N36" s="222">
        <v>1088</v>
      </c>
    </row>
    <row r="37" spans="1:14" ht="28.5">
      <c r="A37" s="220">
        <v>34</v>
      </c>
      <c r="B37" s="221" t="s">
        <v>211</v>
      </c>
      <c r="C37" s="222">
        <v>3038</v>
      </c>
      <c r="D37" s="222">
        <v>3595</v>
      </c>
      <c r="E37" s="222">
        <v>6633</v>
      </c>
      <c r="F37" s="222">
        <v>581</v>
      </c>
      <c r="G37" s="222">
        <v>510</v>
      </c>
      <c r="H37" s="222">
        <v>1091</v>
      </c>
      <c r="I37" s="222">
        <v>193</v>
      </c>
      <c r="J37" s="222">
        <v>194</v>
      </c>
      <c r="K37" s="222">
        <v>387</v>
      </c>
      <c r="L37" s="222">
        <v>1049</v>
      </c>
      <c r="M37" s="222">
        <v>1090</v>
      </c>
      <c r="N37" s="222">
        <v>2139</v>
      </c>
    </row>
    <row r="38" spans="1:14" ht="21" customHeight="1">
      <c r="A38" s="220">
        <v>35</v>
      </c>
      <c r="B38" s="221" t="s">
        <v>214</v>
      </c>
      <c r="C38" s="222">
        <v>2029</v>
      </c>
      <c r="D38" s="222">
        <v>4319</v>
      </c>
      <c r="E38" s="222">
        <v>6348</v>
      </c>
      <c r="F38" s="222">
        <v>190</v>
      </c>
      <c r="G38" s="222">
        <v>317</v>
      </c>
      <c r="H38" s="222">
        <v>507</v>
      </c>
      <c r="I38" s="222">
        <v>53</v>
      </c>
      <c r="J38" s="222">
        <v>99</v>
      </c>
      <c r="K38" s="222">
        <v>152</v>
      </c>
      <c r="L38" s="222">
        <v>494</v>
      </c>
      <c r="M38" s="222">
        <v>882</v>
      </c>
      <c r="N38" s="222">
        <v>1376</v>
      </c>
    </row>
    <row r="39" spans="1:14" ht="28.5">
      <c r="A39" s="220">
        <v>36</v>
      </c>
      <c r="B39" s="221" t="s">
        <v>215</v>
      </c>
      <c r="C39" s="222">
        <v>2686</v>
      </c>
      <c r="D39" s="222">
        <v>2165</v>
      </c>
      <c r="E39" s="222">
        <v>4851</v>
      </c>
      <c r="F39" s="222">
        <v>417</v>
      </c>
      <c r="G39" s="222">
        <v>199</v>
      </c>
      <c r="H39" s="222">
        <v>616</v>
      </c>
      <c r="I39" s="222">
        <v>105</v>
      </c>
      <c r="J39" s="222">
        <v>61</v>
      </c>
      <c r="K39" s="222">
        <v>166</v>
      </c>
      <c r="L39" s="222">
        <v>571</v>
      </c>
      <c r="M39" s="222">
        <v>343</v>
      </c>
      <c r="N39" s="222">
        <v>914</v>
      </c>
    </row>
    <row r="40" spans="1:14" ht="18" customHeight="1">
      <c r="A40" s="220">
        <v>37</v>
      </c>
      <c r="B40" s="221" t="s">
        <v>212</v>
      </c>
      <c r="C40" s="222">
        <v>2134</v>
      </c>
      <c r="D40" s="222">
        <v>2686</v>
      </c>
      <c r="E40" s="222">
        <v>4820</v>
      </c>
      <c r="F40" s="222">
        <v>435</v>
      </c>
      <c r="G40" s="222">
        <v>300</v>
      </c>
      <c r="H40" s="222">
        <v>735</v>
      </c>
      <c r="I40" s="222">
        <v>105</v>
      </c>
      <c r="J40" s="222">
        <v>66</v>
      </c>
      <c r="K40" s="222">
        <v>171</v>
      </c>
      <c r="L40" s="222">
        <v>645</v>
      </c>
      <c r="M40" s="222">
        <v>638</v>
      </c>
      <c r="N40" s="222">
        <v>1283</v>
      </c>
    </row>
    <row r="41" spans="1:14" ht="28.5">
      <c r="A41" s="220">
        <v>38</v>
      </c>
      <c r="B41" s="221" t="s">
        <v>205</v>
      </c>
      <c r="C41" s="222">
        <v>2258</v>
      </c>
      <c r="D41" s="222">
        <v>2490</v>
      </c>
      <c r="E41" s="222">
        <v>4748</v>
      </c>
      <c r="F41" s="222">
        <v>458</v>
      </c>
      <c r="G41" s="222">
        <v>389</v>
      </c>
      <c r="H41" s="222">
        <v>847</v>
      </c>
      <c r="I41" s="222">
        <v>270</v>
      </c>
      <c r="J41" s="222">
        <v>194</v>
      </c>
      <c r="K41" s="222">
        <v>464</v>
      </c>
      <c r="L41" s="222">
        <v>757</v>
      </c>
      <c r="M41" s="222">
        <v>910</v>
      </c>
      <c r="N41" s="222">
        <v>1667</v>
      </c>
    </row>
    <row r="42" spans="1:14" ht="28.5">
      <c r="A42" s="220">
        <v>39</v>
      </c>
      <c r="B42" s="221" t="s">
        <v>213</v>
      </c>
      <c r="C42" s="222">
        <v>3026</v>
      </c>
      <c r="D42" s="222">
        <v>1629</v>
      </c>
      <c r="E42" s="222">
        <v>4655</v>
      </c>
      <c r="F42" s="222">
        <v>418</v>
      </c>
      <c r="G42" s="222">
        <v>206</v>
      </c>
      <c r="H42" s="222">
        <v>624</v>
      </c>
      <c r="I42" s="222">
        <v>241</v>
      </c>
      <c r="J42" s="222">
        <v>105</v>
      </c>
      <c r="K42" s="222">
        <v>346</v>
      </c>
      <c r="L42" s="222">
        <v>704</v>
      </c>
      <c r="M42" s="222">
        <v>243</v>
      </c>
      <c r="N42" s="222">
        <v>947</v>
      </c>
    </row>
    <row r="43" spans="1:14" ht="42.75">
      <c r="A43" s="220">
        <v>40</v>
      </c>
      <c r="B43" s="221" t="s">
        <v>217</v>
      </c>
      <c r="C43" s="222">
        <v>2868</v>
      </c>
      <c r="D43" s="222">
        <v>1376</v>
      </c>
      <c r="E43" s="222">
        <v>4244</v>
      </c>
      <c r="F43" s="222">
        <v>107</v>
      </c>
      <c r="G43" s="222">
        <v>90</v>
      </c>
      <c r="H43" s="222">
        <v>197</v>
      </c>
      <c r="I43" s="222">
        <v>10</v>
      </c>
      <c r="J43" s="222">
        <v>3</v>
      </c>
      <c r="K43" s="222">
        <v>13</v>
      </c>
      <c r="L43" s="222">
        <v>678</v>
      </c>
      <c r="M43" s="222">
        <v>548</v>
      </c>
      <c r="N43" s="222">
        <v>1226</v>
      </c>
    </row>
    <row r="44" spans="1:14" ht="28.5">
      <c r="A44" s="220">
        <v>41</v>
      </c>
      <c r="B44" s="221" t="s">
        <v>216</v>
      </c>
      <c r="C44" s="222">
        <v>2324</v>
      </c>
      <c r="D44" s="222">
        <v>1628</v>
      </c>
      <c r="E44" s="222">
        <v>3952</v>
      </c>
      <c r="F44" s="222">
        <v>281</v>
      </c>
      <c r="G44" s="222">
        <v>199</v>
      </c>
      <c r="H44" s="222">
        <v>480</v>
      </c>
      <c r="I44" s="222">
        <v>154</v>
      </c>
      <c r="J44" s="222">
        <v>118</v>
      </c>
      <c r="K44" s="222">
        <v>272</v>
      </c>
      <c r="L44" s="222">
        <v>705</v>
      </c>
      <c r="M44" s="222">
        <v>465</v>
      </c>
      <c r="N44" s="222">
        <v>1170</v>
      </c>
    </row>
    <row r="45" spans="1:14" ht="18.600000000000001" customHeight="1">
      <c r="A45" s="220">
        <v>42</v>
      </c>
      <c r="B45" s="221" t="s">
        <v>218</v>
      </c>
      <c r="C45" s="222">
        <v>1382</v>
      </c>
      <c r="D45" s="222">
        <v>1970</v>
      </c>
      <c r="E45" s="222">
        <v>3352</v>
      </c>
      <c r="F45" s="222">
        <v>83</v>
      </c>
      <c r="G45" s="222">
        <v>102</v>
      </c>
      <c r="H45" s="222">
        <v>185</v>
      </c>
      <c r="I45" s="222">
        <v>23</v>
      </c>
      <c r="J45" s="222">
        <v>21</v>
      </c>
      <c r="K45" s="222">
        <v>44</v>
      </c>
      <c r="L45" s="222">
        <v>408</v>
      </c>
      <c r="M45" s="222">
        <v>444</v>
      </c>
      <c r="N45" s="222">
        <v>852</v>
      </c>
    </row>
    <row r="46" spans="1:14" ht="28.5">
      <c r="A46" s="220">
        <v>43</v>
      </c>
      <c r="B46" s="221" t="s">
        <v>222</v>
      </c>
      <c r="C46" s="222">
        <v>1385</v>
      </c>
      <c r="D46" s="222">
        <v>1926</v>
      </c>
      <c r="E46" s="222">
        <v>3311</v>
      </c>
      <c r="F46" s="222">
        <v>94</v>
      </c>
      <c r="G46" s="222">
        <v>109</v>
      </c>
      <c r="H46" s="222">
        <v>203</v>
      </c>
      <c r="I46" s="222">
        <v>22</v>
      </c>
      <c r="J46" s="222">
        <v>31</v>
      </c>
      <c r="K46" s="222">
        <v>53</v>
      </c>
      <c r="L46" s="222">
        <v>225</v>
      </c>
      <c r="M46" s="222">
        <v>339</v>
      </c>
      <c r="N46" s="222">
        <v>564</v>
      </c>
    </row>
    <row r="47" spans="1:14" ht="18" customHeight="1">
      <c r="A47" s="220">
        <v>44</v>
      </c>
      <c r="B47" s="221" t="s">
        <v>225</v>
      </c>
      <c r="C47" s="222">
        <v>1553</v>
      </c>
      <c r="D47" s="222">
        <v>1637</v>
      </c>
      <c r="E47" s="222">
        <v>3190</v>
      </c>
      <c r="F47" s="222">
        <v>183</v>
      </c>
      <c r="G47" s="222">
        <v>135</v>
      </c>
      <c r="H47" s="222">
        <v>318</v>
      </c>
      <c r="I47" s="222">
        <v>56</v>
      </c>
      <c r="J47" s="222">
        <v>61</v>
      </c>
      <c r="K47" s="222">
        <v>117</v>
      </c>
      <c r="L47" s="222">
        <v>394</v>
      </c>
      <c r="M47" s="222">
        <v>248</v>
      </c>
      <c r="N47" s="222">
        <v>642</v>
      </c>
    </row>
    <row r="48" spans="1:14" ht="18" customHeight="1">
      <c r="A48" s="220">
        <v>45</v>
      </c>
      <c r="B48" s="221" t="s">
        <v>224</v>
      </c>
      <c r="C48" s="222">
        <v>1019</v>
      </c>
      <c r="D48" s="222">
        <v>1967</v>
      </c>
      <c r="E48" s="222">
        <v>2986</v>
      </c>
      <c r="F48" s="222">
        <v>101</v>
      </c>
      <c r="G48" s="222">
        <v>203</v>
      </c>
      <c r="H48" s="222">
        <v>304</v>
      </c>
      <c r="I48" s="222">
        <v>46</v>
      </c>
      <c r="J48" s="222">
        <v>83</v>
      </c>
      <c r="K48" s="222">
        <v>129</v>
      </c>
      <c r="L48" s="222">
        <v>266</v>
      </c>
      <c r="M48" s="222">
        <v>582</v>
      </c>
      <c r="N48" s="222">
        <v>848</v>
      </c>
    </row>
    <row r="49" spans="1:14" ht="18" customHeight="1">
      <c r="A49" s="220">
        <v>46</v>
      </c>
      <c r="B49" s="221" t="s">
        <v>239</v>
      </c>
      <c r="C49" s="222">
        <v>1360</v>
      </c>
      <c r="D49" s="222">
        <v>1296</v>
      </c>
      <c r="E49" s="222">
        <v>2656</v>
      </c>
      <c r="F49" s="222">
        <v>76</v>
      </c>
      <c r="G49" s="222">
        <v>87</v>
      </c>
      <c r="H49" s="222">
        <v>163</v>
      </c>
      <c r="I49" s="222">
        <v>23</v>
      </c>
      <c r="J49" s="222">
        <v>42</v>
      </c>
      <c r="K49" s="222">
        <v>65</v>
      </c>
      <c r="L49" s="222">
        <v>186</v>
      </c>
      <c r="M49" s="222">
        <v>270</v>
      </c>
      <c r="N49" s="222">
        <v>456</v>
      </c>
    </row>
    <row r="50" spans="1:14" ht="18" customHeight="1">
      <c r="A50" s="220">
        <v>47</v>
      </c>
      <c r="B50" s="221" t="s">
        <v>221</v>
      </c>
      <c r="C50" s="222">
        <v>1422</v>
      </c>
      <c r="D50" s="222">
        <v>949</v>
      </c>
      <c r="E50" s="222">
        <v>2371</v>
      </c>
      <c r="F50" s="222">
        <v>284</v>
      </c>
      <c r="G50" s="222">
        <v>147</v>
      </c>
      <c r="H50" s="222">
        <v>431</v>
      </c>
      <c r="I50" s="222">
        <v>142</v>
      </c>
      <c r="J50" s="222">
        <v>57</v>
      </c>
      <c r="K50" s="222">
        <v>199</v>
      </c>
      <c r="L50" s="222">
        <v>368</v>
      </c>
      <c r="M50" s="222">
        <v>160</v>
      </c>
      <c r="N50" s="222">
        <v>528</v>
      </c>
    </row>
    <row r="51" spans="1:14" ht="28.5">
      <c r="A51" s="220">
        <v>48</v>
      </c>
      <c r="B51" s="221" t="s">
        <v>219</v>
      </c>
      <c r="C51" s="222">
        <v>816</v>
      </c>
      <c r="D51" s="222">
        <v>1171</v>
      </c>
      <c r="E51" s="222">
        <v>1987</v>
      </c>
      <c r="F51" s="222">
        <v>79</v>
      </c>
      <c r="G51" s="222">
        <v>72</v>
      </c>
      <c r="H51" s="222">
        <v>151</v>
      </c>
      <c r="I51" s="222">
        <v>44</v>
      </c>
      <c r="J51" s="222">
        <v>79</v>
      </c>
      <c r="K51" s="222">
        <v>123</v>
      </c>
      <c r="L51" s="222">
        <v>161</v>
      </c>
      <c r="M51" s="222">
        <v>246</v>
      </c>
      <c r="N51" s="222">
        <v>407</v>
      </c>
    </row>
    <row r="52" spans="1:14" ht="28.5">
      <c r="A52" s="220">
        <v>49</v>
      </c>
      <c r="B52" s="221" t="s">
        <v>220</v>
      </c>
      <c r="C52" s="222">
        <v>868</v>
      </c>
      <c r="D52" s="222">
        <v>1025</v>
      </c>
      <c r="E52" s="222">
        <v>1893</v>
      </c>
      <c r="F52" s="222">
        <v>117</v>
      </c>
      <c r="G52" s="222">
        <v>177</v>
      </c>
      <c r="H52" s="222">
        <v>294</v>
      </c>
      <c r="I52" s="222">
        <v>28</v>
      </c>
      <c r="J52" s="222">
        <v>17</v>
      </c>
      <c r="K52" s="222">
        <v>45</v>
      </c>
      <c r="L52" s="222">
        <v>246</v>
      </c>
      <c r="M52" s="222">
        <v>210</v>
      </c>
      <c r="N52" s="222">
        <v>456</v>
      </c>
    </row>
    <row r="53" spans="1:14" ht="28.5">
      <c r="A53" s="220">
        <v>50</v>
      </c>
      <c r="B53" s="221" t="s">
        <v>223</v>
      </c>
      <c r="C53" s="222">
        <v>1022</v>
      </c>
      <c r="D53" s="222">
        <v>871</v>
      </c>
      <c r="E53" s="222">
        <v>1893</v>
      </c>
      <c r="F53" s="222">
        <v>75</v>
      </c>
      <c r="G53" s="222">
        <v>100</v>
      </c>
      <c r="H53" s="222">
        <v>175</v>
      </c>
      <c r="I53" s="222">
        <v>24</v>
      </c>
      <c r="J53" s="222">
        <v>25</v>
      </c>
      <c r="K53" s="222">
        <v>49</v>
      </c>
      <c r="L53" s="222">
        <v>133</v>
      </c>
      <c r="M53" s="222">
        <v>146</v>
      </c>
      <c r="N53" s="222">
        <v>279</v>
      </c>
    </row>
    <row r="54" spans="1:14" ht="18" customHeight="1">
      <c r="A54" s="220">
        <v>51</v>
      </c>
      <c r="B54" s="221" t="s">
        <v>230</v>
      </c>
      <c r="C54" s="222">
        <v>670</v>
      </c>
      <c r="D54" s="222">
        <v>776</v>
      </c>
      <c r="E54" s="222">
        <v>1446</v>
      </c>
      <c r="F54" s="222">
        <v>77</v>
      </c>
      <c r="G54" s="222">
        <v>51</v>
      </c>
      <c r="H54" s="222">
        <v>128</v>
      </c>
      <c r="I54" s="222">
        <v>16</v>
      </c>
      <c r="J54" s="222">
        <v>19</v>
      </c>
      <c r="K54" s="222">
        <v>35</v>
      </c>
      <c r="L54" s="222">
        <v>178</v>
      </c>
      <c r="M54" s="222">
        <v>163</v>
      </c>
      <c r="N54" s="222">
        <v>341</v>
      </c>
    </row>
    <row r="55" spans="1:14" ht="18" customHeight="1">
      <c r="A55" s="220">
        <v>52</v>
      </c>
      <c r="B55" s="221" t="s">
        <v>226</v>
      </c>
      <c r="C55" s="222">
        <v>471</v>
      </c>
      <c r="D55" s="222">
        <v>730</v>
      </c>
      <c r="E55" s="222">
        <v>1201</v>
      </c>
      <c r="F55" s="222">
        <v>65</v>
      </c>
      <c r="G55" s="222">
        <v>91</v>
      </c>
      <c r="H55" s="222">
        <v>156</v>
      </c>
      <c r="I55" s="222">
        <v>26</v>
      </c>
      <c r="J55" s="222">
        <v>53</v>
      </c>
      <c r="K55" s="222">
        <v>79</v>
      </c>
      <c r="L55" s="222">
        <v>115</v>
      </c>
      <c r="M55" s="222">
        <v>172</v>
      </c>
      <c r="N55" s="222">
        <v>287</v>
      </c>
    </row>
    <row r="56" spans="1:14" ht="18" customHeight="1">
      <c r="A56" s="220">
        <v>53</v>
      </c>
      <c r="B56" s="221" t="s">
        <v>237</v>
      </c>
      <c r="C56" s="222">
        <v>623</v>
      </c>
      <c r="D56" s="222">
        <v>486</v>
      </c>
      <c r="E56" s="222">
        <v>1109</v>
      </c>
      <c r="F56" s="222">
        <v>60</v>
      </c>
      <c r="G56" s="222">
        <v>48</v>
      </c>
      <c r="H56" s="222">
        <v>108</v>
      </c>
      <c r="I56" s="222">
        <v>28</v>
      </c>
      <c r="J56" s="222">
        <v>25</v>
      </c>
      <c r="K56" s="222">
        <v>53</v>
      </c>
      <c r="L56" s="222">
        <v>92</v>
      </c>
      <c r="M56" s="222">
        <v>78</v>
      </c>
      <c r="N56" s="222">
        <v>170</v>
      </c>
    </row>
    <row r="57" spans="1:14" ht="28.5">
      <c r="A57" s="220">
        <v>54</v>
      </c>
      <c r="B57" s="221" t="s">
        <v>229</v>
      </c>
      <c r="C57" s="222">
        <v>576</v>
      </c>
      <c r="D57" s="222">
        <v>514</v>
      </c>
      <c r="E57" s="222">
        <v>1090</v>
      </c>
      <c r="F57" s="222">
        <v>48</v>
      </c>
      <c r="G57" s="222">
        <v>35</v>
      </c>
      <c r="H57" s="222">
        <v>83</v>
      </c>
      <c r="I57" s="222">
        <v>3</v>
      </c>
      <c r="J57" s="222">
        <v>5</v>
      </c>
      <c r="K57" s="222">
        <v>8</v>
      </c>
      <c r="L57" s="222">
        <v>119</v>
      </c>
      <c r="M57" s="222">
        <v>97</v>
      </c>
      <c r="N57" s="222">
        <v>216</v>
      </c>
    </row>
    <row r="58" spans="1:14" ht="28.5">
      <c r="A58" s="220">
        <v>55</v>
      </c>
      <c r="B58" s="221" t="s">
        <v>235</v>
      </c>
      <c r="C58" s="222">
        <v>528</v>
      </c>
      <c r="D58" s="222">
        <v>477</v>
      </c>
      <c r="E58" s="222">
        <v>1005</v>
      </c>
      <c r="F58" s="222">
        <v>120</v>
      </c>
      <c r="G58" s="222">
        <v>45</v>
      </c>
      <c r="H58" s="222">
        <v>165</v>
      </c>
      <c r="I58" s="222">
        <v>10</v>
      </c>
      <c r="J58" s="222">
        <v>16</v>
      </c>
      <c r="K58" s="222">
        <v>26</v>
      </c>
      <c r="L58" s="222">
        <v>152</v>
      </c>
      <c r="M58" s="222">
        <v>132</v>
      </c>
      <c r="N58" s="222">
        <v>284</v>
      </c>
    </row>
    <row r="59" spans="1:14" ht="28.5">
      <c r="A59" s="220">
        <v>56</v>
      </c>
      <c r="B59" s="221" t="s">
        <v>234</v>
      </c>
      <c r="C59" s="222">
        <v>474</v>
      </c>
      <c r="D59" s="222">
        <v>423</v>
      </c>
      <c r="E59" s="222">
        <v>897</v>
      </c>
      <c r="F59" s="222">
        <v>65</v>
      </c>
      <c r="G59" s="222">
        <v>49</v>
      </c>
      <c r="H59" s="222">
        <v>114</v>
      </c>
      <c r="I59" s="222">
        <v>50</v>
      </c>
      <c r="J59" s="222">
        <v>35</v>
      </c>
      <c r="K59" s="222">
        <v>85</v>
      </c>
      <c r="L59" s="222">
        <v>195</v>
      </c>
      <c r="M59" s="222">
        <v>159</v>
      </c>
      <c r="N59" s="222">
        <v>354</v>
      </c>
    </row>
    <row r="60" spans="1:14" ht="28.5">
      <c r="A60" s="220">
        <v>57</v>
      </c>
      <c r="B60" s="221" t="s">
        <v>231</v>
      </c>
      <c r="C60" s="222">
        <v>542</v>
      </c>
      <c r="D60" s="222">
        <v>246</v>
      </c>
      <c r="E60" s="222">
        <v>788</v>
      </c>
      <c r="F60" s="222">
        <v>22</v>
      </c>
      <c r="G60" s="222">
        <v>8</v>
      </c>
      <c r="H60" s="222">
        <v>30</v>
      </c>
      <c r="I60" s="222">
        <v>7</v>
      </c>
      <c r="J60" s="222">
        <v>4</v>
      </c>
      <c r="K60" s="222">
        <v>11</v>
      </c>
      <c r="L60" s="222">
        <v>44</v>
      </c>
      <c r="M60" s="222">
        <v>36</v>
      </c>
      <c r="N60" s="222">
        <v>80</v>
      </c>
    </row>
    <row r="61" spans="1:14" ht="28.5">
      <c r="A61" s="220">
        <v>58</v>
      </c>
      <c r="B61" s="221" t="s">
        <v>233</v>
      </c>
      <c r="C61" s="222">
        <v>538</v>
      </c>
      <c r="D61" s="222">
        <v>239</v>
      </c>
      <c r="E61" s="222">
        <v>777</v>
      </c>
      <c r="F61" s="222">
        <v>71</v>
      </c>
      <c r="G61" s="222">
        <v>44</v>
      </c>
      <c r="H61" s="222">
        <v>115</v>
      </c>
      <c r="I61" s="222">
        <v>26</v>
      </c>
      <c r="J61" s="222">
        <v>26</v>
      </c>
      <c r="K61" s="222">
        <v>52</v>
      </c>
      <c r="L61" s="222">
        <v>148</v>
      </c>
      <c r="M61" s="222">
        <v>60</v>
      </c>
      <c r="N61" s="222">
        <v>208</v>
      </c>
    </row>
    <row r="62" spans="1:14" ht="30.75" customHeight="1">
      <c r="A62" s="220">
        <v>59</v>
      </c>
      <c r="B62" s="221" t="s">
        <v>228</v>
      </c>
      <c r="C62" s="222">
        <v>246</v>
      </c>
      <c r="D62" s="222">
        <v>483</v>
      </c>
      <c r="E62" s="222">
        <v>729</v>
      </c>
      <c r="F62" s="222">
        <v>13</v>
      </c>
      <c r="G62" s="222">
        <v>46</v>
      </c>
      <c r="H62" s="222">
        <v>59</v>
      </c>
      <c r="I62" s="222">
        <v>9</v>
      </c>
      <c r="J62" s="222">
        <v>12</v>
      </c>
      <c r="K62" s="222">
        <v>21</v>
      </c>
      <c r="L62" s="222">
        <v>34</v>
      </c>
      <c r="M62" s="222">
        <v>94</v>
      </c>
      <c r="N62" s="222">
        <v>128</v>
      </c>
    </row>
    <row r="63" spans="1:14" ht="18" customHeight="1">
      <c r="A63" s="220">
        <v>60</v>
      </c>
      <c r="B63" s="221" t="s">
        <v>249</v>
      </c>
      <c r="C63" s="222">
        <v>192</v>
      </c>
      <c r="D63" s="222">
        <v>318</v>
      </c>
      <c r="E63" s="222">
        <v>510</v>
      </c>
      <c r="F63" s="222">
        <v>7</v>
      </c>
      <c r="G63" s="222">
        <v>11</v>
      </c>
      <c r="H63" s="222">
        <v>18</v>
      </c>
      <c r="I63" s="222">
        <v>4</v>
      </c>
      <c r="J63" s="222">
        <v>15</v>
      </c>
      <c r="K63" s="222">
        <v>19</v>
      </c>
      <c r="L63" s="222">
        <v>22</v>
      </c>
      <c r="M63" s="222">
        <v>59</v>
      </c>
      <c r="N63" s="222">
        <v>81</v>
      </c>
    </row>
    <row r="64" spans="1:14" ht="28.5">
      <c r="A64" s="220">
        <v>61</v>
      </c>
      <c r="B64" s="221" t="s">
        <v>253</v>
      </c>
      <c r="C64" s="222">
        <v>326</v>
      </c>
      <c r="D64" s="222">
        <v>179</v>
      </c>
      <c r="E64" s="222">
        <v>505</v>
      </c>
      <c r="F64" s="222">
        <v>34</v>
      </c>
      <c r="G64" s="222">
        <v>14</v>
      </c>
      <c r="H64" s="222">
        <v>48</v>
      </c>
      <c r="I64" s="222">
        <v>10</v>
      </c>
      <c r="J64" s="222">
        <v>4</v>
      </c>
      <c r="K64" s="222">
        <v>14</v>
      </c>
      <c r="L64" s="222">
        <v>84</v>
      </c>
      <c r="M64" s="222">
        <v>26</v>
      </c>
      <c r="N64" s="222">
        <v>110</v>
      </c>
    </row>
    <row r="65" spans="1:14" ht="28.5">
      <c r="A65" s="220">
        <v>62</v>
      </c>
      <c r="B65" s="221" t="s">
        <v>236</v>
      </c>
      <c r="C65" s="222">
        <v>179</v>
      </c>
      <c r="D65" s="222">
        <v>319</v>
      </c>
      <c r="E65" s="222">
        <v>498</v>
      </c>
      <c r="F65" s="222">
        <v>30</v>
      </c>
      <c r="G65" s="222">
        <v>40</v>
      </c>
      <c r="H65" s="222">
        <v>70</v>
      </c>
      <c r="I65" s="222">
        <v>6</v>
      </c>
      <c r="J65" s="222">
        <v>5</v>
      </c>
      <c r="K65" s="222">
        <v>11</v>
      </c>
      <c r="L65" s="222">
        <v>30</v>
      </c>
      <c r="M65" s="222">
        <v>103</v>
      </c>
      <c r="N65" s="222">
        <v>133</v>
      </c>
    </row>
    <row r="66" spans="1:14" ht="42.75">
      <c r="A66" s="220">
        <v>63</v>
      </c>
      <c r="B66" s="221" t="s">
        <v>243</v>
      </c>
      <c r="C66" s="222">
        <v>207</v>
      </c>
      <c r="D66" s="222">
        <v>242</v>
      </c>
      <c r="E66" s="222">
        <v>449</v>
      </c>
      <c r="F66" s="222">
        <v>27</v>
      </c>
      <c r="G66" s="222">
        <v>20</v>
      </c>
      <c r="H66" s="222">
        <v>47</v>
      </c>
      <c r="I66" s="222">
        <v>12</v>
      </c>
      <c r="J66" s="222">
        <v>5</v>
      </c>
      <c r="K66" s="222">
        <v>17</v>
      </c>
      <c r="L66" s="222">
        <v>80</v>
      </c>
      <c r="M66" s="222">
        <v>94</v>
      </c>
      <c r="N66" s="222">
        <v>174</v>
      </c>
    </row>
    <row r="67" spans="1:14" ht="57">
      <c r="A67" s="220">
        <v>64</v>
      </c>
      <c r="B67" s="221" t="s">
        <v>247</v>
      </c>
      <c r="C67" s="222">
        <v>279</v>
      </c>
      <c r="D67" s="222">
        <v>168</v>
      </c>
      <c r="E67" s="222">
        <v>447</v>
      </c>
      <c r="F67" s="222">
        <v>23</v>
      </c>
      <c r="G67" s="222">
        <v>7</v>
      </c>
      <c r="H67" s="222">
        <v>30</v>
      </c>
      <c r="I67" s="222">
        <v>10</v>
      </c>
      <c r="J67" s="222">
        <v>1</v>
      </c>
      <c r="K67" s="222">
        <v>11</v>
      </c>
      <c r="L67" s="222">
        <v>97</v>
      </c>
      <c r="M67" s="222">
        <v>59</v>
      </c>
      <c r="N67" s="222">
        <v>156</v>
      </c>
    </row>
    <row r="68" spans="1:14" ht="33" customHeight="1">
      <c r="A68" s="220">
        <v>65</v>
      </c>
      <c r="B68" s="221" t="s">
        <v>227</v>
      </c>
      <c r="C68" s="222">
        <v>163</v>
      </c>
      <c r="D68" s="222">
        <v>268</v>
      </c>
      <c r="E68" s="222">
        <v>431</v>
      </c>
      <c r="F68" s="222">
        <v>17</v>
      </c>
      <c r="G68" s="222">
        <v>16</v>
      </c>
      <c r="H68" s="222">
        <v>33</v>
      </c>
      <c r="I68" s="222">
        <v>3</v>
      </c>
      <c r="J68" s="222">
        <v>10</v>
      </c>
      <c r="K68" s="222">
        <v>13</v>
      </c>
      <c r="L68" s="222">
        <v>33</v>
      </c>
      <c r="M68" s="222">
        <v>30</v>
      </c>
      <c r="N68" s="222">
        <v>63</v>
      </c>
    </row>
    <row r="69" spans="1:14" ht="19.899999999999999" customHeight="1">
      <c r="A69" s="220">
        <v>66</v>
      </c>
      <c r="B69" s="221" t="s">
        <v>246</v>
      </c>
      <c r="C69" s="222">
        <v>190</v>
      </c>
      <c r="D69" s="222">
        <v>227</v>
      </c>
      <c r="E69" s="222">
        <v>417</v>
      </c>
      <c r="F69" s="222">
        <v>12</v>
      </c>
      <c r="G69" s="222">
        <v>9</v>
      </c>
      <c r="H69" s="222">
        <v>21</v>
      </c>
      <c r="I69" s="222">
        <v>17</v>
      </c>
      <c r="J69" s="222">
        <v>14</v>
      </c>
      <c r="K69" s="222">
        <v>31</v>
      </c>
      <c r="L69" s="222">
        <v>19</v>
      </c>
      <c r="M69" s="222">
        <v>83</v>
      </c>
      <c r="N69" s="222">
        <v>102</v>
      </c>
    </row>
    <row r="70" spans="1:14" ht="42.75">
      <c r="A70" s="220">
        <v>67</v>
      </c>
      <c r="B70" s="221" t="s">
        <v>248</v>
      </c>
      <c r="C70" s="222">
        <v>125</v>
      </c>
      <c r="D70" s="222">
        <v>283</v>
      </c>
      <c r="E70" s="222">
        <v>408</v>
      </c>
      <c r="F70" s="222">
        <v>12</v>
      </c>
      <c r="G70" s="222">
        <v>14</v>
      </c>
      <c r="H70" s="222">
        <v>26</v>
      </c>
      <c r="I70" s="222">
        <v>3</v>
      </c>
      <c r="J70" s="222">
        <v>9</v>
      </c>
      <c r="K70" s="222">
        <v>12</v>
      </c>
      <c r="L70" s="222">
        <v>58</v>
      </c>
      <c r="M70" s="222">
        <v>110</v>
      </c>
      <c r="N70" s="222">
        <v>168</v>
      </c>
    </row>
    <row r="71" spans="1:14" ht="28.5">
      <c r="A71" s="220">
        <v>68</v>
      </c>
      <c r="B71" s="221" t="s">
        <v>250</v>
      </c>
      <c r="C71" s="222">
        <v>119</v>
      </c>
      <c r="D71" s="222">
        <v>243</v>
      </c>
      <c r="E71" s="222">
        <v>362</v>
      </c>
      <c r="F71" s="222">
        <v>6</v>
      </c>
      <c r="G71" s="222">
        <v>22</v>
      </c>
      <c r="H71" s="222">
        <v>28</v>
      </c>
      <c r="I71" s="222">
        <v>2</v>
      </c>
      <c r="J71" s="222">
        <v>14</v>
      </c>
      <c r="K71" s="222">
        <v>16</v>
      </c>
      <c r="L71" s="222">
        <v>19</v>
      </c>
      <c r="M71" s="222">
        <v>54</v>
      </c>
      <c r="N71" s="222">
        <v>73</v>
      </c>
    </row>
    <row r="72" spans="1:14" ht="28.5">
      <c r="A72" s="220">
        <v>69</v>
      </c>
      <c r="B72" s="221" t="s">
        <v>255</v>
      </c>
      <c r="C72" s="222">
        <v>360</v>
      </c>
      <c r="D72" s="222">
        <v>0</v>
      </c>
      <c r="E72" s="222">
        <v>360</v>
      </c>
      <c r="F72" s="222">
        <v>0</v>
      </c>
      <c r="G72" s="222">
        <v>0</v>
      </c>
      <c r="H72" s="222">
        <v>0</v>
      </c>
      <c r="I72" s="222">
        <v>0</v>
      </c>
      <c r="J72" s="222">
        <v>0</v>
      </c>
      <c r="K72" s="222">
        <v>0</v>
      </c>
      <c r="L72" s="222">
        <v>0</v>
      </c>
      <c r="M72" s="222">
        <v>0</v>
      </c>
      <c r="N72" s="222">
        <v>0</v>
      </c>
    </row>
    <row r="73" spans="1:14" ht="18" customHeight="1">
      <c r="A73" s="220">
        <v>70</v>
      </c>
      <c r="B73" s="221" t="s">
        <v>763</v>
      </c>
      <c r="C73" s="222">
        <v>162</v>
      </c>
      <c r="D73" s="222">
        <v>157</v>
      </c>
      <c r="E73" s="222">
        <v>319</v>
      </c>
      <c r="F73" s="222">
        <v>25</v>
      </c>
      <c r="G73" s="222">
        <v>35</v>
      </c>
      <c r="H73" s="222">
        <v>60</v>
      </c>
      <c r="I73" s="222">
        <v>25</v>
      </c>
      <c r="J73" s="222">
        <v>35</v>
      </c>
      <c r="K73" s="222">
        <v>60</v>
      </c>
      <c r="L73" s="222">
        <v>25</v>
      </c>
      <c r="M73" s="222">
        <v>35</v>
      </c>
      <c r="N73" s="222">
        <v>60</v>
      </c>
    </row>
    <row r="74" spans="1:14" ht="42.75">
      <c r="A74" s="220">
        <v>71</v>
      </c>
      <c r="B74" s="221" t="s">
        <v>254</v>
      </c>
      <c r="C74" s="222">
        <v>64</v>
      </c>
      <c r="D74" s="222">
        <v>237</v>
      </c>
      <c r="E74" s="222">
        <v>301</v>
      </c>
      <c r="F74" s="222">
        <v>2</v>
      </c>
      <c r="G74" s="222">
        <v>5</v>
      </c>
      <c r="H74" s="222">
        <v>7</v>
      </c>
      <c r="I74" s="222">
        <v>4</v>
      </c>
      <c r="J74" s="222">
        <v>4</v>
      </c>
      <c r="K74" s="222">
        <v>8</v>
      </c>
      <c r="L74" s="222">
        <v>17</v>
      </c>
      <c r="M74" s="222">
        <v>78</v>
      </c>
      <c r="N74" s="222">
        <v>95</v>
      </c>
    </row>
    <row r="75" spans="1:14" ht="28.5">
      <c r="A75" s="220">
        <v>72</v>
      </c>
      <c r="B75" s="221" t="s">
        <v>241</v>
      </c>
      <c r="C75" s="222">
        <v>54</v>
      </c>
      <c r="D75" s="222">
        <v>237</v>
      </c>
      <c r="E75" s="222">
        <v>291</v>
      </c>
      <c r="F75" s="222">
        <v>9</v>
      </c>
      <c r="G75" s="222">
        <v>31</v>
      </c>
      <c r="H75" s="222">
        <v>40</v>
      </c>
      <c r="I75" s="222">
        <v>1</v>
      </c>
      <c r="J75" s="222">
        <v>7</v>
      </c>
      <c r="K75" s="222">
        <v>8</v>
      </c>
      <c r="L75" s="222">
        <v>12</v>
      </c>
      <c r="M75" s="222">
        <v>45</v>
      </c>
      <c r="N75" s="222">
        <v>57</v>
      </c>
    </row>
    <row r="76" spans="1:14" ht="28.5">
      <c r="A76" s="220">
        <v>73</v>
      </c>
      <c r="B76" s="221" t="s">
        <v>232</v>
      </c>
      <c r="C76" s="222">
        <v>120</v>
      </c>
      <c r="D76" s="222">
        <v>124</v>
      </c>
      <c r="E76" s="222">
        <v>244</v>
      </c>
      <c r="F76" s="222">
        <v>20</v>
      </c>
      <c r="G76" s="222">
        <v>22</v>
      </c>
      <c r="H76" s="222">
        <v>42</v>
      </c>
      <c r="I76" s="222">
        <v>21</v>
      </c>
      <c r="J76" s="222">
        <v>15</v>
      </c>
      <c r="K76" s="222">
        <v>36</v>
      </c>
      <c r="L76" s="222">
        <v>72</v>
      </c>
      <c r="M76" s="222">
        <v>83</v>
      </c>
      <c r="N76" s="222">
        <v>155</v>
      </c>
    </row>
    <row r="77" spans="1:14" ht="42.75">
      <c r="A77" s="220">
        <v>74</v>
      </c>
      <c r="B77" s="221" t="s">
        <v>242</v>
      </c>
      <c r="C77" s="222">
        <v>144</v>
      </c>
      <c r="D77" s="222">
        <v>75</v>
      </c>
      <c r="E77" s="222">
        <v>219</v>
      </c>
      <c r="F77" s="222">
        <v>9</v>
      </c>
      <c r="G77" s="222">
        <v>9</v>
      </c>
      <c r="H77" s="222">
        <v>18</v>
      </c>
      <c r="I77" s="222">
        <v>2</v>
      </c>
      <c r="J77" s="222">
        <v>2</v>
      </c>
      <c r="K77" s="222">
        <v>4</v>
      </c>
      <c r="L77" s="222">
        <v>22</v>
      </c>
      <c r="M77" s="222">
        <v>11</v>
      </c>
      <c r="N77" s="222">
        <v>33</v>
      </c>
    </row>
    <row r="78" spans="1:14" ht="28.5">
      <c r="A78" s="220">
        <v>75</v>
      </c>
      <c r="B78" s="221" t="s">
        <v>257</v>
      </c>
      <c r="C78" s="222">
        <v>58</v>
      </c>
      <c r="D78" s="222">
        <v>146</v>
      </c>
      <c r="E78" s="222">
        <v>204</v>
      </c>
      <c r="F78" s="222">
        <v>9</v>
      </c>
      <c r="G78" s="222">
        <v>25</v>
      </c>
      <c r="H78" s="222">
        <v>34</v>
      </c>
      <c r="I78" s="222">
        <v>3</v>
      </c>
      <c r="J78" s="222">
        <v>4</v>
      </c>
      <c r="K78" s="222">
        <v>7</v>
      </c>
      <c r="L78" s="222">
        <v>13</v>
      </c>
      <c r="M78" s="222">
        <v>51</v>
      </c>
      <c r="N78" s="222">
        <v>64</v>
      </c>
    </row>
    <row r="79" spans="1:14" ht="28.5">
      <c r="A79" s="220">
        <v>76</v>
      </c>
      <c r="B79" s="221" t="s">
        <v>251</v>
      </c>
      <c r="C79" s="222">
        <v>57</v>
      </c>
      <c r="D79" s="222">
        <v>122</v>
      </c>
      <c r="E79" s="222">
        <v>179</v>
      </c>
      <c r="F79" s="222">
        <v>13</v>
      </c>
      <c r="G79" s="222">
        <v>16</v>
      </c>
      <c r="H79" s="222">
        <v>29</v>
      </c>
      <c r="I79" s="222">
        <v>14</v>
      </c>
      <c r="J79" s="222">
        <v>17</v>
      </c>
      <c r="K79" s="222">
        <v>31</v>
      </c>
      <c r="L79" s="222">
        <v>20</v>
      </c>
      <c r="M79" s="222">
        <v>55</v>
      </c>
      <c r="N79" s="222">
        <v>75</v>
      </c>
    </row>
    <row r="80" spans="1:14" ht="28.5">
      <c r="A80" s="220">
        <v>77</v>
      </c>
      <c r="B80" s="221" t="s">
        <v>240</v>
      </c>
      <c r="C80" s="222">
        <v>24</v>
      </c>
      <c r="D80" s="222">
        <v>146</v>
      </c>
      <c r="E80" s="222">
        <v>170</v>
      </c>
      <c r="F80" s="222">
        <v>9</v>
      </c>
      <c r="G80" s="222">
        <v>31</v>
      </c>
      <c r="H80" s="222">
        <v>40</v>
      </c>
      <c r="I80" s="222">
        <v>0</v>
      </c>
      <c r="J80" s="222">
        <v>1</v>
      </c>
      <c r="K80" s="222">
        <v>1</v>
      </c>
      <c r="L80" s="222">
        <v>12</v>
      </c>
      <c r="M80" s="222">
        <v>92</v>
      </c>
      <c r="N80" s="222">
        <v>104</v>
      </c>
    </row>
    <row r="81" spans="1:14" ht="28.5">
      <c r="A81" s="220">
        <v>78</v>
      </c>
      <c r="B81" s="221" t="s">
        <v>244</v>
      </c>
      <c r="C81" s="222">
        <v>111</v>
      </c>
      <c r="D81" s="222">
        <v>59</v>
      </c>
      <c r="E81" s="222">
        <v>170</v>
      </c>
      <c r="F81" s="222">
        <v>16</v>
      </c>
      <c r="G81" s="222">
        <v>7</v>
      </c>
      <c r="H81" s="222">
        <v>23</v>
      </c>
      <c r="I81" s="222">
        <v>5</v>
      </c>
      <c r="J81" s="222">
        <v>1</v>
      </c>
      <c r="K81" s="222">
        <v>6</v>
      </c>
      <c r="L81" s="222">
        <v>35</v>
      </c>
      <c r="M81" s="222">
        <v>21</v>
      </c>
      <c r="N81" s="222">
        <v>56</v>
      </c>
    </row>
    <row r="82" spans="1:14" ht="21" customHeight="1">
      <c r="A82" s="220">
        <v>79</v>
      </c>
      <c r="B82" s="221" t="s">
        <v>245</v>
      </c>
      <c r="C82" s="222">
        <v>31</v>
      </c>
      <c r="D82" s="222">
        <v>126</v>
      </c>
      <c r="E82" s="222">
        <v>157</v>
      </c>
      <c r="F82" s="222">
        <v>1</v>
      </c>
      <c r="G82" s="222">
        <v>12</v>
      </c>
      <c r="H82" s="222">
        <v>13</v>
      </c>
      <c r="I82" s="222">
        <v>2</v>
      </c>
      <c r="J82" s="222">
        <v>13</v>
      </c>
      <c r="K82" s="222">
        <v>15</v>
      </c>
      <c r="L82" s="222">
        <v>3</v>
      </c>
      <c r="M82" s="222">
        <v>24</v>
      </c>
      <c r="N82" s="222">
        <v>27</v>
      </c>
    </row>
    <row r="83" spans="1:14" ht="42.75">
      <c r="A83" s="220">
        <v>80</v>
      </c>
      <c r="B83" s="221" t="s">
        <v>252</v>
      </c>
      <c r="C83" s="222">
        <v>45</v>
      </c>
      <c r="D83" s="222">
        <v>77</v>
      </c>
      <c r="E83" s="222">
        <v>122</v>
      </c>
      <c r="F83" s="222">
        <v>7</v>
      </c>
      <c r="G83" s="222">
        <v>3</v>
      </c>
      <c r="H83" s="222">
        <v>10</v>
      </c>
      <c r="I83" s="222">
        <v>1</v>
      </c>
      <c r="J83" s="222">
        <v>0</v>
      </c>
      <c r="K83" s="222">
        <v>1</v>
      </c>
      <c r="L83" s="222">
        <v>11</v>
      </c>
      <c r="M83" s="222">
        <v>18</v>
      </c>
      <c r="N83" s="222">
        <v>29</v>
      </c>
    </row>
    <row r="84" spans="1:14" ht="42.75">
      <c r="A84" s="220">
        <v>81</v>
      </c>
      <c r="B84" s="221" t="s">
        <v>259</v>
      </c>
      <c r="C84" s="222">
        <v>29</v>
      </c>
      <c r="D84" s="222">
        <v>62</v>
      </c>
      <c r="E84" s="222">
        <v>91</v>
      </c>
      <c r="F84" s="222">
        <v>1</v>
      </c>
      <c r="G84" s="222">
        <v>7</v>
      </c>
      <c r="H84" s="222">
        <v>8</v>
      </c>
      <c r="I84" s="222">
        <v>1</v>
      </c>
      <c r="J84" s="222">
        <v>1</v>
      </c>
      <c r="K84" s="222">
        <v>2</v>
      </c>
      <c r="L84" s="222">
        <v>7</v>
      </c>
      <c r="M84" s="222">
        <v>3</v>
      </c>
      <c r="N84" s="222">
        <v>10</v>
      </c>
    </row>
    <row r="85" spans="1:14" ht="19.899999999999999" customHeight="1">
      <c r="A85" s="220">
        <v>82</v>
      </c>
      <c r="B85" s="221" t="s">
        <v>256</v>
      </c>
      <c r="C85" s="222">
        <v>50</v>
      </c>
      <c r="D85" s="222">
        <v>10</v>
      </c>
      <c r="E85" s="222">
        <v>60</v>
      </c>
      <c r="F85" s="222">
        <v>3</v>
      </c>
      <c r="G85" s="222">
        <v>1</v>
      </c>
      <c r="H85" s="222">
        <v>4</v>
      </c>
      <c r="I85" s="222">
        <v>0</v>
      </c>
      <c r="J85" s="222">
        <v>0</v>
      </c>
      <c r="K85" s="222">
        <v>0</v>
      </c>
      <c r="L85" s="222">
        <v>36</v>
      </c>
      <c r="M85" s="222">
        <v>8</v>
      </c>
      <c r="N85" s="222">
        <v>44</v>
      </c>
    </row>
    <row r="86" spans="1:14" ht="20.25" customHeight="1">
      <c r="A86" s="220">
        <v>83</v>
      </c>
      <c r="B86" s="221" t="s">
        <v>238</v>
      </c>
      <c r="C86" s="222">
        <v>43</v>
      </c>
      <c r="D86" s="222">
        <v>13</v>
      </c>
      <c r="E86" s="222">
        <v>56</v>
      </c>
      <c r="F86" s="222">
        <v>10</v>
      </c>
      <c r="G86" s="222">
        <v>7</v>
      </c>
      <c r="H86" s="222">
        <v>17</v>
      </c>
      <c r="I86" s="222">
        <v>2</v>
      </c>
      <c r="J86" s="222">
        <v>4</v>
      </c>
      <c r="K86" s="222">
        <v>6</v>
      </c>
      <c r="L86" s="222">
        <v>25</v>
      </c>
      <c r="M86" s="222">
        <v>2</v>
      </c>
      <c r="N86" s="222">
        <v>27</v>
      </c>
    </row>
    <row r="87" spans="1:14" ht="42.75">
      <c r="A87" s="220">
        <v>84</v>
      </c>
      <c r="B87" s="221" t="s">
        <v>258</v>
      </c>
      <c r="C87" s="222">
        <v>30</v>
      </c>
      <c r="D87" s="222">
        <v>15</v>
      </c>
      <c r="E87" s="222">
        <v>45</v>
      </c>
      <c r="F87" s="222">
        <v>1</v>
      </c>
      <c r="G87" s="222">
        <v>0</v>
      </c>
      <c r="H87" s="222">
        <v>1</v>
      </c>
      <c r="I87" s="222">
        <v>0</v>
      </c>
      <c r="J87" s="222">
        <v>0</v>
      </c>
      <c r="K87" s="222">
        <v>0</v>
      </c>
      <c r="L87" s="222">
        <v>5</v>
      </c>
      <c r="M87" s="222">
        <v>2</v>
      </c>
      <c r="N87" s="222">
        <v>7</v>
      </c>
    </row>
    <row r="88" spans="1:14" ht="42.75">
      <c r="A88" s="220">
        <v>85</v>
      </c>
      <c r="B88" s="221" t="s">
        <v>260</v>
      </c>
      <c r="C88" s="222">
        <v>14</v>
      </c>
      <c r="D88" s="222">
        <v>29</v>
      </c>
      <c r="E88" s="222">
        <v>43</v>
      </c>
      <c r="F88" s="222">
        <v>3</v>
      </c>
      <c r="G88" s="222">
        <v>1</v>
      </c>
      <c r="H88" s="222">
        <v>4</v>
      </c>
      <c r="I88" s="222">
        <v>0</v>
      </c>
      <c r="J88" s="222">
        <v>0</v>
      </c>
      <c r="K88" s="222">
        <v>0</v>
      </c>
      <c r="L88" s="222">
        <v>3</v>
      </c>
      <c r="M88" s="222">
        <v>11</v>
      </c>
      <c r="N88" s="222">
        <v>14</v>
      </c>
    </row>
    <row r="89" spans="1:14" ht="42.75">
      <c r="A89" s="220">
        <v>86</v>
      </c>
      <c r="B89" s="221" t="s">
        <v>764</v>
      </c>
      <c r="C89" s="222">
        <v>32</v>
      </c>
      <c r="D89" s="222">
        <v>9</v>
      </c>
      <c r="E89" s="222">
        <v>41</v>
      </c>
      <c r="F89" s="222">
        <v>2</v>
      </c>
      <c r="G89" s="222">
        <v>0</v>
      </c>
      <c r="H89" s="222">
        <v>2</v>
      </c>
      <c r="I89" s="222">
        <v>0</v>
      </c>
      <c r="J89" s="222">
        <v>0</v>
      </c>
      <c r="K89" s="222">
        <v>0</v>
      </c>
      <c r="L89" s="222">
        <v>23</v>
      </c>
      <c r="M89" s="222">
        <v>9</v>
      </c>
      <c r="N89" s="222">
        <v>32</v>
      </c>
    </row>
    <row r="90" spans="1:14" ht="33" customHeight="1">
      <c r="A90" s="220">
        <v>87</v>
      </c>
      <c r="B90" s="221" t="s">
        <v>765</v>
      </c>
      <c r="C90" s="222">
        <v>7</v>
      </c>
      <c r="D90" s="222">
        <v>6</v>
      </c>
      <c r="E90" s="222">
        <v>13</v>
      </c>
      <c r="F90" s="222">
        <v>0</v>
      </c>
      <c r="G90" s="222">
        <v>0</v>
      </c>
      <c r="H90" s="222">
        <v>0</v>
      </c>
      <c r="I90" s="222">
        <v>0</v>
      </c>
      <c r="J90" s="222">
        <v>0</v>
      </c>
      <c r="K90" s="222">
        <v>0</v>
      </c>
      <c r="L90" s="222">
        <v>1</v>
      </c>
      <c r="M90" s="222">
        <v>2</v>
      </c>
      <c r="N90" s="222">
        <v>3</v>
      </c>
    </row>
    <row r="91" spans="1:14" ht="18" customHeight="1">
      <c r="A91" s="220">
        <v>88</v>
      </c>
      <c r="B91" s="221" t="s">
        <v>261</v>
      </c>
      <c r="C91" s="222">
        <v>4547708</v>
      </c>
      <c r="D91" s="222">
        <v>5107878</v>
      </c>
      <c r="E91" s="222">
        <v>9655586</v>
      </c>
      <c r="F91" s="222">
        <v>834294</v>
      </c>
      <c r="G91" s="222">
        <v>922187</v>
      </c>
      <c r="H91" s="222">
        <v>1756481</v>
      </c>
      <c r="I91" s="222">
        <v>361766</v>
      </c>
      <c r="J91" s="222">
        <v>374423</v>
      </c>
      <c r="K91" s="222">
        <v>736189</v>
      </c>
      <c r="L91" s="222">
        <v>1654812</v>
      </c>
      <c r="M91" s="222">
        <v>1902454</v>
      </c>
      <c r="N91" s="222">
        <v>3557266</v>
      </c>
    </row>
    <row r="92" spans="1:14" ht="18" customHeight="1">
      <c r="A92" s="220">
        <v>89</v>
      </c>
      <c r="B92" s="221" t="s">
        <v>262</v>
      </c>
      <c r="C92" s="222">
        <v>2246795</v>
      </c>
      <c r="D92" s="222">
        <v>2460074</v>
      </c>
      <c r="E92" s="222">
        <v>4706869</v>
      </c>
      <c r="F92" s="222">
        <v>322148</v>
      </c>
      <c r="G92" s="222">
        <v>339715</v>
      </c>
      <c r="H92" s="222">
        <v>661863</v>
      </c>
      <c r="I92" s="222">
        <v>110076</v>
      </c>
      <c r="J92" s="222">
        <v>115169</v>
      </c>
      <c r="K92" s="222">
        <v>225245</v>
      </c>
      <c r="L92" s="222">
        <v>983797</v>
      </c>
      <c r="M92" s="222">
        <v>1154789</v>
      </c>
      <c r="N92" s="222">
        <v>2138586</v>
      </c>
    </row>
    <row r="93" spans="1:14" ht="18" customHeight="1">
      <c r="A93" s="220">
        <v>90</v>
      </c>
      <c r="B93" s="221" t="s">
        <v>263</v>
      </c>
      <c r="C93" s="222">
        <v>2131992</v>
      </c>
      <c r="D93" s="222">
        <v>2030563</v>
      </c>
      <c r="E93" s="222">
        <v>4162555</v>
      </c>
      <c r="F93" s="222">
        <v>245309</v>
      </c>
      <c r="G93" s="222">
        <v>242901</v>
      </c>
      <c r="H93" s="222">
        <v>488210</v>
      </c>
      <c r="I93" s="222">
        <v>77245</v>
      </c>
      <c r="J93" s="222">
        <v>67839</v>
      </c>
      <c r="K93" s="222">
        <v>145084</v>
      </c>
      <c r="L93" s="222">
        <v>788809</v>
      </c>
      <c r="M93" s="222">
        <v>795355</v>
      </c>
      <c r="N93" s="222">
        <v>1584164</v>
      </c>
    </row>
    <row r="94" spans="1:14" ht="33" customHeight="1">
      <c r="A94" s="220">
        <v>91</v>
      </c>
      <c r="B94" s="221" t="s">
        <v>266</v>
      </c>
      <c r="C94" s="222">
        <v>1536131</v>
      </c>
      <c r="D94" s="222">
        <v>611831</v>
      </c>
      <c r="E94" s="222">
        <v>2147962</v>
      </c>
      <c r="F94" s="222">
        <v>156863</v>
      </c>
      <c r="G94" s="222">
        <v>62328</v>
      </c>
      <c r="H94" s="222">
        <v>219191</v>
      </c>
      <c r="I94" s="222">
        <v>51075</v>
      </c>
      <c r="J94" s="222">
        <v>17560</v>
      </c>
      <c r="K94" s="222">
        <v>68635</v>
      </c>
      <c r="L94" s="222">
        <v>481454</v>
      </c>
      <c r="M94" s="222">
        <v>204473</v>
      </c>
      <c r="N94" s="222">
        <v>685927</v>
      </c>
    </row>
    <row r="95" spans="1:14" ht="33" customHeight="1">
      <c r="A95" s="220">
        <v>92</v>
      </c>
      <c r="B95" s="221" t="s">
        <v>267</v>
      </c>
      <c r="C95" s="222">
        <v>775287</v>
      </c>
      <c r="D95" s="222">
        <v>995233</v>
      </c>
      <c r="E95" s="222">
        <v>1770520</v>
      </c>
      <c r="F95" s="222">
        <v>106395</v>
      </c>
      <c r="G95" s="222">
        <v>121424</v>
      </c>
      <c r="H95" s="222">
        <v>227819</v>
      </c>
      <c r="I95" s="222">
        <v>95681</v>
      </c>
      <c r="J95" s="222">
        <v>114508</v>
      </c>
      <c r="K95" s="222">
        <v>210189</v>
      </c>
      <c r="L95" s="222">
        <v>288757</v>
      </c>
      <c r="M95" s="222">
        <v>330871</v>
      </c>
      <c r="N95" s="222">
        <v>619628</v>
      </c>
    </row>
    <row r="96" spans="1:14" ht="22.5" customHeight="1">
      <c r="A96" s="220">
        <v>93</v>
      </c>
      <c r="B96" s="221" t="s">
        <v>265</v>
      </c>
      <c r="C96" s="222">
        <v>1062394</v>
      </c>
      <c r="D96" s="222">
        <v>433689</v>
      </c>
      <c r="E96" s="222">
        <v>1496083</v>
      </c>
      <c r="F96" s="222">
        <v>118535</v>
      </c>
      <c r="G96" s="222">
        <v>62385</v>
      </c>
      <c r="H96" s="222">
        <v>180920</v>
      </c>
      <c r="I96" s="222">
        <v>25163</v>
      </c>
      <c r="J96" s="222">
        <v>10405</v>
      </c>
      <c r="K96" s="222">
        <v>35568</v>
      </c>
      <c r="L96" s="222">
        <v>457906</v>
      </c>
      <c r="M96" s="222">
        <v>201734</v>
      </c>
      <c r="N96" s="222">
        <v>659640</v>
      </c>
    </row>
    <row r="97" spans="1:14" ht="22.5" customHeight="1">
      <c r="A97" s="220">
        <v>94</v>
      </c>
      <c r="B97" s="221" t="s">
        <v>264</v>
      </c>
      <c r="C97" s="222">
        <v>466653</v>
      </c>
      <c r="D97" s="222">
        <v>904481</v>
      </c>
      <c r="E97" s="222">
        <v>1371134</v>
      </c>
      <c r="F97" s="222">
        <v>102794</v>
      </c>
      <c r="G97" s="222">
        <v>154944</v>
      </c>
      <c r="H97" s="222">
        <v>257738</v>
      </c>
      <c r="I97" s="222">
        <v>36663</v>
      </c>
      <c r="J97" s="222">
        <v>53904</v>
      </c>
      <c r="K97" s="222">
        <v>90567</v>
      </c>
      <c r="L97" s="222">
        <v>157296</v>
      </c>
      <c r="M97" s="222">
        <v>311023</v>
      </c>
      <c r="N97" s="222">
        <v>468319</v>
      </c>
    </row>
    <row r="98" spans="1:14" ht="33" customHeight="1">
      <c r="A98" s="220">
        <v>95</v>
      </c>
      <c r="B98" s="221" t="s">
        <v>268</v>
      </c>
      <c r="C98" s="222">
        <v>350927</v>
      </c>
      <c r="D98" s="222">
        <v>289256</v>
      </c>
      <c r="E98" s="222">
        <v>640183</v>
      </c>
      <c r="F98" s="222">
        <v>41266</v>
      </c>
      <c r="G98" s="222">
        <v>29200</v>
      </c>
      <c r="H98" s="222">
        <v>70466</v>
      </c>
      <c r="I98" s="222">
        <v>22950</v>
      </c>
      <c r="J98" s="222">
        <v>19510</v>
      </c>
      <c r="K98" s="222">
        <v>42460</v>
      </c>
      <c r="L98" s="222">
        <v>131065</v>
      </c>
      <c r="M98" s="222">
        <v>95500</v>
      </c>
      <c r="N98" s="222">
        <v>226565</v>
      </c>
    </row>
    <row r="99" spans="1:14" ht="33" customHeight="1">
      <c r="A99" s="220">
        <v>96</v>
      </c>
      <c r="B99" s="221" t="s">
        <v>270</v>
      </c>
      <c r="C99" s="222">
        <v>356489</v>
      </c>
      <c r="D99" s="222">
        <v>225046</v>
      </c>
      <c r="E99" s="222">
        <v>581535</v>
      </c>
      <c r="F99" s="222">
        <v>30116</v>
      </c>
      <c r="G99" s="222">
        <v>23868</v>
      </c>
      <c r="H99" s="222">
        <v>53984</v>
      </c>
      <c r="I99" s="222">
        <v>6062</v>
      </c>
      <c r="J99" s="222">
        <v>4002</v>
      </c>
      <c r="K99" s="222">
        <v>10064</v>
      </c>
      <c r="L99" s="222">
        <v>117245</v>
      </c>
      <c r="M99" s="222">
        <v>75594</v>
      </c>
      <c r="N99" s="222">
        <v>192839</v>
      </c>
    </row>
    <row r="100" spans="1:14" ht="33" customHeight="1">
      <c r="A100" s="220">
        <v>97</v>
      </c>
      <c r="B100" s="221" t="s">
        <v>269</v>
      </c>
      <c r="C100" s="222">
        <v>320467</v>
      </c>
      <c r="D100" s="222">
        <v>201065</v>
      </c>
      <c r="E100" s="222">
        <v>521532</v>
      </c>
      <c r="F100" s="222">
        <v>37627</v>
      </c>
      <c r="G100" s="222">
        <v>27675</v>
      </c>
      <c r="H100" s="222">
        <v>65302</v>
      </c>
      <c r="I100" s="222">
        <v>8323</v>
      </c>
      <c r="J100" s="222">
        <v>4999</v>
      </c>
      <c r="K100" s="222">
        <v>13322</v>
      </c>
      <c r="L100" s="222">
        <v>116083</v>
      </c>
      <c r="M100" s="222">
        <v>80071</v>
      </c>
      <c r="N100" s="222">
        <v>196154</v>
      </c>
    </row>
    <row r="101" spans="1:14" ht="18.75" customHeight="1">
      <c r="A101" s="220">
        <v>98</v>
      </c>
      <c r="B101" s="221" t="s">
        <v>271</v>
      </c>
      <c r="C101" s="222">
        <v>267589</v>
      </c>
      <c r="D101" s="222">
        <v>130675</v>
      </c>
      <c r="E101" s="222">
        <v>398264</v>
      </c>
      <c r="F101" s="222">
        <v>35894</v>
      </c>
      <c r="G101" s="222">
        <v>16485</v>
      </c>
      <c r="H101" s="222">
        <v>52379</v>
      </c>
      <c r="I101" s="222">
        <v>7943</v>
      </c>
      <c r="J101" s="222">
        <v>4840</v>
      </c>
      <c r="K101" s="222">
        <v>12783</v>
      </c>
      <c r="L101" s="222">
        <v>80530</v>
      </c>
      <c r="M101" s="222">
        <v>33533</v>
      </c>
      <c r="N101" s="222">
        <v>114063</v>
      </c>
    </row>
    <row r="102" spans="1:14" ht="28.5">
      <c r="A102" s="220">
        <v>99</v>
      </c>
      <c r="B102" s="221" t="s">
        <v>274</v>
      </c>
      <c r="C102" s="222">
        <v>170436</v>
      </c>
      <c r="D102" s="222">
        <v>123386</v>
      </c>
      <c r="E102" s="222">
        <v>293822</v>
      </c>
      <c r="F102" s="222">
        <v>16723</v>
      </c>
      <c r="G102" s="222">
        <v>15094</v>
      </c>
      <c r="H102" s="222">
        <v>31817</v>
      </c>
      <c r="I102" s="222">
        <v>4324</v>
      </c>
      <c r="J102" s="222">
        <v>3883</v>
      </c>
      <c r="K102" s="222">
        <v>8207</v>
      </c>
      <c r="L102" s="222">
        <v>65182</v>
      </c>
      <c r="M102" s="222">
        <v>47798</v>
      </c>
      <c r="N102" s="222">
        <v>112980</v>
      </c>
    </row>
    <row r="103" spans="1:14" ht="28.5">
      <c r="A103" s="220">
        <v>100</v>
      </c>
      <c r="B103" s="221" t="s">
        <v>272</v>
      </c>
      <c r="C103" s="222">
        <v>66598</v>
      </c>
      <c r="D103" s="222">
        <v>223567</v>
      </c>
      <c r="E103" s="222">
        <v>290165</v>
      </c>
      <c r="F103" s="222">
        <v>10844</v>
      </c>
      <c r="G103" s="222">
        <v>38583</v>
      </c>
      <c r="H103" s="222">
        <v>49427</v>
      </c>
      <c r="I103" s="222">
        <v>3887</v>
      </c>
      <c r="J103" s="222">
        <v>15852</v>
      </c>
      <c r="K103" s="222">
        <v>19739</v>
      </c>
      <c r="L103" s="222">
        <v>24970</v>
      </c>
      <c r="M103" s="222">
        <v>66802</v>
      </c>
      <c r="N103" s="222">
        <v>91772</v>
      </c>
    </row>
    <row r="104" spans="1:14" ht="28.5">
      <c r="A104" s="220">
        <v>101</v>
      </c>
      <c r="B104" s="221" t="s">
        <v>273</v>
      </c>
      <c r="C104" s="222">
        <v>144448</v>
      </c>
      <c r="D104" s="222">
        <v>143328</v>
      </c>
      <c r="E104" s="222">
        <v>287776</v>
      </c>
      <c r="F104" s="222">
        <v>13897</v>
      </c>
      <c r="G104" s="222">
        <v>12761</v>
      </c>
      <c r="H104" s="222">
        <v>26658</v>
      </c>
      <c r="I104" s="222">
        <v>6483</v>
      </c>
      <c r="J104" s="222">
        <v>6069</v>
      </c>
      <c r="K104" s="222">
        <v>12552</v>
      </c>
      <c r="L104" s="222">
        <v>41936</v>
      </c>
      <c r="M104" s="222">
        <v>39398</v>
      </c>
      <c r="N104" s="222">
        <v>81334</v>
      </c>
    </row>
    <row r="105" spans="1:14" ht="26.25" customHeight="1">
      <c r="A105" s="220">
        <v>102</v>
      </c>
      <c r="B105" s="221" t="s">
        <v>276</v>
      </c>
      <c r="C105" s="222">
        <v>106678</v>
      </c>
      <c r="D105" s="222">
        <v>37828</v>
      </c>
      <c r="E105" s="222">
        <v>144506</v>
      </c>
      <c r="F105" s="222">
        <v>13673</v>
      </c>
      <c r="G105" s="222">
        <v>5138</v>
      </c>
      <c r="H105" s="222">
        <v>18811</v>
      </c>
      <c r="I105" s="222">
        <v>3681</v>
      </c>
      <c r="J105" s="222">
        <v>2561</v>
      </c>
      <c r="K105" s="222">
        <v>6242</v>
      </c>
      <c r="L105" s="222">
        <v>45801</v>
      </c>
      <c r="M105" s="222">
        <v>15066</v>
      </c>
      <c r="N105" s="222">
        <v>60867</v>
      </c>
    </row>
    <row r="106" spans="1:14" ht="28.5">
      <c r="A106" s="220">
        <v>103</v>
      </c>
      <c r="B106" s="221" t="s">
        <v>277</v>
      </c>
      <c r="C106" s="222">
        <v>27405</v>
      </c>
      <c r="D106" s="222">
        <v>72924</v>
      </c>
      <c r="E106" s="222">
        <v>100329</v>
      </c>
      <c r="F106" s="222">
        <v>2798</v>
      </c>
      <c r="G106" s="222">
        <v>6118</v>
      </c>
      <c r="H106" s="222">
        <v>8916</v>
      </c>
      <c r="I106" s="222">
        <v>801</v>
      </c>
      <c r="J106" s="222">
        <v>1689</v>
      </c>
      <c r="K106" s="222">
        <v>2490</v>
      </c>
      <c r="L106" s="222">
        <v>7985</v>
      </c>
      <c r="M106" s="222">
        <v>22917</v>
      </c>
      <c r="N106" s="222">
        <v>30902</v>
      </c>
    </row>
    <row r="107" spans="1:14" ht="28.5">
      <c r="A107" s="220">
        <v>104</v>
      </c>
      <c r="B107" s="221" t="s">
        <v>281</v>
      </c>
      <c r="C107" s="222">
        <v>38213</v>
      </c>
      <c r="D107" s="222">
        <v>42794</v>
      </c>
      <c r="E107" s="222">
        <v>81007</v>
      </c>
      <c r="F107" s="222">
        <v>2198</v>
      </c>
      <c r="G107" s="222">
        <v>1963</v>
      </c>
      <c r="H107" s="222">
        <v>4161</v>
      </c>
      <c r="I107" s="222">
        <v>576</v>
      </c>
      <c r="J107" s="222">
        <v>588</v>
      </c>
      <c r="K107" s="222">
        <v>1164</v>
      </c>
      <c r="L107" s="222">
        <v>12915</v>
      </c>
      <c r="M107" s="222">
        <v>12142</v>
      </c>
      <c r="N107" s="222">
        <v>25057</v>
      </c>
    </row>
    <row r="108" spans="1:14" ht="28.5">
      <c r="A108" s="220">
        <v>105</v>
      </c>
      <c r="B108" s="221" t="s">
        <v>285</v>
      </c>
      <c r="C108" s="222">
        <v>25838</v>
      </c>
      <c r="D108" s="222">
        <v>51812</v>
      </c>
      <c r="E108" s="222">
        <v>77650</v>
      </c>
      <c r="F108" s="222">
        <v>2604</v>
      </c>
      <c r="G108" s="222">
        <v>4603</v>
      </c>
      <c r="H108" s="222">
        <v>7207</v>
      </c>
      <c r="I108" s="222">
        <v>953</v>
      </c>
      <c r="J108" s="222">
        <v>1380</v>
      </c>
      <c r="K108" s="222">
        <v>2333</v>
      </c>
      <c r="L108" s="222">
        <v>7864</v>
      </c>
      <c r="M108" s="222">
        <v>14287</v>
      </c>
      <c r="N108" s="222">
        <v>22151</v>
      </c>
    </row>
    <row r="109" spans="1:14" ht="28.5">
      <c r="A109" s="220">
        <v>106</v>
      </c>
      <c r="B109" s="221" t="s">
        <v>288</v>
      </c>
      <c r="C109" s="222">
        <v>23970</v>
      </c>
      <c r="D109" s="222">
        <v>33186</v>
      </c>
      <c r="E109" s="222">
        <v>57156</v>
      </c>
      <c r="F109" s="222">
        <v>2181</v>
      </c>
      <c r="G109" s="222">
        <v>3108</v>
      </c>
      <c r="H109" s="222">
        <v>5289</v>
      </c>
      <c r="I109" s="222">
        <v>959</v>
      </c>
      <c r="J109" s="222">
        <v>1415</v>
      </c>
      <c r="K109" s="222">
        <v>2374</v>
      </c>
      <c r="L109" s="222">
        <v>8057</v>
      </c>
      <c r="M109" s="222">
        <v>10637</v>
      </c>
      <c r="N109" s="222">
        <v>18694</v>
      </c>
    </row>
    <row r="110" spans="1:14" ht="42.75">
      <c r="A110" s="220">
        <v>107</v>
      </c>
      <c r="B110" s="221" t="s">
        <v>283</v>
      </c>
      <c r="C110" s="222">
        <v>21765</v>
      </c>
      <c r="D110" s="222">
        <v>35290</v>
      </c>
      <c r="E110" s="222">
        <v>57055</v>
      </c>
      <c r="F110" s="222">
        <v>2178</v>
      </c>
      <c r="G110" s="222">
        <v>3317</v>
      </c>
      <c r="H110" s="222">
        <v>5495</v>
      </c>
      <c r="I110" s="222">
        <v>1004</v>
      </c>
      <c r="J110" s="222">
        <v>1487</v>
      </c>
      <c r="K110" s="222">
        <v>2491</v>
      </c>
      <c r="L110" s="222">
        <v>7086</v>
      </c>
      <c r="M110" s="222">
        <v>11296</v>
      </c>
      <c r="N110" s="222">
        <v>18382</v>
      </c>
    </row>
    <row r="111" spans="1:14" ht="19.149999999999999" customHeight="1">
      <c r="A111" s="220">
        <v>108</v>
      </c>
      <c r="B111" s="221" t="s">
        <v>286</v>
      </c>
      <c r="C111" s="222">
        <v>27145</v>
      </c>
      <c r="D111" s="222">
        <v>29809</v>
      </c>
      <c r="E111" s="222">
        <v>56954</v>
      </c>
      <c r="F111" s="222">
        <v>6542</v>
      </c>
      <c r="G111" s="222">
        <v>7281</v>
      </c>
      <c r="H111" s="222">
        <v>13823</v>
      </c>
      <c r="I111" s="222">
        <v>4809</v>
      </c>
      <c r="J111" s="222">
        <v>5588</v>
      </c>
      <c r="K111" s="222">
        <v>10397</v>
      </c>
      <c r="L111" s="222">
        <v>8950</v>
      </c>
      <c r="M111" s="222">
        <v>9201</v>
      </c>
      <c r="N111" s="222">
        <v>18151</v>
      </c>
    </row>
    <row r="112" spans="1:14" ht="27.75" customHeight="1">
      <c r="A112" s="220">
        <v>109</v>
      </c>
      <c r="B112" s="221" t="s">
        <v>275</v>
      </c>
      <c r="C112" s="222">
        <v>33014</v>
      </c>
      <c r="D112" s="222">
        <v>22687</v>
      </c>
      <c r="E112" s="222">
        <v>55701</v>
      </c>
      <c r="F112" s="222">
        <v>2707</v>
      </c>
      <c r="G112" s="222">
        <v>3676</v>
      </c>
      <c r="H112" s="222">
        <v>6383</v>
      </c>
      <c r="I112" s="222">
        <v>1153</v>
      </c>
      <c r="J112" s="222">
        <v>1415</v>
      </c>
      <c r="K112" s="222">
        <v>2568</v>
      </c>
      <c r="L112" s="222">
        <v>7300</v>
      </c>
      <c r="M112" s="222">
        <v>8930</v>
      </c>
      <c r="N112" s="222">
        <v>16230</v>
      </c>
    </row>
    <row r="113" spans="1:14" ht="28.5">
      <c r="A113" s="220">
        <v>110</v>
      </c>
      <c r="B113" s="221" t="s">
        <v>299</v>
      </c>
      <c r="C113" s="222">
        <v>25747</v>
      </c>
      <c r="D113" s="222">
        <v>20235</v>
      </c>
      <c r="E113" s="222">
        <v>45982</v>
      </c>
      <c r="F113" s="222">
        <v>3111</v>
      </c>
      <c r="G113" s="222">
        <v>2561</v>
      </c>
      <c r="H113" s="222">
        <v>5672</v>
      </c>
      <c r="I113" s="222">
        <v>723</v>
      </c>
      <c r="J113" s="222">
        <v>454</v>
      </c>
      <c r="K113" s="222">
        <v>1177</v>
      </c>
      <c r="L113" s="222">
        <v>8777</v>
      </c>
      <c r="M113" s="222">
        <v>6631</v>
      </c>
      <c r="N113" s="222">
        <v>15408</v>
      </c>
    </row>
    <row r="114" spans="1:14" ht="28.5">
      <c r="A114" s="220">
        <v>111</v>
      </c>
      <c r="B114" s="221" t="s">
        <v>284</v>
      </c>
      <c r="C114" s="222">
        <v>24381</v>
      </c>
      <c r="D114" s="222">
        <v>19102</v>
      </c>
      <c r="E114" s="222">
        <v>43483</v>
      </c>
      <c r="F114" s="222">
        <v>1589</v>
      </c>
      <c r="G114" s="222">
        <v>1473</v>
      </c>
      <c r="H114" s="222">
        <v>3062</v>
      </c>
      <c r="I114" s="222">
        <v>443</v>
      </c>
      <c r="J114" s="222">
        <v>331</v>
      </c>
      <c r="K114" s="222">
        <v>774</v>
      </c>
      <c r="L114" s="222">
        <v>2543</v>
      </c>
      <c r="M114" s="222">
        <v>2184</v>
      </c>
      <c r="N114" s="222">
        <v>4727</v>
      </c>
    </row>
    <row r="115" spans="1:14" ht="28.5">
      <c r="A115" s="220">
        <v>112</v>
      </c>
      <c r="B115" s="221" t="s">
        <v>279</v>
      </c>
      <c r="C115" s="222">
        <v>24310</v>
      </c>
      <c r="D115" s="222">
        <v>11515</v>
      </c>
      <c r="E115" s="222">
        <v>35825</v>
      </c>
      <c r="F115" s="222">
        <v>4583</v>
      </c>
      <c r="G115" s="222">
        <v>2122</v>
      </c>
      <c r="H115" s="222">
        <v>6705</v>
      </c>
      <c r="I115" s="222">
        <v>1430</v>
      </c>
      <c r="J115" s="222">
        <v>694</v>
      </c>
      <c r="K115" s="222">
        <v>2124</v>
      </c>
      <c r="L115" s="222">
        <v>7641</v>
      </c>
      <c r="M115" s="222">
        <v>3609</v>
      </c>
      <c r="N115" s="222">
        <v>11250</v>
      </c>
    </row>
    <row r="116" spans="1:14" ht="27.75" customHeight="1">
      <c r="A116" s="220">
        <v>113</v>
      </c>
      <c r="B116" s="221" t="s">
        <v>278</v>
      </c>
      <c r="C116" s="222">
        <v>16512</v>
      </c>
      <c r="D116" s="222">
        <v>16868</v>
      </c>
      <c r="E116" s="222">
        <v>33380</v>
      </c>
      <c r="F116" s="222">
        <v>2075</v>
      </c>
      <c r="G116" s="222">
        <v>1905</v>
      </c>
      <c r="H116" s="222">
        <v>3980</v>
      </c>
      <c r="I116" s="222">
        <v>1027</v>
      </c>
      <c r="J116" s="222">
        <v>959</v>
      </c>
      <c r="K116" s="222">
        <v>1986</v>
      </c>
      <c r="L116" s="222">
        <v>5978</v>
      </c>
      <c r="M116" s="222">
        <v>5470</v>
      </c>
      <c r="N116" s="222">
        <v>11448</v>
      </c>
    </row>
    <row r="117" spans="1:14">
      <c r="A117" s="220">
        <v>114</v>
      </c>
      <c r="B117" s="221" t="s">
        <v>289</v>
      </c>
      <c r="C117" s="222">
        <v>18797</v>
      </c>
      <c r="D117" s="222">
        <v>14229</v>
      </c>
      <c r="E117" s="222">
        <v>33026</v>
      </c>
      <c r="F117" s="222">
        <v>2051</v>
      </c>
      <c r="G117" s="222">
        <v>1621</v>
      </c>
      <c r="H117" s="222">
        <v>3672</v>
      </c>
      <c r="I117" s="222">
        <v>268</v>
      </c>
      <c r="J117" s="222">
        <v>257</v>
      </c>
      <c r="K117" s="222">
        <v>525</v>
      </c>
      <c r="L117" s="222">
        <v>4648</v>
      </c>
      <c r="M117" s="222">
        <v>3528</v>
      </c>
      <c r="N117" s="222">
        <v>8176</v>
      </c>
    </row>
    <row r="118" spans="1:14" ht="28.5">
      <c r="A118" s="220">
        <v>115</v>
      </c>
      <c r="B118" s="221" t="s">
        <v>293</v>
      </c>
      <c r="C118" s="222">
        <v>25389</v>
      </c>
      <c r="D118" s="222">
        <v>5339</v>
      </c>
      <c r="E118" s="222">
        <v>30728</v>
      </c>
      <c r="F118" s="222">
        <v>2620</v>
      </c>
      <c r="G118" s="222">
        <v>694</v>
      </c>
      <c r="H118" s="222">
        <v>3314</v>
      </c>
      <c r="I118" s="222">
        <v>806</v>
      </c>
      <c r="J118" s="222">
        <v>345</v>
      </c>
      <c r="K118" s="222">
        <v>1151</v>
      </c>
      <c r="L118" s="222">
        <v>5178</v>
      </c>
      <c r="M118" s="222">
        <v>569</v>
      </c>
      <c r="N118" s="222">
        <v>5747</v>
      </c>
    </row>
    <row r="119" spans="1:14" ht="28.5">
      <c r="A119" s="220">
        <v>116</v>
      </c>
      <c r="B119" s="221" t="s">
        <v>280</v>
      </c>
      <c r="C119" s="222">
        <v>17950</v>
      </c>
      <c r="D119" s="222">
        <v>12589</v>
      </c>
      <c r="E119" s="222">
        <v>30539</v>
      </c>
      <c r="F119" s="222">
        <v>1627</v>
      </c>
      <c r="G119" s="222">
        <v>1398</v>
      </c>
      <c r="H119" s="222">
        <v>3025</v>
      </c>
      <c r="I119" s="222">
        <v>531</v>
      </c>
      <c r="J119" s="222">
        <v>366</v>
      </c>
      <c r="K119" s="222">
        <v>897</v>
      </c>
      <c r="L119" s="222">
        <v>7445</v>
      </c>
      <c r="M119" s="222">
        <v>5311</v>
      </c>
      <c r="N119" s="222">
        <v>12756</v>
      </c>
    </row>
    <row r="120" spans="1:14" ht="19.149999999999999" customHeight="1">
      <c r="A120" s="220">
        <v>117</v>
      </c>
      <c r="B120" s="221" t="s">
        <v>296</v>
      </c>
      <c r="C120" s="222">
        <v>8973</v>
      </c>
      <c r="D120" s="222">
        <v>20663</v>
      </c>
      <c r="E120" s="222">
        <v>29636</v>
      </c>
      <c r="F120" s="222">
        <v>750</v>
      </c>
      <c r="G120" s="222">
        <v>1077</v>
      </c>
      <c r="H120" s="222">
        <v>1827</v>
      </c>
      <c r="I120" s="222">
        <v>277</v>
      </c>
      <c r="J120" s="222">
        <v>748</v>
      </c>
      <c r="K120" s="222">
        <v>1025</v>
      </c>
      <c r="L120" s="222">
        <v>2032</v>
      </c>
      <c r="M120" s="222">
        <v>3207</v>
      </c>
      <c r="N120" s="222">
        <v>5239</v>
      </c>
    </row>
    <row r="121" spans="1:14" ht="28.5">
      <c r="A121" s="220">
        <v>118</v>
      </c>
      <c r="B121" s="221" t="s">
        <v>282</v>
      </c>
      <c r="C121" s="222">
        <v>5541</v>
      </c>
      <c r="D121" s="222">
        <v>23832</v>
      </c>
      <c r="E121" s="222">
        <v>29373</v>
      </c>
      <c r="F121" s="222">
        <v>825</v>
      </c>
      <c r="G121" s="222">
        <v>3489</v>
      </c>
      <c r="H121" s="222">
        <v>4314</v>
      </c>
      <c r="I121" s="222">
        <v>360</v>
      </c>
      <c r="J121" s="222">
        <v>1328</v>
      </c>
      <c r="K121" s="222">
        <v>1688</v>
      </c>
      <c r="L121" s="222">
        <v>1490</v>
      </c>
      <c r="M121" s="222">
        <v>4896</v>
      </c>
      <c r="N121" s="222">
        <v>6386</v>
      </c>
    </row>
    <row r="122" spans="1:14" ht="28.5">
      <c r="A122" s="220">
        <v>119</v>
      </c>
      <c r="B122" s="221" t="s">
        <v>300</v>
      </c>
      <c r="C122" s="222">
        <v>12083</v>
      </c>
      <c r="D122" s="222">
        <v>16691</v>
      </c>
      <c r="E122" s="222">
        <v>28774</v>
      </c>
      <c r="F122" s="222">
        <v>1097</v>
      </c>
      <c r="G122" s="222">
        <v>1676</v>
      </c>
      <c r="H122" s="222">
        <v>2773</v>
      </c>
      <c r="I122" s="222">
        <v>523</v>
      </c>
      <c r="J122" s="222">
        <v>729</v>
      </c>
      <c r="K122" s="222">
        <v>1252</v>
      </c>
      <c r="L122" s="222">
        <v>4097</v>
      </c>
      <c r="M122" s="222">
        <v>6009</v>
      </c>
      <c r="N122" s="222">
        <v>10106</v>
      </c>
    </row>
    <row r="123" spans="1:14" ht="19.149999999999999" customHeight="1">
      <c r="A123" s="220">
        <v>120</v>
      </c>
      <c r="B123" s="221" t="s">
        <v>295</v>
      </c>
      <c r="C123" s="222">
        <v>8980</v>
      </c>
      <c r="D123" s="222">
        <v>18735</v>
      </c>
      <c r="E123" s="222">
        <v>27715</v>
      </c>
      <c r="F123" s="222">
        <v>2107</v>
      </c>
      <c r="G123" s="222">
        <v>4371</v>
      </c>
      <c r="H123" s="222">
        <v>6478</v>
      </c>
      <c r="I123" s="222">
        <v>181</v>
      </c>
      <c r="J123" s="222">
        <v>248</v>
      </c>
      <c r="K123" s="222">
        <v>429</v>
      </c>
      <c r="L123" s="222">
        <v>5614</v>
      </c>
      <c r="M123" s="222">
        <v>11926</v>
      </c>
      <c r="N123" s="222">
        <v>17540</v>
      </c>
    </row>
    <row r="124" spans="1:14" ht="19.149999999999999" customHeight="1">
      <c r="A124" s="220">
        <v>121</v>
      </c>
      <c r="B124" s="221" t="s">
        <v>287</v>
      </c>
      <c r="C124" s="222">
        <v>12900</v>
      </c>
      <c r="D124" s="222">
        <v>13210</v>
      </c>
      <c r="E124" s="222">
        <v>26110</v>
      </c>
      <c r="F124" s="222">
        <v>2343</v>
      </c>
      <c r="G124" s="222">
        <v>1368</v>
      </c>
      <c r="H124" s="222">
        <v>3711</v>
      </c>
      <c r="I124" s="222">
        <v>661</v>
      </c>
      <c r="J124" s="222">
        <v>344</v>
      </c>
      <c r="K124" s="222">
        <v>1005</v>
      </c>
      <c r="L124" s="222">
        <v>4364</v>
      </c>
      <c r="M124" s="222">
        <v>3551</v>
      </c>
      <c r="N124" s="222">
        <v>7915</v>
      </c>
    </row>
    <row r="125" spans="1:14" ht="42.75">
      <c r="A125" s="220">
        <v>122</v>
      </c>
      <c r="B125" s="221" t="s">
        <v>297</v>
      </c>
      <c r="C125" s="222">
        <v>16506</v>
      </c>
      <c r="D125" s="222">
        <v>2927</v>
      </c>
      <c r="E125" s="222">
        <v>19433</v>
      </c>
      <c r="F125" s="222">
        <v>2140</v>
      </c>
      <c r="G125" s="222">
        <v>595</v>
      </c>
      <c r="H125" s="222">
        <v>2735</v>
      </c>
      <c r="I125" s="222">
        <v>289</v>
      </c>
      <c r="J125" s="222">
        <v>74</v>
      </c>
      <c r="K125" s="222">
        <v>363</v>
      </c>
      <c r="L125" s="222">
        <v>3869</v>
      </c>
      <c r="M125" s="222">
        <v>481</v>
      </c>
      <c r="N125" s="222">
        <v>4350</v>
      </c>
    </row>
    <row r="126" spans="1:14" ht="28.5">
      <c r="A126" s="220">
        <v>123</v>
      </c>
      <c r="B126" s="221" t="s">
        <v>292</v>
      </c>
      <c r="C126" s="222">
        <v>14672</v>
      </c>
      <c r="D126" s="222">
        <v>4476</v>
      </c>
      <c r="E126" s="222">
        <v>19148</v>
      </c>
      <c r="F126" s="222">
        <v>2018</v>
      </c>
      <c r="G126" s="222">
        <v>733</v>
      </c>
      <c r="H126" s="222">
        <v>2751</v>
      </c>
      <c r="I126" s="222">
        <v>638</v>
      </c>
      <c r="J126" s="222">
        <v>219</v>
      </c>
      <c r="K126" s="222">
        <v>857</v>
      </c>
      <c r="L126" s="222">
        <v>3528</v>
      </c>
      <c r="M126" s="222">
        <v>1081</v>
      </c>
      <c r="N126" s="222">
        <v>4609</v>
      </c>
    </row>
    <row r="127" spans="1:14" ht="42.75">
      <c r="A127" s="220">
        <v>124</v>
      </c>
      <c r="B127" s="221" t="s">
        <v>301</v>
      </c>
      <c r="C127" s="222">
        <v>11514</v>
      </c>
      <c r="D127" s="222">
        <v>7509</v>
      </c>
      <c r="E127" s="222">
        <v>19023</v>
      </c>
      <c r="F127" s="222">
        <v>1446</v>
      </c>
      <c r="G127" s="222">
        <v>862</v>
      </c>
      <c r="H127" s="222">
        <v>2308</v>
      </c>
      <c r="I127" s="222">
        <v>895</v>
      </c>
      <c r="J127" s="222">
        <v>797</v>
      </c>
      <c r="K127" s="222">
        <v>1692</v>
      </c>
      <c r="L127" s="222">
        <v>4810</v>
      </c>
      <c r="M127" s="222">
        <v>3065</v>
      </c>
      <c r="N127" s="222">
        <v>7875</v>
      </c>
    </row>
    <row r="128" spans="1:14" ht="42.75">
      <c r="A128" s="220">
        <v>125</v>
      </c>
      <c r="B128" s="221" t="s">
        <v>294</v>
      </c>
      <c r="C128" s="222">
        <v>9778</v>
      </c>
      <c r="D128" s="222">
        <v>8456</v>
      </c>
      <c r="E128" s="222">
        <v>18234</v>
      </c>
      <c r="F128" s="222">
        <v>1360</v>
      </c>
      <c r="G128" s="222">
        <v>803</v>
      </c>
      <c r="H128" s="222">
        <v>2163</v>
      </c>
      <c r="I128" s="222">
        <v>228</v>
      </c>
      <c r="J128" s="222">
        <v>153</v>
      </c>
      <c r="K128" s="222">
        <v>381</v>
      </c>
      <c r="L128" s="222">
        <v>1496</v>
      </c>
      <c r="M128" s="222">
        <v>932</v>
      </c>
      <c r="N128" s="222">
        <v>2428</v>
      </c>
    </row>
    <row r="129" spans="1:14" ht="28.5">
      <c r="A129" s="220">
        <v>126</v>
      </c>
      <c r="B129" s="221" t="s">
        <v>302</v>
      </c>
      <c r="C129" s="222">
        <v>9508</v>
      </c>
      <c r="D129" s="222">
        <v>8030</v>
      </c>
      <c r="E129" s="222">
        <v>17538</v>
      </c>
      <c r="F129" s="222">
        <v>802</v>
      </c>
      <c r="G129" s="222">
        <v>875</v>
      </c>
      <c r="H129" s="222">
        <v>1677</v>
      </c>
      <c r="I129" s="222">
        <v>291</v>
      </c>
      <c r="J129" s="222">
        <v>321</v>
      </c>
      <c r="K129" s="222">
        <v>612</v>
      </c>
      <c r="L129" s="222">
        <v>3865</v>
      </c>
      <c r="M129" s="222">
        <v>3136</v>
      </c>
      <c r="N129" s="222">
        <v>7001</v>
      </c>
    </row>
    <row r="130" spans="1:14" ht="19.149999999999999" customHeight="1">
      <c r="A130" s="220">
        <v>127</v>
      </c>
      <c r="B130" s="221" t="s">
        <v>303</v>
      </c>
      <c r="C130" s="222">
        <v>5407</v>
      </c>
      <c r="D130" s="222">
        <v>4916</v>
      </c>
      <c r="E130" s="222">
        <v>10323</v>
      </c>
      <c r="F130" s="222">
        <v>479</v>
      </c>
      <c r="G130" s="222">
        <v>373</v>
      </c>
      <c r="H130" s="222">
        <v>852</v>
      </c>
      <c r="I130" s="222">
        <v>54</v>
      </c>
      <c r="J130" s="222">
        <v>46</v>
      </c>
      <c r="K130" s="222">
        <v>100</v>
      </c>
      <c r="L130" s="222">
        <v>697</v>
      </c>
      <c r="M130" s="222">
        <v>575</v>
      </c>
      <c r="N130" s="222">
        <v>1272</v>
      </c>
    </row>
    <row r="131" spans="1:14" ht="43.5" customHeight="1">
      <c r="A131" s="220">
        <v>128</v>
      </c>
      <c r="B131" s="221" t="s">
        <v>305</v>
      </c>
      <c r="C131" s="222">
        <v>4316</v>
      </c>
      <c r="D131" s="222">
        <v>4872</v>
      </c>
      <c r="E131" s="222">
        <v>9188</v>
      </c>
      <c r="F131" s="222">
        <v>62</v>
      </c>
      <c r="G131" s="222">
        <v>48</v>
      </c>
      <c r="H131" s="222">
        <v>110</v>
      </c>
      <c r="I131" s="222">
        <v>22</v>
      </c>
      <c r="J131" s="222">
        <v>24</v>
      </c>
      <c r="K131" s="222">
        <v>46</v>
      </c>
      <c r="L131" s="222">
        <v>1808</v>
      </c>
      <c r="M131" s="222">
        <v>1994</v>
      </c>
      <c r="N131" s="222">
        <v>3802</v>
      </c>
    </row>
    <row r="132" spans="1:14" ht="28.5">
      <c r="A132" s="220">
        <v>129</v>
      </c>
      <c r="B132" s="221" t="s">
        <v>304</v>
      </c>
      <c r="C132" s="222">
        <v>2798</v>
      </c>
      <c r="D132" s="222">
        <v>4667</v>
      </c>
      <c r="E132" s="222">
        <v>7465</v>
      </c>
      <c r="F132" s="222">
        <v>191</v>
      </c>
      <c r="G132" s="222">
        <v>315</v>
      </c>
      <c r="H132" s="222">
        <v>506</v>
      </c>
      <c r="I132" s="222">
        <v>69</v>
      </c>
      <c r="J132" s="222">
        <v>124</v>
      </c>
      <c r="K132" s="222">
        <v>193</v>
      </c>
      <c r="L132" s="222">
        <v>698</v>
      </c>
      <c r="M132" s="222">
        <v>1396</v>
      </c>
      <c r="N132" s="222">
        <v>2094</v>
      </c>
    </row>
    <row r="133" spans="1:14" ht="28.5">
      <c r="A133" s="220">
        <v>130</v>
      </c>
      <c r="B133" s="221" t="s">
        <v>291</v>
      </c>
      <c r="C133" s="222">
        <v>2993</v>
      </c>
      <c r="D133" s="222">
        <v>3619</v>
      </c>
      <c r="E133" s="222">
        <v>6612</v>
      </c>
      <c r="F133" s="222">
        <v>465</v>
      </c>
      <c r="G133" s="222">
        <v>505</v>
      </c>
      <c r="H133" s="222">
        <v>970</v>
      </c>
      <c r="I133" s="222">
        <v>410</v>
      </c>
      <c r="J133" s="222">
        <v>694</v>
      </c>
      <c r="K133" s="222">
        <v>1104</v>
      </c>
      <c r="L133" s="222">
        <v>903</v>
      </c>
      <c r="M133" s="222">
        <v>1509</v>
      </c>
      <c r="N133" s="222">
        <v>2412</v>
      </c>
    </row>
    <row r="134" spans="1:14" ht="28.5">
      <c r="A134" s="220">
        <v>131</v>
      </c>
      <c r="B134" s="221" t="s">
        <v>298</v>
      </c>
      <c r="C134" s="222">
        <v>3167</v>
      </c>
      <c r="D134" s="222">
        <v>2877</v>
      </c>
      <c r="E134" s="222">
        <v>6044</v>
      </c>
      <c r="F134" s="222">
        <v>417</v>
      </c>
      <c r="G134" s="222">
        <v>453</v>
      </c>
      <c r="H134" s="222">
        <v>870</v>
      </c>
      <c r="I134" s="222">
        <v>88</v>
      </c>
      <c r="J134" s="222">
        <v>79</v>
      </c>
      <c r="K134" s="222">
        <v>167</v>
      </c>
      <c r="L134" s="222">
        <v>1572</v>
      </c>
      <c r="M134" s="222">
        <v>1086</v>
      </c>
      <c r="N134" s="222">
        <v>2658</v>
      </c>
    </row>
    <row r="135" spans="1:14" ht="42.75">
      <c r="A135" s="220">
        <v>132</v>
      </c>
      <c r="B135" s="221" t="s">
        <v>321</v>
      </c>
      <c r="C135" s="222">
        <v>1816</v>
      </c>
      <c r="D135" s="222">
        <v>2948</v>
      </c>
      <c r="E135" s="222">
        <v>4764</v>
      </c>
      <c r="F135" s="222">
        <v>212</v>
      </c>
      <c r="G135" s="222">
        <v>296</v>
      </c>
      <c r="H135" s="222">
        <v>508</v>
      </c>
      <c r="I135" s="222">
        <v>101</v>
      </c>
      <c r="J135" s="222">
        <v>79</v>
      </c>
      <c r="K135" s="222">
        <v>180</v>
      </c>
      <c r="L135" s="222">
        <v>717</v>
      </c>
      <c r="M135" s="222">
        <v>1228</v>
      </c>
      <c r="N135" s="222">
        <v>1945</v>
      </c>
    </row>
    <row r="136" spans="1:14" ht="28.5">
      <c r="A136" s="220">
        <v>133</v>
      </c>
      <c r="B136" s="221" t="s">
        <v>312</v>
      </c>
      <c r="C136" s="222">
        <v>2578</v>
      </c>
      <c r="D136" s="222">
        <v>1854</v>
      </c>
      <c r="E136" s="222">
        <v>4432</v>
      </c>
      <c r="F136" s="222">
        <v>362</v>
      </c>
      <c r="G136" s="222">
        <v>223</v>
      </c>
      <c r="H136" s="222">
        <v>585</v>
      </c>
      <c r="I136" s="222">
        <v>143</v>
      </c>
      <c r="J136" s="222">
        <v>95</v>
      </c>
      <c r="K136" s="222">
        <v>238</v>
      </c>
      <c r="L136" s="222">
        <v>739</v>
      </c>
      <c r="M136" s="222">
        <v>494</v>
      </c>
      <c r="N136" s="222">
        <v>1233</v>
      </c>
    </row>
    <row r="137" spans="1:14" ht="28.5">
      <c r="A137" s="220">
        <v>134</v>
      </c>
      <c r="B137" s="221" t="s">
        <v>315</v>
      </c>
      <c r="C137" s="222">
        <v>1382</v>
      </c>
      <c r="D137" s="222">
        <v>2720</v>
      </c>
      <c r="E137" s="222">
        <v>4102</v>
      </c>
      <c r="F137" s="222">
        <v>145</v>
      </c>
      <c r="G137" s="222">
        <v>263</v>
      </c>
      <c r="H137" s="222">
        <v>408</v>
      </c>
      <c r="I137" s="222">
        <v>36</v>
      </c>
      <c r="J137" s="222">
        <v>68</v>
      </c>
      <c r="K137" s="222">
        <v>104</v>
      </c>
      <c r="L137" s="222">
        <v>467</v>
      </c>
      <c r="M137" s="222">
        <v>750</v>
      </c>
      <c r="N137" s="222">
        <v>1217</v>
      </c>
    </row>
    <row r="138" spans="1:14" ht="28.5">
      <c r="A138" s="220">
        <v>135</v>
      </c>
      <c r="B138" s="221" t="s">
        <v>290</v>
      </c>
      <c r="C138" s="222">
        <v>1543</v>
      </c>
      <c r="D138" s="222">
        <v>2428</v>
      </c>
      <c r="E138" s="222">
        <v>3971</v>
      </c>
      <c r="F138" s="222">
        <v>102</v>
      </c>
      <c r="G138" s="222">
        <v>164</v>
      </c>
      <c r="H138" s="222">
        <v>266</v>
      </c>
      <c r="I138" s="222">
        <v>35</v>
      </c>
      <c r="J138" s="222">
        <v>33</v>
      </c>
      <c r="K138" s="222">
        <v>68</v>
      </c>
      <c r="L138" s="222">
        <v>156</v>
      </c>
      <c r="M138" s="222">
        <v>281</v>
      </c>
      <c r="N138" s="222">
        <v>437</v>
      </c>
    </row>
    <row r="139" spans="1:14" ht="42.75">
      <c r="A139" s="220">
        <v>136</v>
      </c>
      <c r="B139" s="221" t="s">
        <v>313</v>
      </c>
      <c r="C139" s="222">
        <v>2793</v>
      </c>
      <c r="D139" s="222">
        <v>1133</v>
      </c>
      <c r="E139" s="222">
        <v>3926</v>
      </c>
      <c r="F139" s="222">
        <v>289</v>
      </c>
      <c r="G139" s="222">
        <v>190</v>
      </c>
      <c r="H139" s="222">
        <v>479</v>
      </c>
      <c r="I139" s="222">
        <v>120</v>
      </c>
      <c r="J139" s="222">
        <v>67</v>
      </c>
      <c r="K139" s="222">
        <v>187</v>
      </c>
      <c r="L139" s="222">
        <v>525</v>
      </c>
      <c r="M139" s="222">
        <v>212</v>
      </c>
      <c r="N139" s="222">
        <v>737</v>
      </c>
    </row>
    <row r="140" spans="1:14" ht="28.5">
      <c r="A140" s="220">
        <v>137</v>
      </c>
      <c r="B140" s="221" t="s">
        <v>311</v>
      </c>
      <c r="C140" s="222">
        <v>2062</v>
      </c>
      <c r="D140" s="222">
        <v>1839</v>
      </c>
      <c r="E140" s="222">
        <v>3901</v>
      </c>
      <c r="F140" s="222">
        <v>299</v>
      </c>
      <c r="G140" s="222">
        <v>243</v>
      </c>
      <c r="H140" s="222">
        <v>542</v>
      </c>
      <c r="I140" s="222">
        <v>171</v>
      </c>
      <c r="J140" s="222">
        <v>194</v>
      </c>
      <c r="K140" s="222">
        <v>365</v>
      </c>
      <c r="L140" s="222">
        <v>1083</v>
      </c>
      <c r="M140" s="222">
        <v>935</v>
      </c>
      <c r="N140" s="222">
        <v>2018</v>
      </c>
    </row>
    <row r="141" spans="1:14" ht="57">
      <c r="A141" s="220">
        <v>138</v>
      </c>
      <c r="B141" s="221" t="s">
        <v>310</v>
      </c>
      <c r="C141" s="222">
        <v>1462</v>
      </c>
      <c r="D141" s="222">
        <v>2350</v>
      </c>
      <c r="E141" s="222">
        <v>3812</v>
      </c>
      <c r="F141" s="222">
        <v>79</v>
      </c>
      <c r="G141" s="222">
        <v>189</v>
      </c>
      <c r="H141" s="222">
        <v>268</v>
      </c>
      <c r="I141" s="222">
        <v>30</v>
      </c>
      <c r="J141" s="222">
        <v>34</v>
      </c>
      <c r="K141" s="222">
        <v>64</v>
      </c>
      <c r="L141" s="222">
        <v>610</v>
      </c>
      <c r="M141" s="222">
        <v>1075</v>
      </c>
      <c r="N141" s="222">
        <v>1685</v>
      </c>
    </row>
    <row r="142" spans="1:14" ht="42.75">
      <c r="A142" s="220">
        <v>139</v>
      </c>
      <c r="B142" s="221" t="s">
        <v>309</v>
      </c>
      <c r="C142" s="222">
        <v>836</v>
      </c>
      <c r="D142" s="222">
        <v>2401</v>
      </c>
      <c r="E142" s="222">
        <v>3237</v>
      </c>
      <c r="F142" s="222">
        <v>55</v>
      </c>
      <c r="G142" s="222">
        <v>93</v>
      </c>
      <c r="H142" s="222">
        <v>148</v>
      </c>
      <c r="I142" s="222">
        <v>18</v>
      </c>
      <c r="J142" s="222">
        <v>33</v>
      </c>
      <c r="K142" s="222">
        <v>51</v>
      </c>
      <c r="L142" s="222">
        <v>299</v>
      </c>
      <c r="M142" s="222">
        <v>936</v>
      </c>
      <c r="N142" s="222">
        <v>1235</v>
      </c>
    </row>
    <row r="143" spans="1:14" ht="37.5" customHeight="1">
      <c r="A143" s="220">
        <v>140</v>
      </c>
      <c r="B143" s="221" t="s">
        <v>316</v>
      </c>
      <c r="C143" s="222">
        <v>2204</v>
      </c>
      <c r="D143" s="222">
        <v>891</v>
      </c>
      <c r="E143" s="222">
        <v>3095</v>
      </c>
      <c r="F143" s="222">
        <v>208</v>
      </c>
      <c r="G143" s="222">
        <v>79</v>
      </c>
      <c r="H143" s="222">
        <v>287</v>
      </c>
      <c r="I143" s="222">
        <v>43</v>
      </c>
      <c r="J143" s="222">
        <v>44</v>
      </c>
      <c r="K143" s="222">
        <v>87</v>
      </c>
      <c r="L143" s="222">
        <v>279</v>
      </c>
      <c r="M143" s="222">
        <v>63</v>
      </c>
      <c r="N143" s="222">
        <v>342</v>
      </c>
    </row>
    <row r="144" spans="1:14" ht="28.5">
      <c r="A144" s="220">
        <v>141</v>
      </c>
      <c r="B144" s="221" t="s">
        <v>314</v>
      </c>
      <c r="C144" s="222">
        <v>444</v>
      </c>
      <c r="D144" s="222">
        <v>2505</v>
      </c>
      <c r="E144" s="222">
        <v>2949</v>
      </c>
      <c r="F144" s="222">
        <v>46</v>
      </c>
      <c r="G144" s="222">
        <v>418</v>
      </c>
      <c r="H144" s="222">
        <v>464</v>
      </c>
      <c r="I144" s="222">
        <v>12</v>
      </c>
      <c r="J144" s="222">
        <v>91</v>
      </c>
      <c r="K144" s="222">
        <v>103</v>
      </c>
      <c r="L144" s="222">
        <v>106</v>
      </c>
      <c r="M144" s="222">
        <v>548</v>
      </c>
      <c r="N144" s="222">
        <v>654</v>
      </c>
    </row>
    <row r="145" spans="1:14">
      <c r="A145" s="220">
        <v>142</v>
      </c>
      <c r="B145" s="221" t="s">
        <v>307</v>
      </c>
      <c r="C145" s="222">
        <v>1449</v>
      </c>
      <c r="D145" s="222">
        <v>1185</v>
      </c>
      <c r="E145" s="222">
        <v>2634</v>
      </c>
      <c r="F145" s="222">
        <v>160</v>
      </c>
      <c r="G145" s="222">
        <v>77</v>
      </c>
      <c r="H145" s="222">
        <v>237</v>
      </c>
      <c r="I145" s="222">
        <v>77</v>
      </c>
      <c r="J145" s="222">
        <v>27</v>
      </c>
      <c r="K145" s="222">
        <v>104</v>
      </c>
      <c r="L145" s="222">
        <v>321</v>
      </c>
      <c r="M145" s="222">
        <v>178</v>
      </c>
      <c r="N145" s="222">
        <v>499</v>
      </c>
    </row>
    <row r="146" spans="1:14">
      <c r="A146" s="220">
        <v>143</v>
      </c>
      <c r="B146" s="221" t="s">
        <v>335</v>
      </c>
      <c r="C146" s="222">
        <v>1261</v>
      </c>
      <c r="D146" s="222">
        <v>1249</v>
      </c>
      <c r="E146" s="222">
        <v>2510</v>
      </c>
      <c r="F146" s="222">
        <v>379</v>
      </c>
      <c r="G146" s="222">
        <v>304</v>
      </c>
      <c r="H146" s="222">
        <v>683</v>
      </c>
      <c r="I146" s="222">
        <v>3</v>
      </c>
      <c r="J146" s="222">
        <v>0</v>
      </c>
      <c r="K146" s="222">
        <v>3</v>
      </c>
      <c r="L146" s="222">
        <v>281</v>
      </c>
      <c r="M146" s="222">
        <v>299</v>
      </c>
      <c r="N146" s="222">
        <v>580</v>
      </c>
    </row>
    <row r="147" spans="1:14">
      <c r="A147" s="220">
        <v>144</v>
      </c>
      <c r="B147" s="221" t="s">
        <v>306</v>
      </c>
      <c r="C147" s="222">
        <v>1112</v>
      </c>
      <c r="D147" s="222">
        <v>1283</v>
      </c>
      <c r="E147" s="222">
        <v>2395</v>
      </c>
      <c r="F147" s="222">
        <v>158</v>
      </c>
      <c r="G147" s="222">
        <v>148</v>
      </c>
      <c r="H147" s="222">
        <v>306</v>
      </c>
      <c r="I147" s="222">
        <v>252</v>
      </c>
      <c r="J147" s="222">
        <v>174</v>
      </c>
      <c r="K147" s="222">
        <v>426</v>
      </c>
      <c r="L147" s="222">
        <v>285</v>
      </c>
      <c r="M147" s="222">
        <v>298</v>
      </c>
      <c r="N147" s="222">
        <v>583</v>
      </c>
    </row>
    <row r="148" spans="1:14" ht="28.5">
      <c r="A148" s="220">
        <v>145</v>
      </c>
      <c r="B148" s="221" t="s">
        <v>322</v>
      </c>
      <c r="C148" s="222">
        <v>861</v>
      </c>
      <c r="D148" s="222">
        <v>1434</v>
      </c>
      <c r="E148" s="222">
        <v>2295</v>
      </c>
      <c r="F148" s="222">
        <v>71</v>
      </c>
      <c r="G148" s="222">
        <v>101</v>
      </c>
      <c r="H148" s="222">
        <v>172</v>
      </c>
      <c r="I148" s="222">
        <v>54</v>
      </c>
      <c r="J148" s="222">
        <v>60</v>
      </c>
      <c r="K148" s="222">
        <v>114</v>
      </c>
      <c r="L148" s="222">
        <v>317</v>
      </c>
      <c r="M148" s="222">
        <v>591</v>
      </c>
      <c r="N148" s="222">
        <v>908</v>
      </c>
    </row>
    <row r="149" spans="1:14" ht="28.5">
      <c r="A149" s="220">
        <v>146</v>
      </c>
      <c r="B149" s="221" t="s">
        <v>320</v>
      </c>
      <c r="C149" s="222">
        <v>1431</v>
      </c>
      <c r="D149" s="222">
        <v>804</v>
      </c>
      <c r="E149" s="222">
        <v>2235</v>
      </c>
      <c r="F149" s="222">
        <v>184</v>
      </c>
      <c r="G149" s="222">
        <v>118</v>
      </c>
      <c r="H149" s="222">
        <v>302</v>
      </c>
      <c r="I149" s="222">
        <v>117</v>
      </c>
      <c r="J149" s="222">
        <v>91</v>
      </c>
      <c r="K149" s="222">
        <v>208</v>
      </c>
      <c r="L149" s="222">
        <v>356</v>
      </c>
      <c r="M149" s="222">
        <v>149</v>
      </c>
      <c r="N149" s="222">
        <v>505</v>
      </c>
    </row>
    <row r="150" spans="1:14" ht="28.5">
      <c r="A150" s="220">
        <v>147</v>
      </c>
      <c r="B150" s="221" t="s">
        <v>318</v>
      </c>
      <c r="C150" s="222">
        <v>536</v>
      </c>
      <c r="D150" s="222">
        <v>1697</v>
      </c>
      <c r="E150" s="222">
        <v>2233</v>
      </c>
      <c r="F150" s="222">
        <v>82</v>
      </c>
      <c r="G150" s="222">
        <v>262</v>
      </c>
      <c r="H150" s="222">
        <v>344</v>
      </c>
      <c r="I150" s="222">
        <v>8</v>
      </c>
      <c r="J150" s="222">
        <v>4</v>
      </c>
      <c r="K150" s="222">
        <v>12</v>
      </c>
      <c r="L150" s="222">
        <v>421</v>
      </c>
      <c r="M150" s="222">
        <v>1358</v>
      </c>
      <c r="N150" s="222">
        <v>1779</v>
      </c>
    </row>
    <row r="151" spans="1:14" ht="28.5">
      <c r="A151" s="220">
        <v>148</v>
      </c>
      <c r="B151" s="221" t="s">
        <v>331</v>
      </c>
      <c r="C151" s="222">
        <v>592</v>
      </c>
      <c r="D151" s="222">
        <v>424</v>
      </c>
      <c r="E151" s="222">
        <v>1016</v>
      </c>
      <c r="F151" s="222">
        <v>111</v>
      </c>
      <c r="G151" s="222">
        <v>101</v>
      </c>
      <c r="H151" s="222">
        <v>212</v>
      </c>
      <c r="I151" s="222">
        <v>8</v>
      </c>
      <c r="J151" s="222">
        <v>3</v>
      </c>
      <c r="K151" s="222">
        <v>11</v>
      </c>
      <c r="L151" s="222">
        <v>66</v>
      </c>
      <c r="M151" s="222">
        <v>42</v>
      </c>
      <c r="N151" s="222">
        <v>108</v>
      </c>
    </row>
    <row r="152" spans="1:14" ht="20.45" customHeight="1">
      <c r="A152" s="220">
        <v>149</v>
      </c>
      <c r="B152" s="221" t="s">
        <v>323</v>
      </c>
      <c r="C152" s="222">
        <v>485</v>
      </c>
      <c r="D152" s="222">
        <v>523</v>
      </c>
      <c r="E152" s="222">
        <v>1008</v>
      </c>
      <c r="F152" s="222">
        <v>50</v>
      </c>
      <c r="G152" s="222">
        <v>41</v>
      </c>
      <c r="H152" s="222">
        <v>91</v>
      </c>
      <c r="I152" s="222">
        <v>27</v>
      </c>
      <c r="J152" s="222">
        <v>21</v>
      </c>
      <c r="K152" s="222">
        <v>48</v>
      </c>
      <c r="L152" s="222">
        <v>132</v>
      </c>
      <c r="M152" s="222">
        <v>78</v>
      </c>
      <c r="N152" s="222">
        <v>210</v>
      </c>
    </row>
    <row r="153" spans="1:14" ht="20.45" customHeight="1">
      <c r="A153" s="220">
        <v>150</v>
      </c>
      <c r="B153" s="221" t="s">
        <v>332</v>
      </c>
      <c r="C153" s="222">
        <v>641</v>
      </c>
      <c r="D153" s="222">
        <v>358</v>
      </c>
      <c r="E153" s="222">
        <v>999</v>
      </c>
      <c r="F153" s="222">
        <v>98</v>
      </c>
      <c r="G153" s="222">
        <v>44</v>
      </c>
      <c r="H153" s="222">
        <v>142</v>
      </c>
      <c r="I153" s="222">
        <v>20</v>
      </c>
      <c r="J153" s="222">
        <v>16</v>
      </c>
      <c r="K153" s="222">
        <v>36</v>
      </c>
      <c r="L153" s="222">
        <v>308</v>
      </c>
      <c r="M153" s="222">
        <v>148</v>
      </c>
      <c r="N153" s="222">
        <v>456</v>
      </c>
    </row>
    <row r="154" spans="1:14" ht="42.75">
      <c r="A154" s="220">
        <v>151</v>
      </c>
      <c r="B154" s="221" t="s">
        <v>308</v>
      </c>
      <c r="C154" s="222">
        <v>262</v>
      </c>
      <c r="D154" s="222">
        <v>613</v>
      </c>
      <c r="E154" s="222">
        <v>875</v>
      </c>
      <c r="F154" s="222">
        <v>26</v>
      </c>
      <c r="G154" s="222">
        <v>47</v>
      </c>
      <c r="H154" s="222">
        <v>73</v>
      </c>
      <c r="I154" s="222">
        <v>2</v>
      </c>
      <c r="J154" s="222">
        <v>2</v>
      </c>
      <c r="K154" s="222">
        <v>4</v>
      </c>
      <c r="L154" s="222">
        <v>89</v>
      </c>
      <c r="M154" s="222">
        <v>141</v>
      </c>
      <c r="N154" s="222">
        <v>230</v>
      </c>
    </row>
    <row r="155" spans="1:14" ht="28.5">
      <c r="A155" s="220">
        <v>152</v>
      </c>
      <c r="B155" s="221" t="s">
        <v>327</v>
      </c>
      <c r="C155" s="222">
        <v>419</v>
      </c>
      <c r="D155" s="222">
        <v>277</v>
      </c>
      <c r="E155" s="222">
        <v>696</v>
      </c>
      <c r="F155" s="222">
        <v>39</v>
      </c>
      <c r="G155" s="222">
        <v>25</v>
      </c>
      <c r="H155" s="222">
        <v>64</v>
      </c>
      <c r="I155" s="222">
        <v>25</v>
      </c>
      <c r="J155" s="222">
        <v>2</v>
      </c>
      <c r="K155" s="222">
        <v>27</v>
      </c>
      <c r="L155" s="222">
        <v>231</v>
      </c>
      <c r="M155" s="222">
        <v>105</v>
      </c>
      <c r="N155" s="222">
        <v>336</v>
      </c>
    </row>
    <row r="156" spans="1:14" ht="28.5">
      <c r="A156" s="220">
        <v>153</v>
      </c>
      <c r="B156" s="221" t="s">
        <v>325</v>
      </c>
      <c r="C156" s="222">
        <v>538</v>
      </c>
      <c r="D156" s="222">
        <v>123</v>
      </c>
      <c r="E156" s="222">
        <v>661</v>
      </c>
      <c r="F156" s="222">
        <v>83</v>
      </c>
      <c r="G156" s="222">
        <v>32</v>
      </c>
      <c r="H156" s="222">
        <v>115</v>
      </c>
      <c r="I156" s="222">
        <v>31</v>
      </c>
      <c r="J156" s="222">
        <v>11</v>
      </c>
      <c r="K156" s="222">
        <v>42</v>
      </c>
      <c r="L156" s="222">
        <v>100</v>
      </c>
      <c r="M156" s="222">
        <v>17</v>
      </c>
      <c r="N156" s="222">
        <v>117</v>
      </c>
    </row>
    <row r="157" spans="1:14" ht="18" customHeight="1">
      <c r="A157" s="220">
        <v>154</v>
      </c>
      <c r="B157" s="221" t="s">
        <v>319</v>
      </c>
      <c r="C157" s="222">
        <v>517</v>
      </c>
      <c r="D157" s="222">
        <v>144</v>
      </c>
      <c r="E157" s="222">
        <v>661</v>
      </c>
      <c r="F157" s="222">
        <v>115</v>
      </c>
      <c r="G157" s="222">
        <v>42</v>
      </c>
      <c r="H157" s="222">
        <v>157</v>
      </c>
      <c r="I157" s="222">
        <v>39</v>
      </c>
      <c r="J157" s="222">
        <v>14</v>
      </c>
      <c r="K157" s="222">
        <v>53</v>
      </c>
      <c r="L157" s="222">
        <v>310</v>
      </c>
      <c r="M157" s="222">
        <v>70</v>
      </c>
      <c r="N157" s="222">
        <v>380</v>
      </c>
    </row>
    <row r="158" spans="1:14" ht="18" customHeight="1">
      <c r="A158" s="220">
        <v>155</v>
      </c>
      <c r="B158" s="221" t="s">
        <v>336</v>
      </c>
      <c r="C158" s="222">
        <v>268</v>
      </c>
      <c r="D158" s="222">
        <v>370</v>
      </c>
      <c r="E158" s="222">
        <v>638</v>
      </c>
      <c r="F158" s="222">
        <v>28</v>
      </c>
      <c r="G158" s="222">
        <v>46</v>
      </c>
      <c r="H158" s="222">
        <v>74</v>
      </c>
      <c r="I158" s="222">
        <v>21</v>
      </c>
      <c r="J158" s="222">
        <v>48</v>
      </c>
      <c r="K158" s="222">
        <v>69</v>
      </c>
      <c r="L158" s="222">
        <v>58</v>
      </c>
      <c r="M158" s="222">
        <v>66</v>
      </c>
      <c r="N158" s="222">
        <v>124</v>
      </c>
    </row>
    <row r="159" spans="1:14" ht="28.5">
      <c r="A159" s="220">
        <v>156</v>
      </c>
      <c r="B159" s="221" t="s">
        <v>329</v>
      </c>
      <c r="C159" s="222">
        <v>319</v>
      </c>
      <c r="D159" s="222">
        <v>254</v>
      </c>
      <c r="E159" s="222">
        <v>573</v>
      </c>
      <c r="F159" s="222">
        <v>5</v>
      </c>
      <c r="G159" s="222">
        <v>2</v>
      </c>
      <c r="H159" s="222">
        <v>7</v>
      </c>
      <c r="I159" s="222">
        <v>17</v>
      </c>
      <c r="J159" s="222">
        <v>7</v>
      </c>
      <c r="K159" s="222">
        <v>24</v>
      </c>
      <c r="L159" s="222">
        <v>49</v>
      </c>
      <c r="M159" s="222">
        <v>43</v>
      </c>
      <c r="N159" s="222">
        <v>92</v>
      </c>
    </row>
    <row r="160" spans="1:14" ht="24.75" customHeight="1">
      <c r="A160" s="220">
        <v>157</v>
      </c>
      <c r="B160" s="221" t="s">
        <v>338</v>
      </c>
      <c r="C160" s="222">
        <v>361</v>
      </c>
      <c r="D160" s="222">
        <v>169</v>
      </c>
      <c r="E160" s="222">
        <v>530</v>
      </c>
      <c r="F160" s="222">
        <v>63</v>
      </c>
      <c r="G160" s="222">
        <v>40</v>
      </c>
      <c r="H160" s="222">
        <v>103</v>
      </c>
      <c r="I160" s="222">
        <v>18</v>
      </c>
      <c r="J160" s="222">
        <v>9</v>
      </c>
      <c r="K160" s="222">
        <v>27</v>
      </c>
      <c r="L160" s="222">
        <v>68</v>
      </c>
      <c r="M160" s="222">
        <v>39</v>
      </c>
      <c r="N160" s="222">
        <v>107</v>
      </c>
    </row>
    <row r="161" spans="1:14" ht="28.5">
      <c r="A161" s="220">
        <v>158</v>
      </c>
      <c r="B161" s="221" t="s">
        <v>324</v>
      </c>
      <c r="C161" s="222">
        <v>327</v>
      </c>
      <c r="D161" s="222">
        <v>190</v>
      </c>
      <c r="E161" s="222">
        <v>517</v>
      </c>
      <c r="F161" s="222">
        <v>44</v>
      </c>
      <c r="G161" s="222">
        <v>36</v>
      </c>
      <c r="H161" s="222">
        <v>80</v>
      </c>
      <c r="I161" s="222">
        <v>0</v>
      </c>
      <c r="J161" s="222">
        <v>1</v>
      </c>
      <c r="K161" s="222">
        <v>1</v>
      </c>
      <c r="L161" s="222">
        <v>69</v>
      </c>
      <c r="M161" s="222">
        <v>22</v>
      </c>
      <c r="N161" s="222">
        <v>91</v>
      </c>
    </row>
    <row r="162" spans="1:14" ht="28.5">
      <c r="A162" s="220">
        <v>159</v>
      </c>
      <c r="B162" s="221" t="s">
        <v>330</v>
      </c>
      <c r="C162" s="222">
        <v>132</v>
      </c>
      <c r="D162" s="222">
        <v>297</v>
      </c>
      <c r="E162" s="222">
        <v>429</v>
      </c>
      <c r="F162" s="222">
        <v>27</v>
      </c>
      <c r="G162" s="222">
        <v>56</v>
      </c>
      <c r="H162" s="222">
        <v>83</v>
      </c>
      <c r="I162" s="222">
        <v>11</v>
      </c>
      <c r="J162" s="222">
        <v>39</v>
      </c>
      <c r="K162" s="222">
        <v>50</v>
      </c>
      <c r="L162" s="222">
        <v>58</v>
      </c>
      <c r="M162" s="222">
        <v>103</v>
      </c>
      <c r="N162" s="222">
        <v>161</v>
      </c>
    </row>
    <row r="163" spans="1:14" ht="28.5">
      <c r="A163" s="220">
        <v>160</v>
      </c>
      <c r="B163" s="221" t="s">
        <v>317</v>
      </c>
      <c r="C163" s="222">
        <v>228</v>
      </c>
      <c r="D163" s="222">
        <v>201</v>
      </c>
      <c r="E163" s="222">
        <v>429</v>
      </c>
      <c r="F163" s="222">
        <v>34</v>
      </c>
      <c r="G163" s="222">
        <v>17</v>
      </c>
      <c r="H163" s="222">
        <v>51</v>
      </c>
      <c r="I163" s="222">
        <v>5</v>
      </c>
      <c r="J163" s="222">
        <v>3</v>
      </c>
      <c r="K163" s="222">
        <v>8</v>
      </c>
      <c r="L163" s="222">
        <v>112</v>
      </c>
      <c r="M163" s="222">
        <v>105</v>
      </c>
      <c r="N163" s="222">
        <v>217</v>
      </c>
    </row>
    <row r="164" spans="1:14" ht="28.5">
      <c r="A164" s="220">
        <v>161</v>
      </c>
      <c r="B164" s="221" t="s">
        <v>339</v>
      </c>
      <c r="C164" s="222">
        <v>201</v>
      </c>
      <c r="D164" s="222">
        <v>73</v>
      </c>
      <c r="E164" s="222">
        <v>274</v>
      </c>
      <c r="F164" s="222">
        <v>21</v>
      </c>
      <c r="G164" s="222">
        <v>9</v>
      </c>
      <c r="H164" s="222">
        <v>30</v>
      </c>
      <c r="I164" s="222">
        <v>4</v>
      </c>
      <c r="J164" s="222">
        <v>0</v>
      </c>
      <c r="K164" s="222">
        <v>4</v>
      </c>
      <c r="L164" s="222">
        <v>114</v>
      </c>
      <c r="M164" s="222">
        <v>40</v>
      </c>
      <c r="N164" s="222">
        <v>154</v>
      </c>
    </row>
    <row r="165" spans="1:14" ht="28.5">
      <c r="A165" s="220">
        <v>162</v>
      </c>
      <c r="B165" s="221" t="s">
        <v>328</v>
      </c>
      <c r="C165" s="222">
        <v>123</v>
      </c>
      <c r="D165" s="222">
        <v>67</v>
      </c>
      <c r="E165" s="222">
        <v>190</v>
      </c>
      <c r="F165" s="222">
        <v>8</v>
      </c>
      <c r="G165" s="222">
        <v>9</v>
      </c>
      <c r="H165" s="222">
        <v>17</v>
      </c>
      <c r="I165" s="222">
        <v>3</v>
      </c>
      <c r="J165" s="222">
        <v>0</v>
      </c>
      <c r="K165" s="222">
        <v>3</v>
      </c>
      <c r="L165" s="222">
        <v>56</v>
      </c>
      <c r="M165" s="222">
        <v>31</v>
      </c>
      <c r="N165" s="222">
        <v>87</v>
      </c>
    </row>
    <row r="166" spans="1:14" ht="20.45" customHeight="1">
      <c r="A166" s="220">
        <v>163</v>
      </c>
      <c r="B166" s="221" t="s">
        <v>326</v>
      </c>
      <c r="C166" s="222">
        <v>44</v>
      </c>
      <c r="D166" s="222">
        <v>143</v>
      </c>
      <c r="E166" s="222">
        <v>187</v>
      </c>
      <c r="F166" s="222">
        <v>6</v>
      </c>
      <c r="G166" s="222">
        <v>6</v>
      </c>
      <c r="H166" s="222">
        <v>12</v>
      </c>
      <c r="I166" s="222">
        <v>0</v>
      </c>
      <c r="J166" s="222">
        <v>18</v>
      </c>
      <c r="K166" s="222">
        <v>18</v>
      </c>
      <c r="L166" s="222">
        <v>13</v>
      </c>
      <c r="M166" s="222">
        <v>30</v>
      </c>
      <c r="N166" s="222">
        <v>43</v>
      </c>
    </row>
    <row r="167" spans="1:14" ht="28.5">
      <c r="A167" s="220">
        <v>164</v>
      </c>
      <c r="B167" s="221" t="s">
        <v>333</v>
      </c>
      <c r="C167" s="222">
        <v>164</v>
      </c>
      <c r="D167" s="222">
        <v>0</v>
      </c>
      <c r="E167" s="222">
        <v>164</v>
      </c>
      <c r="F167" s="222">
        <v>40</v>
      </c>
      <c r="G167" s="222">
        <v>0</v>
      </c>
      <c r="H167" s="222">
        <v>40</v>
      </c>
      <c r="I167" s="222">
        <v>5</v>
      </c>
      <c r="J167" s="222">
        <v>0</v>
      </c>
      <c r="K167" s="222">
        <v>5</v>
      </c>
      <c r="L167" s="222">
        <v>100</v>
      </c>
      <c r="M167" s="222">
        <v>0</v>
      </c>
      <c r="N167" s="222">
        <v>100</v>
      </c>
    </row>
    <row r="168" spans="1:14" ht="42.75">
      <c r="A168" s="220">
        <v>165</v>
      </c>
      <c r="B168" s="221" t="s">
        <v>337</v>
      </c>
      <c r="C168" s="222">
        <v>100</v>
      </c>
      <c r="D168" s="222">
        <v>56</v>
      </c>
      <c r="E168" s="222">
        <v>156</v>
      </c>
      <c r="F168" s="222">
        <v>3</v>
      </c>
      <c r="G168" s="222">
        <v>0</v>
      </c>
      <c r="H168" s="222">
        <v>3</v>
      </c>
      <c r="I168" s="222">
        <v>3</v>
      </c>
      <c r="J168" s="222">
        <v>2</v>
      </c>
      <c r="K168" s="222">
        <v>5</v>
      </c>
      <c r="L168" s="222">
        <v>24</v>
      </c>
      <c r="M168" s="222">
        <v>13</v>
      </c>
      <c r="N168" s="222">
        <v>37</v>
      </c>
    </row>
    <row r="169" spans="1:14" ht="28.5">
      <c r="A169" s="220">
        <v>166</v>
      </c>
      <c r="B169" s="221" t="s">
        <v>334</v>
      </c>
      <c r="C169" s="222">
        <v>50</v>
      </c>
      <c r="D169" s="222">
        <v>101</v>
      </c>
      <c r="E169" s="222">
        <v>151</v>
      </c>
      <c r="F169" s="222">
        <v>11</v>
      </c>
      <c r="G169" s="222">
        <v>8</v>
      </c>
      <c r="H169" s="222">
        <v>19</v>
      </c>
      <c r="I169" s="222">
        <v>0</v>
      </c>
      <c r="J169" s="222">
        <v>1</v>
      </c>
      <c r="K169" s="222">
        <v>1</v>
      </c>
      <c r="L169" s="222">
        <v>19</v>
      </c>
      <c r="M169" s="222">
        <v>49</v>
      </c>
      <c r="N169" s="222">
        <v>68</v>
      </c>
    </row>
    <row r="170" spans="1:14" ht="42.75">
      <c r="A170" s="220">
        <v>167</v>
      </c>
      <c r="B170" s="221" t="s">
        <v>766</v>
      </c>
      <c r="C170" s="222">
        <v>80</v>
      </c>
      <c r="D170" s="222">
        <v>69</v>
      </c>
      <c r="E170" s="222">
        <v>149</v>
      </c>
      <c r="F170" s="222">
        <v>1</v>
      </c>
      <c r="G170" s="222">
        <v>5</v>
      </c>
      <c r="H170" s="222">
        <v>6</v>
      </c>
      <c r="I170" s="222">
        <v>0</v>
      </c>
      <c r="J170" s="222">
        <v>0</v>
      </c>
      <c r="K170" s="222">
        <v>0</v>
      </c>
      <c r="L170" s="222">
        <v>13</v>
      </c>
      <c r="M170" s="222">
        <v>4</v>
      </c>
      <c r="N170" s="222">
        <v>17</v>
      </c>
    </row>
    <row r="171" spans="1:14" ht="42.75">
      <c r="A171" s="220">
        <v>168</v>
      </c>
      <c r="B171" s="221" t="s">
        <v>767</v>
      </c>
      <c r="C171" s="222">
        <v>49</v>
      </c>
      <c r="D171" s="222">
        <v>48</v>
      </c>
      <c r="E171" s="222">
        <v>97</v>
      </c>
      <c r="F171" s="222">
        <v>1</v>
      </c>
      <c r="G171" s="222">
        <v>2</v>
      </c>
      <c r="H171" s="222">
        <v>3</v>
      </c>
      <c r="I171" s="222">
        <v>0</v>
      </c>
      <c r="J171" s="222">
        <v>0</v>
      </c>
      <c r="K171" s="222">
        <v>0</v>
      </c>
      <c r="L171" s="222">
        <v>10</v>
      </c>
      <c r="M171" s="222">
        <v>5</v>
      </c>
      <c r="N171" s="222">
        <v>15</v>
      </c>
    </row>
    <row r="172" spans="1:14">
      <c r="A172" s="220">
        <v>169</v>
      </c>
      <c r="B172" s="221" t="s">
        <v>768</v>
      </c>
      <c r="C172" s="222">
        <v>34</v>
      </c>
      <c r="D172" s="222">
        <v>63</v>
      </c>
      <c r="E172" s="222">
        <v>97</v>
      </c>
      <c r="F172" s="222">
        <v>6</v>
      </c>
      <c r="G172" s="222">
        <v>17</v>
      </c>
      <c r="H172" s="222">
        <v>23</v>
      </c>
      <c r="I172" s="222">
        <v>0</v>
      </c>
      <c r="J172" s="222">
        <v>0</v>
      </c>
      <c r="K172" s="222">
        <v>0</v>
      </c>
      <c r="L172" s="222">
        <v>5</v>
      </c>
      <c r="M172" s="222">
        <v>8</v>
      </c>
      <c r="N172" s="222">
        <v>13</v>
      </c>
    </row>
    <row r="173" spans="1:14" ht="52.5" customHeight="1">
      <c r="A173" s="220">
        <v>170</v>
      </c>
      <c r="B173" s="221" t="s">
        <v>769</v>
      </c>
      <c r="C173" s="222">
        <v>20</v>
      </c>
      <c r="D173" s="222">
        <v>52</v>
      </c>
      <c r="E173" s="222">
        <v>72</v>
      </c>
      <c r="F173" s="222">
        <v>0</v>
      </c>
      <c r="G173" s="222">
        <v>0</v>
      </c>
      <c r="H173" s="222">
        <v>0</v>
      </c>
      <c r="I173" s="222">
        <v>0</v>
      </c>
      <c r="J173" s="222">
        <v>0</v>
      </c>
      <c r="K173" s="222">
        <v>0</v>
      </c>
      <c r="L173" s="222">
        <v>0</v>
      </c>
      <c r="M173" s="222">
        <v>0</v>
      </c>
      <c r="N173" s="222">
        <v>0</v>
      </c>
    </row>
    <row r="174" spans="1:14" ht="36.75" customHeight="1">
      <c r="A174" s="220">
        <v>171</v>
      </c>
      <c r="B174" s="221" t="s">
        <v>770</v>
      </c>
      <c r="C174" s="222">
        <v>27</v>
      </c>
      <c r="D174" s="222">
        <v>43</v>
      </c>
      <c r="E174" s="222">
        <v>70</v>
      </c>
      <c r="F174" s="222">
        <v>1</v>
      </c>
      <c r="G174" s="222">
        <v>1</v>
      </c>
      <c r="H174" s="222">
        <v>2</v>
      </c>
      <c r="I174" s="222">
        <v>12</v>
      </c>
      <c r="J174" s="222">
        <v>30</v>
      </c>
      <c r="K174" s="222">
        <v>42</v>
      </c>
      <c r="L174" s="222">
        <v>0</v>
      </c>
      <c r="M174" s="222">
        <v>0</v>
      </c>
      <c r="N174" s="222">
        <v>0</v>
      </c>
    </row>
    <row r="175" spans="1:14" ht="38.25" customHeight="1">
      <c r="A175" s="220">
        <v>172</v>
      </c>
      <c r="B175" s="221" t="s">
        <v>340</v>
      </c>
      <c r="C175" s="222">
        <v>116346</v>
      </c>
      <c r="D175" s="222">
        <v>100903</v>
      </c>
      <c r="E175" s="222">
        <v>217249</v>
      </c>
      <c r="F175" s="222">
        <v>13987</v>
      </c>
      <c r="G175" s="222">
        <v>10620</v>
      </c>
      <c r="H175" s="222">
        <v>24607</v>
      </c>
      <c r="I175" s="222">
        <v>6479</v>
      </c>
      <c r="J175" s="222">
        <v>6871</v>
      </c>
      <c r="K175" s="222">
        <v>13350</v>
      </c>
      <c r="L175" s="222">
        <v>33681</v>
      </c>
      <c r="M175" s="222">
        <v>28944</v>
      </c>
      <c r="N175" s="222">
        <v>62625</v>
      </c>
    </row>
    <row r="176" spans="1:14" ht="42.75" customHeight="1">
      <c r="A176" s="220">
        <v>173</v>
      </c>
      <c r="B176" s="221" t="s">
        <v>341</v>
      </c>
      <c r="C176" s="222">
        <v>1514169</v>
      </c>
      <c r="D176" s="222">
        <v>462872</v>
      </c>
      <c r="E176" s="222">
        <v>1977041</v>
      </c>
      <c r="F176" s="222">
        <v>271703</v>
      </c>
      <c r="G176" s="222">
        <v>89107</v>
      </c>
      <c r="H176" s="222">
        <v>360810</v>
      </c>
      <c r="I176" s="222">
        <v>76344</v>
      </c>
      <c r="J176" s="222">
        <v>35607</v>
      </c>
      <c r="K176" s="222">
        <v>111951</v>
      </c>
      <c r="L176" s="222">
        <v>597572</v>
      </c>
      <c r="M176" s="222">
        <v>161447</v>
      </c>
      <c r="N176" s="222">
        <v>759019</v>
      </c>
    </row>
    <row r="177" spans="1:14" ht="40.5" customHeight="1">
      <c r="A177" s="220">
        <v>174</v>
      </c>
      <c r="B177" s="221" t="s">
        <v>342</v>
      </c>
      <c r="C177" s="222">
        <v>102674</v>
      </c>
      <c r="D177" s="222">
        <v>169920</v>
      </c>
      <c r="E177" s="222">
        <v>272594</v>
      </c>
      <c r="F177" s="222">
        <v>18430</v>
      </c>
      <c r="G177" s="222">
        <v>31096</v>
      </c>
      <c r="H177" s="222">
        <v>49526</v>
      </c>
      <c r="I177" s="222">
        <v>9447</v>
      </c>
      <c r="J177" s="222">
        <v>13524</v>
      </c>
      <c r="K177" s="222">
        <v>22971</v>
      </c>
      <c r="L177" s="222">
        <v>34991</v>
      </c>
      <c r="M177" s="222">
        <v>59371</v>
      </c>
      <c r="N177" s="222">
        <v>94362</v>
      </c>
    </row>
    <row r="178" spans="1:14" ht="49.5" customHeight="1">
      <c r="A178" s="220">
        <v>175</v>
      </c>
      <c r="B178" s="221" t="s">
        <v>343</v>
      </c>
      <c r="C178" s="222">
        <v>40099</v>
      </c>
      <c r="D178" s="222">
        <v>203836</v>
      </c>
      <c r="E178" s="222">
        <v>243935</v>
      </c>
      <c r="F178" s="222">
        <v>7909</v>
      </c>
      <c r="G178" s="222">
        <v>47821</v>
      </c>
      <c r="H178" s="222">
        <v>55730</v>
      </c>
      <c r="I178" s="222">
        <v>3251</v>
      </c>
      <c r="J178" s="222">
        <v>24200</v>
      </c>
      <c r="K178" s="222">
        <v>27451</v>
      </c>
      <c r="L178" s="222">
        <v>10853</v>
      </c>
      <c r="M178" s="222">
        <v>53147</v>
      </c>
      <c r="N178" s="222">
        <v>64000</v>
      </c>
    </row>
    <row r="179" spans="1:14" ht="28.5">
      <c r="A179" s="220">
        <v>176</v>
      </c>
      <c r="B179" s="221" t="s">
        <v>345</v>
      </c>
      <c r="C179" s="222">
        <v>80613</v>
      </c>
      <c r="D179" s="222">
        <v>31148</v>
      </c>
      <c r="E179" s="222">
        <v>111761</v>
      </c>
      <c r="F179" s="222">
        <v>6465</v>
      </c>
      <c r="G179" s="222">
        <v>3299</v>
      </c>
      <c r="H179" s="222">
        <v>9764</v>
      </c>
      <c r="I179" s="222">
        <v>1437</v>
      </c>
      <c r="J179" s="222">
        <v>979</v>
      </c>
      <c r="K179" s="222">
        <v>2416</v>
      </c>
      <c r="L179" s="222">
        <v>30763</v>
      </c>
      <c r="M179" s="222">
        <v>12410</v>
      </c>
      <c r="N179" s="222">
        <v>43173</v>
      </c>
    </row>
    <row r="180" spans="1:14" ht="51.75" customHeight="1">
      <c r="A180" s="220">
        <v>177</v>
      </c>
      <c r="B180" s="221" t="s">
        <v>344</v>
      </c>
      <c r="C180" s="222">
        <v>961</v>
      </c>
      <c r="D180" s="222">
        <v>58001</v>
      </c>
      <c r="E180" s="222">
        <v>58962</v>
      </c>
      <c r="F180" s="222">
        <v>141</v>
      </c>
      <c r="G180" s="222">
        <v>19310</v>
      </c>
      <c r="H180" s="222">
        <v>19451</v>
      </c>
      <c r="I180" s="222">
        <v>57</v>
      </c>
      <c r="J180" s="222">
        <v>8473</v>
      </c>
      <c r="K180" s="222">
        <v>8530</v>
      </c>
      <c r="L180" s="222">
        <v>83</v>
      </c>
      <c r="M180" s="222">
        <v>15525</v>
      </c>
      <c r="N180" s="222">
        <v>15608</v>
      </c>
    </row>
    <row r="181" spans="1:14" ht="41.25" customHeight="1">
      <c r="A181" s="220">
        <v>178</v>
      </c>
      <c r="B181" s="221" t="s">
        <v>346</v>
      </c>
      <c r="C181" s="222">
        <v>2282</v>
      </c>
      <c r="D181" s="222">
        <v>5987</v>
      </c>
      <c r="E181" s="222">
        <v>8269</v>
      </c>
      <c r="F181" s="222">
        <v>306</v>
      </c>
      <c r="G181" s="222">
        <v>664</v>
      </c>
      <c r="H181" s="222">
        <v>970</v>
      </c>
      <c r="I181" s="222">
        <v>339</v>
      </c>
      <c r="J181" s="222">
        <v>988</v>
      </c>
      <c r="K181" s="222">
        <v>1327</v>
      </c>
      <c r="L181" s="222">
        <v>964</v>
      </c>
      <c r="M181" s="222">
        <v>3285</v>
      </c>
      <c r="N181" s="222">
        <v>4249</v>
      </c>
    </row>
    <row r="182" spans="1:14" ht="26.25" customHeight="1">
      <c r="A182" s="220">
        <v>179</v>
      </c>
      <c r="B182" s="221" t="s">
        <v>347</v>
      </c>
      <c r="C182" s="222">
        <v>74164</v>
      </c>
      <c r="D182" s="222">
        <v>85705</v>
      </c>
      <c r="E182" s="222">
        <v>159869</v>
      </c>
      <c r="F182" s="222">
        <v>9974</v>
      </c>
      <c r="G182" s="222">
        <v>12180</v>
      </c>
      <c r="H182" s="222">
        <v>22154</v>
      </c>
      <c r="I182" s="222">
        <v>4911</v>
      </c>
      <c r="J182" s="222">
        <v>5895</v>
      </c>
      <c r="K182" s="222">
        <v>10806</v>
      </c>
      <c r="L182" s="222">
        <v>25811</v>
      </c>
      <c r="M182" s="222">
        <v>32491</v>
      </c>
      <c r="N182" s="222">
        <v>58302</v>
      </c>
    </row>
    <row r="183" spans="1:14" ht="41.25" customHeight="1">
      <c r="A183" s="220">
        <v>180</v>
      </c>
      <c r="B183" s="221" t="s">
        <v>348</v>
      </c>
      <c r="C183" s="222">
        <v>64736</v>
      </c>
      <c r="D183" s="222">
        <v>45738</v>
      </c>
      <c r="E183" s="222">
        <v>110474</v>
      </c>
      <c r="F183" s="222">
        <v>7565</v>
      </c>
      <c r="G183" s="222">
        <v>5600</v>
      </c>
      <c r="H183" s="222">
        <v>13165</v>
      </c>
      <c r="I183" s="222">
        <v>1874</v>
      </c>
      <c r="J183" s="222">
        <v>1546</v>
      </c>
      <c r="K183" s="222">
        <v>3420</v>
      </c>
      <c r="L183" s="222">
        <v>16209</v>
      </c>
      <c r="M183" s="222">
        <v>9478</v>
      </c>
      <c r="N183" s="222">
        <v>25687</v>
      </c>
    </row>
    <row r="184" spans="1:14" ht="28.5">
      <c r="A184" s="220">
        <v>181</v>
      </c>
      <c r="B184" s="221" t="s">
        <v>349</v>
      </c>
      <c r="C184" s="222">
        <v>14779</v>
      </c>
      <c r="D184" s="222">
        <v>20413</v>
      </c>
      <c r="E184" s="222">
        <v>35192</v>
      </c>
      <c r="F184" s="222">
        <v>3136</v>
      </c>
      <c r="G184" s="222">
        <v>3411</v>
      </c>
      <c r="H184" s="222">
        <v>6547</v>
      </c>
      <c r="I184" s="222">
        <v>1504</v>
      </c>
      <c r="J184" s="222">
        <v>1546</v>
      </c>
      <c r="K184" s="222">
        <v>3050</v>
      </c>
      <c r="L184" s="222">
        <v>5533</v>
      </c>
      <c r="M184" s="222">
        <v>7429</v>
      </c>
      <c r="N184" s="222">
        <v>12962</v>
      </c>
    </row>
    <row r="185" spans="1:14" ht="42.75">
      <c r="A185" s="220">
        <v>182</v>
      </c>
      <c r="B185" s="221" t="s">
        <v>357</v>
      </c>
      <c r="C185" s="222">
        <v>14502</v>
      </c>
      <c r="D185" s="222">
        <v>14481</v>
      </c>
      <c r="E185" s="222">
        <v>28983</v>
      </c>
      <c r="F185" s="222">
        <v>2642</v>
      </c>
      <c r="G185" s="222">
        <v>2035</v>
      </c>
      <c r="H185" s="222">
        <v>4677</v>
      </c>
      <c r="I185" s="222">
        <v>2020</v>
      </c>
      <c r="J185" s="222">
        <v>1595</v>
      </c>
      <c r="K185" s="222">
        <v>3615</v>
      </c>
      <c r="L185" s="222">
        <v>6002</v>
      </c>
      <c r="M185" s="222">
        <v>5694</v>
      </c>
      <c r="N185" s="222">
        <v>11696</v>
      </c>
    </row>
    <row r="186" spans="1:14" ht="28.5">
      <c r="A186" s="220">
        <v>183</v>
      </c>
      <c r="B186" s="221" t="s">
        <v>351</v>
      </c>
      <c r="C186" s="222">
        <v>15746</v>
      </c>
      <c r="D186" s="222">
        <v>13058</v>
      </c>
      <c r="E186" s="222">
        <v>28804</v>
      </c>
      <c r="F186" s="222">
        <v>1356</v>
      </c>
      <c r="G186" s="222">
        <v>1154</v>
      </c>
      <c r="H186" s="222">
        <v>2510</v>
      </c>
      <c r="I186" s="222">
        <v>608</v>
      </c>
      <c r="J186" s="222">
        <v>420</v>
      </c>
      <c r="K186" s="222">
        <v>1028</v>
      </c>
      <c r="L186" s="222">
        <v>3807</v>
      </c>
      <c r="M186" s="222">
        <v>3494</v>
      </c>
      <c r="N186" s="222">
        <v>7301</v>
      </c>
    </row>
    <row r="187" spans="1:14" ht="42.75">
      <c r="A187" s="220">
        <v>184</v>
      </c>
      <c r="B187" s="221" t="s">
        <v>353</v>
      </c>
      <c r="C187" s="223">
        <v>12329</v>
      </c>
      <c r="D187" s="223">
        <v>10262</v>
      </c>
      <c r="E187" s="223">
        <v>22591</v>
      </c>
      <c r="F187" s="223">
        <v>555</v>
      </c>
      <c r="G187" s="223">
        <v>450</v>
      </c>
      <c r="H187" s="223">
        <v>1005</v>
      </c>
      <c r="I187" s="223">
        <v>181</v>
      </c>
      <c r="J187" s="223">
        <v>135</v>
      </c>
      <c r="K187" s="223">
        <v>316</v>
      </c>
      <c r="L187" s="223">
        <v>1977</v>
      </c>
      <c r="M187" s="223">
        <v>1457</v>
      </c>
      <c r="N187" s="223">
        <v>3434</v>
      </c>
    </row>
    <row r="188" spans="1:14" ht="42.75">
      <c r="A188" s="220">
        <v>185</v>
      </c>
      <c r="B188" s="221" t="s">
        <v>350</v>
      </c>
      <c r="C188" s="222">
        <v>16544</v>
      </c>
      <c r="D188" s="222">
        <v>5415</v>
      </c>
      <c r="E188" s="222">
        <v>21959</v>
      </c>
      <c r="F188" s="222">
        <v>1982</v>
      </c>
      <c r="G188" s="222">
        <v>503</v>
      </c>
      <c r="H188" s="222">
        <v>2485</v>
      </c>
      <c r="I188" s="222">
        <v>709</v>
      </c>
      <c r="J188" s="222">
        <v>145</v>
      </c>
      <c r="K188" s="222">
        <v>854</v>
      </c>
      <c r="L188" s="222">
        <v>5153</v>
      </c>
      <c r="M188" s="222">
        <v>1712</v>
      </c>
      <c r="N188" s="222">
        <v>6865</v>
      </c>
    </row>
    <row r="189" spans="1:14" ht="42.75">
      <c r="A189" s="220">
        <v>186</v>
      </c>
      <c r="B189" s="221" t="s">
        <v>352</v>
      </c>
      <c r="C189" s="222">
        <v>10782</v>
      </c>
      <c r="D189" s="222">
        <v>6629</v>
      </c>
      <c r="E189" s="222">
        <v>17411</v>
      </c>
      <c r="F189" s="222">
        <v>937</v>
      </c>
      <c r="G189" s="222">
        <v>544</v>
      </c>
      <c r="H189" s="222">
        <v>1481</v>
      </c>
      <c r="I189" s="222">
        <v>483</v>
      </c>
      <c r="J189" s="222">
        <v>235</v>
      </c>
      <c r="K189" s="222">
        <v>718</v>
      </c>
      <c r="L189" s="222">
        <v>2575</v>
      </c>
      <c r="M189" s="222">
        <v>1194</v>
      </c>
      <c r="N189" s="222">
        <v>3769</v>
      </c>
    </row>
    <row r="190" spans="1:14" ht="28.5">
      <c r="A190" s="220">
        <v>187</v>
      </c>
      <c r="B190" s="221" t="s">
        <v>355</v>
      </c>
      <c r="C190" s="222">
        <v>4686</v>
      </c>
      <c r="D190" s="222">
        <v>4326</v>
      </c>
      <c r="E190" s="222">
        <v>9012</v>
      </c>
      <c r="F190" s="222">
        <v>481</v>
      </c>
      <c r="G190" s="222">
        <v>337</v>
      </c>
      <c r="H190" s="222">
        <v>818</v>
      </c>
      <c r="I190" s="222">
        <v>57</v>
      </c>
      <c r="J190" s="222">
        <v>60</v>
      </c>
      <c r="K190" s="222">
        <v>117</v>
      </c>
      <c r="L190" s="222">
        <v>1006</v>
      </c>
      <c r="M190" s="222">
        <v>764</v>
      </c>
      <c r="N190" s="222">
        <v>1770</v>
      </c>
    </row>
    <row r="191" spans="1:14" ht="28.5">
      <c r="A191" s="220">
        <v>188</v>
      </c>
      <c r="B191" s="221" t="s">
        <v>356</v>
      </c>
      <c r="C191" s="224">
        <v>5173</v>
      </c>
      <c r="D191" s="224">
        <v>2984</v>
      </c>
      <c r="E191" s="224">
        <v>8157</v>
      </c>
      <c r="F191" s="224">
        <v>601</v>
      </c>
      <c r="G191" s="224">
        <v>272</v>
      </c>
      <c r="H191" s="224">
        <v>873</v>
      </c>
      <c r="I191" s="224">
        <v>235</v>
      </c>
      <c r="J191" s="224">
        <v>132</v>
      </c>
      <c r="K191" s="224">
        <v>367</v>
      </c>
      <c r="L191" s="224">
        <v>1723</v>
      </c>
      <c r="M191" s="224">
        <v>927</v>
      </c>
      <c r="N191" s="224">
        <v>2650</v>
      </c>
    </row>
    <row r="192" spans="1:14" ht="28.5">
      <c r="A192" s="220">
        <v>189</v>
      </c>
      <c r="B192" s="221" t="s">
        <v>354</v>
      </c>
      <c r="C192" s="224">
        <v>4059</v>
      </c>
      <c r="D192" s="224">
        <v>4017</v>
      </c>
      <c r="E192" s="224">
        <v>8076</v>
      </c>
      <c r="F192" s="224">
        <v>464</v>
      </c>
      <c r="G192" s="224">
        <v>367</v>
      </c>
      <c r="H192" s="224">
        <v>831</v>
      </c>
      <c r="I192" s="224">
        <v>290</v>
      </c>
      <c r="J192" s="224">
        <v>215</v>
      </c>
      <c r="K192" s="224">
        <v>505</v>
      </c>
      <c r="L192" s="224">
        <v>780</v>
      </c>
      <c r="M192" s="224">
        <v>791</v>
      </c>
      <c r="N192" s="224">
        <v>1571</v>
      </c>
    </row>
    <row r="193" spans="1:14" ht="42.75">
      <c r="A193" s="220">
        <v>190</v>
      </c>
      <c r="B193" s="221" t="s">
        <v>358</v>
      </c>
      <c r="C193" s="224">
        <v>3046</v>
      </c>
      <c r="D193" s="224">
        <v>1872</v>
      </c>
      <c r="E193" s="224">
        <v>4918</v>
      </c>
      <c r="F193" s="224">
        <v>155</v>
      </c>
      <c r="G193" s="224">
        <v>92</v>
      </c>
      <c r="H193" s="224">
        <v>247</v>
      </c>
      <c r="I193" s="224">
        <v>41</v>
      </c>
      <c r="J193" s="224">
        <v>14</v>
      </c>
      <c r="K193" s="224">
        <v>55</v>
      </c>
      <c r="L193" s="224">
        <v>836</v>
      </c>
      <c r="M193" s="224">
        <v>580</v>
      </c>
      <c r="N193" s="224">
        <v>1416</v>
      </c>
    </row>
    <row r="194" spans="1:14" ht="28.5">
      <c r="A194" s="220">
        <v>191</v>
      </c>
      <c r="B194" s="221" t="s">
        <v>359</v>
      </c>
      <c r="C194" s="224">
        <v>1569</v>
      </c>
      <c r="D194" s="224">
        <v>1312</v>
      </c>
      <c r="E194" s="224">
        <v>2881</v>
      </c>
      <c r="F194" s="224">
        <v>171</v>
      </c>
      <c r="G194" s="224">
        <v>91</v>
      </c>
      <c r="H194" s="224">
        <v>262</v>
      </c>
      <c r="I194" s="224">
        <v>45</v>
      </c>
      <c r="J194" s="224">
        <v>21</v>
      </c>
      <c r="K194" s="224">
        <v>66</v>
      </c>
      <c r="L194" s="224">
        <v>316</v>
      </c>
      <c r="M194" s="224">
        <v>225</v>
      </c>
      <c r="N194" s="224">
        <v>541</v>
      </c>
    </row>
    <row r="195" spans="1:14" ht="28.5">
      <c r="A195" s="220">
        <v>192</v>
      </c>
      <c r="B195" s="221" t="s">
        <v>360</v>
      </c>
      <c r="C195" s="224">
        <v>335</v>
      </c>
      <c r="D195" s="224">
        <v>654</v>
      </c>
      <c r="E195" s="224">
        <v>989</v>
      </c>
      <c r="F195" s="224">
        <v>53</v>
      </c>
      <c r="G195" s="224">
        <v>65</v>
      </c>
      <c r="H195" s="224">
        <v>118</v>
      </c>
      <c r="I195" s="224">
        <v>38</v>
      </c>
      <c r="J195" s="224">
        <v>33</v>
      </c>
      <c r="K195" s="224">
        <v>71</v>
      </c>
      <c r="L195" s="224">
        <v>100</v>
      </c>
      <c r="M195" s="224">
        <v>97</v>
      </c>
      <c r="N195" s="224">
        <v>197</v>
      </c>
    </row>
    <row r="196" spans="1:14" ht="42.75">
      <c r="A196" s="220">
        <v>193</v>
      </c>
      <c r="B196" s="221" t="s">
        <v>363</v>
      </c>
      <c r="C196" s="224">
        <v>180</v>
      </c>
      <c r="D196" s="224">
        <v>175</v>
      </c>
      <c r="E196" s="224">
        <v>355</v>
      </c>
      <c r="F196" s="224">
        <v>30</v>
      </c>
      <c r="G196" s="224">
        <v>38</v>
      </c>
      <c r="H196" s="224">
        <v>68</v>
      </c>
      <c r="I196" s="224">
        <v>9</v>
      </c>
      <c r="J196" s="224">
        <v>9</v>
      </c>
      <c r="K196" s="224">
        <v>18</v>
      </c>
      <c r="L196" s="224">
        <v>97</v>
      </c>
      <c r="M196" s="224">
        <v>86</v>
      </c>
      <c r="N196" s="224">
        <v>183</v>
      </c>
    </row>
    <row r="197" spans="1:14" ht="42.75">
      <c r="A197" s="220">
        <v>194</v>
      </c>
      <c r="B197" s="221" t="s">
        <v>361</v>
      </c>
      <c r="C197" s="224">
        <v>141</v>
      </c>
      <c r="D197" s="224">
        <v>124</v>
      </c>
      <c r="E197" s="224">
        <v>265</v>
      </c>
      <c r="F197" s="224">
        <v>14</v>
      </c>
      <c r="G197" s="224">
        <v>15</v>
      </c>
      <c r="H197" s="224">
        <v>29</v>
      </c>
      <c r="I197" s="224">
        <v>8</v>
      </c>
      <c r="J197" s="224">
        <v>6</v>
      </c>
      <c r="K197" s="224">
        <v>14</v>
      </c>
      <c r="L197" s="224">
        <v>20</v>
      </c>
      <c r="M197" s="224">
        <v>22</v>
      </c>
      <c r="N197" s="224">
        <v>42</v>
      </c>
    </row>
    <row r="198" spans="1:14" ht="42.75">
      <c r="A198" s="220">
        <v>195</v>
      </c>
      <c r="B198" s="221" t="s">
        <v>771</v>
      </c>
      <c r="C198" s="224">
        <v>104</v>
      </c>
      <c r="D198" s="224">
        <v>141</v>
      </c>
      <c r="E198" s="224">
        <v>245</v>
      </c>
      <c r="F198" s="224">
        <v>20</v>
      </c>
      <c r="G198" s="224">
        <v>19</v>
      </c>
      <c r="H198" s="224">
        <v>39</v>
      </c>
      <c r="I198" s="224">
        <v>0</v>
      </c>
      <c r="J198" s="224">
        <v>0</v>
      </c>
      <c r="K198" s="224">
        <v>0</v>
      </c>
      <c r="L198" s="224">
        <v>34</v>
      </c>
      <c r="M198" s="224">
        <v>36</v>
      </c>
      <c r="N198" s="224">
        <v>70</v>
      </c>
    </row>
    <row r="199" spans="1:14" ht="42.75">
      <c r="A199" s="220">
        <v>196</v>
      </c>
      <c r="B199" s="221" t="s">
        <v>362</v>
      </c>
      <c r="C199" s="224">
        <v>1</v>
      </c>
      <c r="D199" s="224">
        <v>60</v>
      </c>
      <c r="E199" s="224">
        <v>61</v>
      </c>
      <c r="F199" s="224">
        <v>0</v>
      </c>
      <c r="G199" s="224">
        <v>1</v>
      </c>
      <c r="H199" s="224">
        <v>1</v>
      </c>
      <c r="I199" s="224">
        <v>0</v>
      </c>
      <c r="J199" s="224">
        <v>0</v>
      </c>
      <c r="K199" s="224">
        <v>0</v>
      </c>
      <c r="L199" s="224">
        <v>0</v>
      </c>
      <c r="M199" s="224">
        <v>5</v>
      </c>
      <c r="N199" s="224">
        <v>5</v>
      </c>
    </row>
    <row r="200" spans="1:14" ht="30" customHeight="1">
      <c r="A200" s="819" t="s">
        <v>772</v>
      </c>
      <c r="B200" s="819"/>
      <c r="C200" s="225">
        <f>SUM(C5:C199)</f>
        <v>19111338</v>
      </c>
      <c r="D200" s="225">
        <f t="shared" ref="D200:N200" si="0">SUM(D5:D199)</f>
        <v>18254609</v>
      </c>
      <c r="E200" s="225">
        <f t="shared" si="0"/>
        <v>37365947</v>
      </c>
      <c r="F200" s="225">
        <f t="shared" si="0"/>
        <v>2748708</v>
      </c>
      <c r="G200" s="225">
        <f t="shared" si="0"/>
        <v>2675964</v>
      </c>
      <c r="H200" s="225">
        <f t="shared" si="0"/>
        <v>5424672</v>
      </c>
      <c r="I200" s="225">
        <f t="shared" si="0"/>
        <v>1058214</v>
      </c>
      <c r="J200" s="225">
        <f t="shared" si="0"/>
        <v>1067293</v>
      </c>
      <c r="K200" s="225">
        <f t="shared" si="0"/>
        <v>2125507</v>
      </c>
      <c r="L200" s="225">
        <f t="shared" si="0"/>
        <v>6997001</v>
      </c>
      <c r="M200" s="225">
        <f t="shared" si="0"/>
        <v>6787528</v>
      </c>
      <c r="N200" s="225">
        <f t="shared" si="0"/>
        <v>13784529</v>
      </c>
    </row>
  </sheetData>
  <mergeCells count="10">
    <mergeCell ref="A200:B200"/>
    <mergeCell ref="A1:B1"/>
    <mergeCell ref="C1:H1"/>
    <mergeCell ref="I1:N1"/>
    <mergeCell ref="A2:A3"/>
    <mergeCell ref="B2:B3"/>
    <mergeCell ref="C2:E2"/>
    <mergeCell ref="F2:H2"/>
    <mergeCell ref="I2:K2"/>
    <mergeCell ref="L2:N2"/>
  </mergeCells>
  <pageMargins left="0.51181102362204722" right="0.51181102362204722" top="0.39370078740157483" bottom="0.39370078740157483" header="0.19685039370078741" footer="7.874015748031496E-2"/>
  <pageSetup paperSize="9" scale="65" firstPageNumber="28" pageOrder="overThenDown" orientation="portrait" useFirstPageNumber="1" r:id="rId1"/>
  <headerFooter>
    <oddFooter>&amp;L&amp;9AISHE 2019-20&amp;CT-11</oddFooter>
  </headerFooter>
  <colBreaks count="1" manualBreakCount="1">
    <brk id="8" max="200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00B050"/>
  </sheetPr>
  <dimension ref="A1:N61"/>
  <sheetViews>
    <sheetView view="pageBreakPreview" topLeftCell="E43" zoomScale="85" zoomScaleSheetLayoutView="85" workbookViewId="0">
      <selection activeCell="O1" sqref="O1:V1048576"/>
    </sheetView>
  </sheetViews>
  <sheetFormatPr defaultColWidth="9.140625" defaultRowHeight="14.25"/>
  <cols>
    <col min="1" max="1" width="6.7109375" style="80" bestFit="1" customWidth="1"/>
    <col min="2" max="2" width="35.5703125" style="226" customWidth="1"/>
    <col min="3" max="14" width="12.42578125" style="80" customWidth="1"/>
    <col min="15" max="16384" width="9.140625" style="80"/>
  </cols>
  <sheetData>
    <row r="1" spans="1:14" s="215" customFormat="1" ht="33" customHeight="1">
      <c r="A1" s="828" t="s">
        <v>712</v>
      </c>
      <c r="B1" s="828"/>
      <c r="C1" s="829" t="s">
        <v>855</v>
      </c>
      <c r="D1" s="830"/>
      <c r="E1" s="830"/>
      <c r="F1" s="830"/>
      <c r="G1" s="830"/>
      <c r="H1" s="830"/>
      <c r="I1" s="829" t="str">
        <f>C1</f>
        <v>Programme-wise Enrolment - Distance Mode
(Based on actual Response)</v>
      </c>
      <c r="J1" s="831"/>
      <c r="K1" s="831"/>
      <c r="L1" s="831"/>
      <c r="M1" s="831"/>
      <c r="N1" s="831"/>
    </row>
    <row r="2" spans="1:14" s="231" customFormat="1" ht="18" customHeight="1">
      <c r="A2" s="832" t="s">
        <v>165</v>
      </c>
      <c r="B2" s="834" t="s">
        <v>760</v>
      </c>
      <c r="C2" s="835" t="s">
        <v>133</v>
      </c>
      <c r="D2" s="835"/>
      <c r="E2" s="835"/>
      <c r="F2" s="835" t="s">
        <v>811</v>
      </c>
      <c r="G2" s="835"/>
      <c r="H2" s="835"/>
      <c r="I2" s="835" t="s">
        <v>812</v>
      </c>
      <c r="J2" s="835"/>
      <c r="K2" s="835"/>
      <c r="L2" s="835" t="s">
        <v>813</v>
      </c>
      <c r="M2" s="835"/>
      <c r="N2" s="835"/>
    </row>
    <row r="3" spans="1:14" s="232" customFormat="1" ht="18" customHeight="1">
      <c r="A3" s="833"/>
      <c r="B3" s="834"/>
      <c r="C3" s="217" t="s">
        <v>87</v>
      </c>
      <c r="D3" s="217" t="s">
        <v>88</v>
      </c>
      <c r="E3" s="217" t="s">
        <v>12</v>
      </c>
      <c r="F3" s="217" t="s">
        <v>87</v>
      </c>
      <c r="G3" s="217" t="s">
        <v>88</v>
      </c>
      <c r="H3" s="217" t="s">
        <v>12</v>
      </c>
      <c r="I3" s="217" t="s">
        <v>87</v>
      </c>
      <c r="J3" s="217" t="s">
        <v>88</v>
      </c>
      <c r="K3" s="217" t="s">
        <v>12</v>
      </c>
      <c r="L3" s="217" t="s">
        <v>87</v>
      </c>
      <c r="M3" s="217" t="s">
        <v>88</v>
      </c>
      <c r="N3" s="217" t="s">
        <v>12</v>
      </c>
    </row>
    <row r="4" spans="1:14" s="219" customFormat="1" ht="12">
      <c r="A4" s="218">
        <v>1</v>
      </c>
      <c r="B4" s="218">
        <v>2</v>
      </c>
      <c r="C4" s="218">
        <v>3</v>
      </c>
      <c r="D4" s="218">
        <v>4</v>
      </c>
      <c r="E4" s="218">
        <v>5</v>
      </c>
      <c r="F4" s="218">
        <v>6</v>
      </c>
      <c r="G4" s="218">
        <v>7</v>
      </c>
      <c r="H4" s="218">
        <v>8</v>
      </c>
      <c r="I4" s="218">
        <v>9</v>
      </c>
      <c r="J4" s="218">
        <v>10</v>
      </c>
      <c r="K4" s="218">
        <v>11</v>
      </c>
      <c r="L4" s="218">
        <v>12</v>
      </c>
      <c r="M4" s="218">
        <v>13</v>
      </c>
      <c r="N4" s="218">
        <v>14</v>
      </c>
    </row>
    <row r="5" spans="1:14" ht="20.45" customHeight="1">
      <c r="A5" s="220">
        <v>1</v>
      </c>
      <c r="B5" s="221" t="s">
        <v>179</v>
      </c>
      <c r="C5" s="222">
        <v>44</v>
      </c>
      <c r="D5" s="222">
        <v>57</v>
      </c>
      <c r="E5" s="222">
        <v>101</v>
      </c>
      <c r="F5" s="222">
        <v>0</v>
      </c>
      <c r="G5" s="222">
        <v>0</v>
      </c>
      <c r="H5" s="222">
        <v>0</v>
      </c>
      <c r="I5" s="222">
        <v>10</v>
      </c>
      <c r="J5" s="222">
        <v>11</v>
      </c>
      <c r="K5" s="222">
        <v>21</v>
      </c>
      <c r="L5" s="222">
        <v>0</v>
      </c>
      <c r="M5" s="222">
        <v>0</v>
      </c>
      <c r="N5" s="222">
        <v>0</v>
      </c>
    </row>
    <row r="6" spans="1:14" ht="20.45" customHeight="1">
      <c r="A6" s="220">
        <v>2</v>
      </c>
      <c r="B6" s="221" t="s">
        <v>189</v>
      </c>
      <c r="C6" s="222">
        <v>272268</v>
      </c>
      <c r="D6" s="222">
        <v>383886</v>
      </c>
      <c r="E6" s="222">
        <v>656154</v>
      </c>
      <c r="F6" s="222">
        <v>35631</v>
      </c>
      <c r="G6" s="222">
        <v>44128</v>
      </c>
      <c r="H6" s="222">
        <v>79759</v>
      </c>
      <c r="I6" s="222">
        <v>17951</v>
      </c>
      <c r="J6" s="222">
        <v>21345</v>
      </c>
      <c r="K6" s="222">
        <v>39296</v>
      </c>
      <c r="L6" s="222">
        <v>83789</v>
      </c>
      <c r="M6" s="222">
        <v>105051</v>
      </c>
      <c r="N6" s="222">
        <v>188840</v>
      </c>
    </row>
    <row r="7" spans="1:14" ht="28.5">
      <c r="A7" s="220">
        <v>3</v>
      </c>
      <c r="B7" s="221" t="s">
        <v>191</v>
      </c>
      <c r="C7" s="222">
        <v>94334</v>
      </c>
      <c r="D7" s="222">
        <v>61003</v>
      </c>
      <c r="E7" s="222">
        <v>155337</v>
      </c>
      <c r="F7" s="222">
        <v>4845</v>
      </c>
      <c r="G7" s="222">
        <v>3191</v>
      </c>
      <c r="H7" s="222">
        <v>8036</v>
      </c>
      <c r="I7" s="222">
        <v>983</v>
      </c>
      <c r="J7" s="222">
        <v>497</v>
      </c>
      <c r="K7" s="222">
        <v>1480</v>
      </c>
      <c r="L7" s="222">
        <v>27807</v>
      </c>
      <c r="M7" s="222">
        <v>20149</v>
      </c>
      <c r="N7" s="222">
        <v>47956</v>
      </c>
    </row>
    <row r="8" spans="1:14" ht="20.25" customHeight="1">
      <c r="A8" s="220">
        <v>4</v>
      </c>
      <c r="B8" s="221" t="s">
        <v>192</v>
      </c>
      <c r="C8" s="222">
        <v>59166</v>
      </c>
      <c r="D8" s="222">
        <v>85118</v>
      </c>
      <c r="E8" s="222">
        <v>144284</v>
      </c>
      <c r="F8" s="222">
        <v>4340</v>
      </c>
      <c r="G8" s="222">
        <v>6286</v>
      </c>
      <c r="H8" s="222">
        <v>10626</v>
      </c>
      <c r="I8" s="222">
        <v>1513</v>
      </c>
      <c r="J8" s="222">
        <v>1694</v>
      </c>
      <c r="K8" s="222">
        <v>3207</v>
      </c>
      <c r="L8" s="222">
        <v>17116</v>
      </c>
      <c r="M8" s="222">
        <v>23537</v>
      </c>
      <c r="N8" s="222">
        <v>40653</v>
      </c>
    </row>
    <row r="9" spans="1:14" ht="20.45" customHeight="1">
      <c r="A9" s="220">
        <v>5</v>
      </c>
      <c r="B9" s="221" t="s">
        <v>190</v>
      </c>
      <c r="C9" s="222">
        <v>49050</v>
      </c>
      <c r="D9" s="222">
        <v>60409</v>
      </c>
      <c r="E9" s="222">
        <v>109459</v>
      </c>
      <c r="F9" s="222">
        <v>5514</v>
      </c>
      <c r="G9" s="222">
        <v>5185</v>
      </c>
      <c r="H9" s="222">
        <v>10699</v>
      </c>
      <c r="I9" s="222">
        <v>2095</v>
      </c>
      <c r="J9" s="222">
        <v>1506</v>
      </c>
      <c r="K9" s="222">
        <v>3601</v>
      </c>
      <c r="L9" s="222">
        <v>19391</v>
      </c>
      <c r="M9" s="222">
        <v>24321</v>
      </c>
      <c r="N9" s="222">
        <v>43712</v>
      </c>
    </row>
    <row r="10" spans="1:14" ht="28.5">
      <c r="A10" s="220">
        <v>6</v>
      </c>
      <c r="B10" s="221" t="s">
        <v>194</v>
      </c>
      <c r="C10" s="222">
        <v>17071</v>
      </c>
      <c r="D10" s="222">
        <v>12066</v>
      </c>
      <c r="E10" s="222">
        <v>29137</v>
      </c>
      <c r="F10" s="222">
        <v>955</v>
      </c>
      <c r="G10" s="222">
        <v>537</v>
      </c>
      <c r="H10" s="222">
        <v>1492</v>
      </c>
      <c r="I10" s="222">
        <v>318</v>
      </c>
      <c r="J10" s="222">
        <v>134</v>
      </c>
      <c r="K10" s="222">
        <v>452</v>
      </c>
      <c r="L10" s="222">
        <v>3280</v>
      </c>
      <c r="M10" s="222">
        <v>2520</v>
      </c>
      <c r="N10" s="222">
        <v>5800</v>
      </c>
    </row>
    <row r="11" spans="1:14" ht="19.149999999999999" customHeight="1">
      <c r="A11" s="220">
        <v>7</v>
      </c>
      <c r="B11" s="221" t="s">
        <v>196</v>
      </c>
      <c r="C11" s="222">
        <v>6099</v>
      </c>
      <c r="D11" s="222">
        <v>8201</v>
      </c>
      <c r="E11" s="222">
        <v>14300</v>
      </c>
      <c r="F11" s="222">
        <v>827</v>
      </c>
      <c r="G11" s="222">
        <v>991</v>
      </c>
      <c r="H11" s="222">
        <v>1818</v>
      </c>
      <c r="I11" s="222">
        <v>308</v>
      </c>
      <c r="J11" s="222">
        <v>426</v>
      </c>
      <c r="K11" s="222">
        <v>734</v>
      </c>
      <c r="L11" s="222">
        <v>1814</v>
      </c>
      <c r="M11" s="222">
        <v>1958</v>
      </c>
      <c r="N11" s="222">
        <v>3772</v>
      </c>
    </row>
    <row r="12" spans="1:14" ht="28.5">
      <c r="A12" s="220">
        <v>8</v>
      </c>
      <c r="B12" s="221" t="s">
        <v>211</v>
      </c>
      <c r="C12" s="222">
        <v>1536</v>
      </c>
      <c r="D12" s="222">
        <v>2007</v>
      </c>
      <c r="E12" s="222">
        <v>3543</v>
      </c>
      <c r="F12" s="222">
        <v>265</v>
      </c>
      <c r="G12" s="222">
        <v>242</v>
      </c>
      <c r="H12" s="222">
        <v>507</v>
      </c>
      <c r="I12" s="222">
        <v>64</v>
      </c>
      <c r="J12" s="222">
        <v>82</v>
      </c>
      <c r="K12" s="222">
        <v>146</v>
      </c>
      <c r="L12" s="222">
        <v>511</v>
      </c>
      <c r="M12" s="222">
        <v>579</v>
      </c>
      <c r="N12" s="222">
        <v>1090</v>
      </c>
    </row>
    <row r="13" spans="1:14" ht="20.45" customHeight="1">
      <c r="A13" s="220">
        <v>9</v>
      </c>
      <c r="B13" s="221" t="s">
        <v>208</v>
      </c>
      <c r="C13" s="222">
        <v>1031</v>
      </c>
      <c r="D13" s="222">
        <v>659</v>
      </c>
      <c r="E13" s="222">
        <v>1690</v>
      </c>
      <c r="F13" s="222">
        <v>88</v>
      </c>
      <c r="G13" s="222">
        <v>40</v>
      </c>
      <c r="H13" s="222">
        <v>128</v>
      </c>
      <c r="I13" s="222">
        <v>18</v>
      </c>
      <c r="J13" s="222">
        <v>7</v>
      </c>
      <c r="K13" s="222">
        <v>25</v>
      </c>
      <c r="L13" s="222">
        <v>394</v>
      </c>
      <c r="M13" s="222">
        <v>223</v>
      </c>
      <c r="N13" s="222">
        <v>617</v>
      </c>
    </row>
    <row r="14" spans="1:14" ht="20.45" customHeight="1">
      <c r="A14" s="220">
        <v>10</v>
      </c>
      <c r="B14" s="221" t="s">
        <v>205</v>
      </c>
      <c r="C14" s="222">
        <v>784</v>
      </c>
      <c r="D14" s="222">
        <v>846</v>
      </c>
      <c r="E14" s="222">
        <v>1630</v>
      </c>
      <c r="F14" s="222">
        <v>130</v>
      </c>
      <c r="G14" s="222">
        <v>105</v>
      </c>
      <c r="H14" s="222">
        <v>235</v>
      </c>
      <c r="I14" s="222">
        <v>42</v>
      </c>
      <c r="J14" s="222">
        <v>36</v>
      </c>
      <c r="K14" s="222">
        <v>78</v>
      </c>
      <c r="L14" s="222">
        <v>365</v>
      </c>
      <c r="M14" s="222">
        <v>386</v>
      </c>
      <c r="N14" s="222">
        <v>751</v>
      </c>
    </row>
    <row r="15" spans="1:14" ht="29.25" customHeight="1">
      <c r="A15" s="220">
        <v>11</v>
      </c>
      <c r="B15" s="221" t="s">
        <v>215</v>
      </c>
      <c r="C15" s="222">
        <v>838</v>
      </c>
      <c r="D15" s="222">
        <v>635</v>
      </c>
      <c r="E15" s="222">
        <v>1473</v>
      </c>
      <c r="F15" s="222">
        <v>115</v>
      </c>
      <c r="G15" s="222">
        <v>46</v>
      </c>
      <c r="H15" s="222">
        <v>161</v>
      </c>
      <c r="I15" s="222">
        <v>0</v>
      </c>
      <c r="J15" s="222">
        <v>0</v>
      </c>
      <c r="K15" s="222">
        <v>0</v>
      </c>
      <c r="L15" s="222">
        <v>110</v>
      </c>
      <c r="M15" s="222">
        <v>36</v>
      </c>
      <c r="N15" s="222">
        <v>146</v>
      </c>
    </row>
    <row r="16" spans="1:14" ht="20.45" customHeight="1">
      <c r="A16" s="220">
        <v>12</v>
      </c>
      <c r="B16" s="221" t="s">
        <v>198</v>
      </c>
      <c r="C16" s="222">
        <v>585</v>
      </c>
      <c r="D16" s="222">
        <v>720</v>
      </c>
      <c r="E16" s="222">
        <v>1305</v>
      </c>
      <c r="F16" s="222">
        <v>32</v>
      </c>
      <c r="G16" s="222">
        <v>58</v>
      </c>
      <c r="H16" s="222">
        <v>90</v>
      </c>
      <c r="I16" s="222">
        <v>13</v>
      </c>
      <c r="J16" s="222">
        <v>12</v>
      </c>
      <c r="K16" s="222">
        <v>25</v>
      </c>
      <c r="L16" s="222">
        <v>115</v>
      </c>
      <c r="M16" s="222">
        <v>167</v>
      </c>
      <c r="N16" s="222">
        <v>282</v>
      </c>
    </row>
    <row r="17" spans="1:14" ht="20.45" customHeight="1">
      <c r="A17" s="220">
        <v>13</v>
      </c>
      <c r="B17" s="221" t="s">
        <v>202</v>
      </c>
      <c r="C17" s="222">
        <v>901</v>
      </c>
      <c r="D17" s="222">
        <v>382</v>
      </c>
      <c r="E17" s="222">
        <v>1283</v>
      </c>
      <c r="F17" s="222">
        <v>75</v>
      </c>
      <c r="G17" s="222">
        <v>34</v>
      </c>
      <c r="H17" s="222">
        <v>109</v>
      </c>
      <c r="I17" s="222">
        <v>8</v>
      </c>
      <c r="J17" s="222">
        <v>2</v>
      </c>
      <c r="K17" s="222">
        <v>10</v>
      </c>
      <c r="L17" s="222">
        <v>464</v>
      </c>
      <c r="M17" s="222">
        <v>176</v>
      </c>
      <c r="N17" s="222">
        <v>640</v>
      </c>
    </row>
    <row r="18" spans="1:14" ht="20.45" customHeight="1">
      <c r="A18" s="220">
        <v>14</v>
      </c>
      <c r="B18" s="221" t="s">
        <v>221</v>
      </c>
      <c r="C18" s="222">
        <v>406</v>
      </c>
      <c r="D18" s="222">
        <v>109</v>
      </c>
      <c r="E18" s="222">
        <v>515</v>
      </c>
      <c r="F18" s="222">
        <v>44</v>
      </c>
      <c r="G18" s="222">
        <v>7</v>
      </c>
      <c r="H18" s="222">
        <v>51</v>
      </c>
      <c r="I18" s="222">
        <v>19</v>
      </c>
      <c r="J18" s="222">
        <v>2</v>
      </c>
      <c r="K18" s="222">
        <v>21</v>
      </c>
      <c r="L18" s="222">
        <v>151</v>
      </c>
      <c r="M18" s="222">
        <v>27</v>
      </c>
      <c r="N18" s="222">
        <v>178</v>
      </c>
    </row>
    <row r="19" spans="1:14" ht="20.45" customHeight="1">
      <c r="A19" s="220">
        <v>15</v>
      </c>
      <c r="B19" s="221" t="s">
        <v>212</v>
      </c>
      <c r="C19" s="222">
        <v>82</v>
      </c>
      <c r="D19" s="222">
        <v>408</v>
      </c>
      <c r="E19" s="222">
        <v>490</v>
      </c>
      <c r="F19" s="222">
        <v>10</v>
      </c>
      <c r="G19" s="222">
        <v>14</v>
      </c>
      <c r="H19" s="222">
        <v>24</v>
      </c>
      <c r="I19" s="222">
        <v>12</v>
      </c>
      <c r="J19" s="222">
        <v>14</v>
      </c>
      <c r="K19" s="222">
        <v>26</v>
      </c>
      <c r="L19" s="222">
        <v>17</v>
      </c>
      <c r="M19" s="222">
        <v>137</v>
      </c>
      <c r="N19" s="222">
        <v>154</v>
      </c>
    </row>
    <row r="20" spans="1:14" ht="20.45" customHeight="1">
      <c r="A20" s="220">
        <v>16</v>
      </c>
      <c r="B20" s="221" t="s">
        <v>253</v>
      </c>
      <c r="C20" s="222">
        <v>298</v>
      </c>
      <c r="D20" s="222">
        <v>163</v>
      </c>
      <c r="E20" s="222">
        <v>461</v>
      </c>
      <c r="F20" s="222">
        <v>28</v>
      </c>
      <c r="G20" s="222">
        <v>13</v>
      </c>
      <c r="H20" s="222">
        <v>41</v>
      </c>
      <c r="I20" s="222">
        <v>8</v>
      </c>
      <c r="J20" s="222">
        <v>4</v>
      </c>
      <c r="K20" s="222">
        <v>12</v>
      </c>
      <c r="L20" s="222">
        <v>75</v>
      </c>
      <c r="M20" s="222">
        <v>20</v>
      </c>
      <c r="N20" s="222">
        <v>95</v>
      </c>
    </row>
    <row r="21" spans="1:14" ht="28.5">
      <c r="A21" s="220">
        <v>17</v>
      </c>
      <c r="B21" s="221" t="s">
        <v>219</v>
      </c>
      <c r="C21" s="222">
        <v>151</v>
      </c>
      <c r="D21" s="222">
        <v>104</v>
      </c>
      <c r="E21" s="222">
        <v>255</v>
      </c>
      <c r="F21" s="222">
        <v>20</v>
      </c>
      <c r="G21" s="222">
        <v>7</v>
      </c>
      <c r="H21" s="222">
        <v>27</v>
      </c>
      <c r="I21" s="222">
        <v>2</v>
      </c>
      <c r="J21" s="222">
        <v>3</v>
      </c>
      <c r="K21" s="222">
        <v>5</v>
      </c>
      <c r="L21" s="222">
        <v>50</v>
      </c>
      <c r="M21" s="222">
        <v>36</v>
      </c>
      <c r="N21" s="222">
        <v>86</v>
      </c>
    </row>
    <row r="22" spans="1:14" ht="28.5">
      <c r="A22" s="220">
        <v>18</v>
      </c>
      <c r="B22" s="221" t="s">
        <v>213</v>
      </c>
      <c r="C22" s="222">
        <v>101</v>
      </c>
      <c r="D22" s="222">
        <v>10</v>
      </c>
      <c r="E22" s="222">
        <v>111</v>
      </c>
      <c r="F22" s="222"/>
      <c r="G22" s="222"/>
      <c r="H22" s="222"/>
      <c r="I22" s="222"/>
      <c r="J22" s="222"/>
      <c r="K22" s="222"/>
      <c r="L22" s="222"/>
      <c r="M22" s="222"/>
      <c r="N22" s="222"/>
    </row>
    <row r="23" spans="1:14" ht="20.45" customHeight="1">
      <c r="A23" s="220">
        <v>19</v>
      </c>
      <c r="B23" s="221" t="s">
        <v>235</v>
      </c>
      <c r="C23" s="222">
        <v>7</v>
      </c>
      <c r="D23" s="222">
        <v>9</v>
      </c>
      <c r="E23" s="222">
        <v>16</v>
      </c>
      <c r="F23" s="222">
        <v>0</v>
      </c>
      <c r="G23" s="222">
        <v>1</v>
      </c>
      <c r="H23" s="222">
        <v>1</v>
      </c>
      <c r="I23" s="222">
        <v>0</v>
      </c>
      <c r="J23" s="222">
        <v>1</v>
      </c>
      <c r="K23" s="222">
        <v>1</v>
      </c>
      <c r="L23" s="222">
        <v>1</v>
      </c>
      <c r="M23" s="222">
        <v>0</v>
      </c>
      <c r="N23" s="222">
        <v>1</v>
      </c>
    </row>
    <row r="24" spans="1:14" ht="20.45" customHeight="1">
      <c r="A24" s="220">
        <v>20</v>
      </c>
      <c r="B24" s="221" t="s">
        <v>239</v>
      </c>
      <c r="C24" s="222">
        <v>3</v>
      </c>
      <c r="D24" s="222">
        <v>0</v>
      </c>
      <c r="E24" s="222">
        <v>3</v>
      </c>
      <c r="F24" s="222">
        <v>0</v>
      </c>
      <c r="G24" s="222">
        <v>0</v>
      </c>
      <c r="H24" s="222">
        <v>0</v>
      </c>
      <c r="I24" s="222">
        <v>0</v>
      </c>
      <c r="J24" s="222">
        <v>0</v>
      </c>
      <c r="K24" s="222">
        <v>0</v>
      </c>
      <c r="L24" s="222">
        <v>3</v>
      </c>
      <c r="M24" s="222">
        <v>0</v>
      </c>
      <c r="N24" s="222">
        <v>3</v>
      </c>
    </row>
    <row r="25" spans="1:14" ht="22.5" customHeight="1">
      <c r="A25" s="220">
        <v>21</v>
      </c>
      <c r="B25" s="221" t="s">
        <v>261</v>
      </c>
      <c r="C25" s="222">
        <v>1113653</v>
      </c>
      <c r="D25" s="222">
        <v>777267</v>
      </c>
      <c r="E25" s="222">
        <v>1890920</v>
      </c>
      <c r="F25" s="222">
        <v>152463</v>
      </c>
      <c r="G25" s="222">
        <v>105091</v>
      </c>
      <c r="H25" s="222">
        <v>257554</v>
      </c>
      <c r="I25" s="222">
        <v>64672</v>
      </c>
      <c r="J25" s="222">
        <v>48999</v>
      </c>
      <c r="K25" s="222">
        <v>113671</v>
      </c>
      <c r="L25" s="222">
        <v>318940</v>
      </c>
      <c r="M25" s="222">
        <v>201145</v>
      </c>
      <c r="N25" s="222">
        <v>520085</v>
      </c>
    </row>
    <row r="26" spans="1:14" ht="20.45" customHeight="1">
      <c r="A26" s="220">
        <v>22</v>
      </c>
      <c r="B26" s="221" t="s">
        <v>263</v>
      </c>
      <c r="C26" s="222">
        <v>303732</v>
      </c>
      <c r="D26" s="222">
        <v>192512</v>
      </c>
      <c r="E26" s="222">
        <v>496244</v>
      </c>
      <c r="F26" s="222">
        <v>26414</v>
      </c>
      <c r="G26" s="222">
        <v>15849</v>
      </c>
      <c r="H26" s="222">
        <v>42263</v>
      </c>
      <c r="I26" s="222">
        <v>5470</v>
      </c>
      <c r="J26" s="222">
        <v>3185</v>
      </c>
      <c r="K26" s="222">
        <v>8655</v>
      </c>
      <c r="L26" s="222">
        <v>82952</v>
      </c>
      <c r="M26" s="222">
        <v>50937</v>
      </c>
      <c r="N26" s="222">
        <v>133889</v>
      </c>
    </row>
    <row r="27" spans="1:14" ht="20.45" customHeight="1">
      <c r="A27" s="220">
        <v>23</v>
      </c>
      <c r="B27" s="221" t="s">
        <v>262</v>
      </c>
      <c r="C27" s="222">
        <v>163070</v>
      </c>
      <c r="D27" s="222">
        <v>88419</v>
      </c>
      <c r="E27" s="222">
        <v>251489</v>
      </c>
      <c r="F27" s="222">
        <v>17389</v>
      </c>
      <c r="G27" s="222">
        <v>10131</v>
      </c>
      <c r="H27" s="222">
        <v>27520</v>
      </c>
      <c r="I27" s="222">
        <v>7409</v>
      </c>
      <c r="J27" s="222">
        <v>4982</v>
      </c>
      <c r="K27" s="222">
        <v>12391</v>
      </c>
      <c r="L27" s="222">
        <v>58477</v>
      </c>
      <c r="M27" s="222">
        <v>32678</v>
      </c>
      <c r="N27" s="222">
        <v>91155</v>
      </c>
    </row>
    <row r="28" spans="1:14" ht="28.5">
      <c r="A28" s="220">
        <v>24</v>
      </c>
      <c r="B28" s="221" t="s">
        <v>269</v>
      </c>
      <c r="C28" s="222">
        <v>43515</v>
      </c>
      <c r="D28" s="222">
        <v>14392</v>
      </c>
      <c r="E28" s="222">
        <v>57907</v>
      </c>
      <c r="F28" s="222">
        <v>6417</v>
      </c>
      <c r="G28" s="222">
        <v>2025</v>
      </c>
      <c r="H28" s="222">
        <v>8442</v>
      </c>
      <c r="I28" s="222">
        <v>1492</v>
      </c>
      <c r="J28" s="222">
        <v>731</v>
      </c>
      <c r="K28" s="222">
        <v>2223</v>
      </c>
      <c r="L28" s="222">
        <v>9370</v>
      </c>
      <c r="M28" s="222">
        <v>3415</v>
      </c>
      <c r="N28" s="222">
        <v>12785</v>
      </c>
    </row>
    <row r="29" spans="1:14" ht="20.45" customHeight="1">
      <c r="A29" s="220">
        <v>25</v>
      </c>
      <c r="B29" s="221" t="s">
        <v>264</v>
      </c>
      <c r="C29" s="222">
        <v>28430</v>
      </c>
      <c r="D29" s="222">
        <v>26056</v>
      </c>
      <c r="E29" s="222">
        <v>54486</v>
      </c>
      <c r="F29" s="222">
        <v>2278</v>
      </c>
      <c r="G29" s="222">
        <v>2058</v>
      </c>
      <c r="H29" s="222">
        <v>4336</v>
      </c>
      <c r="I29" s="222">
        <v>2594</v>
      </c>
      <c r="J29" s="222">
        <v>2296</v>
      </c>
      <c r="K29" s="222">
        <v>4890</v>
      </c>
      <c r="L29" s="222">
        <v>6017</v>
      </c>
      <c r="M29" s="222">
        <v>8264</v>
      </c>
      <c r="N29" s="222">
        <v>14281</v>
      </c>
    </row>
    <row r="30" spans="1:14" ht="28.5">
      <c r="A30" s="220">
        <v>26</v>
      </c>
      <c r="B30" s="221" t="s">
        <v>270</v>
      </c>
      <c r="C30" s="222">
        <v>37466</v>
      </c>
      <c r="D30" s="222">
        <v>15329</v>
      </c>
      <c r="E30" s="222">
        <v>52795</v>
      </c>
      <c r="F30" s="222">
        <v>1749</v>
      </c>
      <c r="G30" s="222">
        <v>896</v>
      </c>
      <c r="H30" s="222">
        <v>2645</v>
      </c>
      <c r="I30" s="222">
        <v>335</v>
      </c>
      <c r="J30" s="222">
        <v>195</v>
      </c>
      <c r="K30" s="222">
        <v>530</v>
      </c>
      <c r="L30" s="222">
        <v>12945</v>
      </c>
      <c r="M30" s="222">
        <v>4610</v>
      </c>
      <c r="N30" s="222">
        <v>17555</v>
      </c>
    </row>
    <row r="31" spans="1:14" ht="20.45" customHeight="1">
      <c r="A31" s="220">
        <v>27</v>
      </c>
      <c r="B31" s="221" t="s">
        <v>267</v>
      </c>
      <c r="C31" s="222">
        <v>24173</v>
      </c>
      <c r="D31" s="222">
        <v>23309</v>
      </c>
      <c r="E31" s="222">
        <v>47482</v>
      </c>
      <c r="F31" s="222">
        <v>3933</v>
      </c>
      <c r="G31" s="222">
        <v>3585</v>
      </c>
      <c r="H31" s="222">
        <v>7518</v>
      </c>
      <c r="I31" s="222">
        <v>647</v>
      </c>
      <c r="J31" s="222">
        <v>366</v>
      </c>
      <c r="K31" s="222">
        <v>1013</v>
      </c>
      <c r="L31" s="222">
        <v>6355</v>
      </c>
      <c r="M31" s="222">
        <v>3490</v>
      </c>
      <c r="N31" s="222">
        <v>9845</v>
      </c>
    </row>
    <row r="32" spans="1:14" ht="28.5">
      <c r="A32" s="220">
        <v>28</v>
      </c>
      <c r="B32" s="221" t="s">
        <v>278</v>
      </c>
      <c r="C32" s="222">
        <v>11804</v>
      </c>
      <c r="D32" s="222">
        <v>11800</v>
      </c>
      <c r="E32" s="222">
        <v>23604</v>
      </c>
      <c r="F32" s="222">
        <v>1510</v>
      </c>
      <c r="G32" s="222">
        <v>1310</v>
      </c>
      <c r="H32" s="222">
        <v>2820</v>
      </c>
      <c r="I32" s="222">
        <v>828</v>
      </c>
      <c r="J32" s="222">
        <v>764</v>
      </c>
      <c r="K32" s="222">
        <v>1592</v>
      </c>
      <c r="L32" s="222">
        <v>4292</v>
      </c>
      <c r="M32" s="222">
        <v>3756</v>
      </c>
      <c r="N32" s="222">
        <v>8048</v>
      </c>
    </row>
    <row r="33" spans="1:14" ht="18" customHeight="1">
      <c r="A33" s="220">
        <v>29</v>
      </c>
      <c r="B33" s="221" t="s">
        <v>295</v>
      </c>
      <c r="C33" s="222">
        <v>7288</v>
      </c>
      <c r="D33" s="222">
        <v>14510</v>
      </c>
      <c r="E33" s="222">
        <v>21798</v>
      </c>
      <c r="F33" s="222">
        <v>1609</v>
      </c>
      <c r="G33" s="222">
        <v>3134</v>
      </c>
      <c r="H33" s="222">
        <v>4743</v>
      </c>
      <c r="I33" s="222">
        <v>130</v>
      </c>
      <c r="J33" s="222">
        <v>134</v>
      </c>
      <c r="K33" s="222">
        <v>264</v>
      </c>
      <c r="L33" s="222">
        <v>4775</v>
      </c>
      <c r="M33" s="222">
        <v>9410</v>
      </c>
      <c r="N33" s="222">
        <v>14185</v>
      </c>
    </row>
    <row r="34" spans="1:14" ht="20.45" customHeight="1">
      <c r="A34" s="220">
        <v>30</v>
      </c>
      <c r="B34" s="221" t="s">
        <v>286</v>
      </c>
      <c r="C34" s="222">
        <v>3895</v>
      </c>
      <c r="D34" s="222">
        <v>3891</v>
      </c>
      <c r="E34" s="222">
        <v>7786</v>
      </c>
      <c r="F34" s="222">
        <v>864</v>
      </c>
      <c r="G34" s="222">
        <v>852</v>
      </c>
      <c r="H34" s="222">
        <v>1716</v>
      </c>
      <c r="I34" s="222">
        <v>472</v>
      </c>
      <c r="J34" s="222">
        <v>439</v>
      </c>
      <c r="K34" s="222">
        <v>911</v>
      </c>
      <c r="L34" s="222">
        <v>685</v>
      </c>
      <c r="M34" s="222">
        <v>504</v>
      </c>
      <c r="N34" s="222">
        <v>1189</v>
      </c>
    </row>
    <row r="35" spans="1:14" ht="20.45" customHeight="1">
      <c r="A35" s="220">
        <v>31</v>
      </c>
      <c r="B35" s="221" t="s">
        <v>298</v>
      </c>
      <c r="C35" s="222">
        <v>2059</v>
      </c>
      <c r="D35" s="222">
        <v>1483</v>
      </c>
      <c r="E35" s="222">
        <v>3542</v>
      </c>
      <c r="F35" s="222">
        <v>134</v>
      </c>
      <c r="G35" s="222">
        <v>104</v>
      </c>
      <c r="H35" s="222">
        <v>238</v>
      </c>
      <c r="I35" s="222">
        <v>28</v>
      </c>
      <c r="J35" s="222">
        <v>22</v>
      </c>
      <c r="K35" s="222">
        <v>50</v>
      </c>
      <c r="L35" s="222">
        <v>1227</v>
      </c>
      <c r="M35" s="222">
        <v>703</v>
      </c>
      <c r="N35" s="222">
        <v>1930</v>
      </c>
    </row>
    <row r="36" spans="1:14" ht="28.5">
      <c r="A36" s="220">
        <v>32</v>
      </c>
      <c r="B36" s="221" t="s">
        <v>268</v>
      </c>
      <c r="C36" s="222">
        <v>2151</v>
      </c>
      <c r="D36" s="222">
        <v>897</v>
      </c>
      <c r="E36" s="222">
        <v>3048</v>
      </c>
      <c r="F36" s="222">
        <v>111</v>
      </c>
      <c r="G36" s="222">
        <v>66</v>
      </c>
      <c r="H36" s="222">
        <v>177</v>
      </c>
      <c r="I36" s="222">
        <v>30</v>
      </c>
      <c r="J36" s="222">
        <v>11</v>
      </c>
      <c r="K36" s="222">
        <v>41</v>
      </c>
      <c r="L36" s="222">
        <v>1352</v>
      </c>
      <c r="M36" s="222">
        <v>508</v>
      </c>
      <c r="N36" s="222">
        <v>1860</v>
      </c>
    </row>
    <row r="37" spans="1:14" ht="20.45" customHeight="1">
      <c r="A37" s="220">
        <v>33</v>
      </c>
      <c r="B37" s="221" t="s">
        <v>271</v>
      </c>
      <c r="C37" s="222">
        <v>1710</v>
      </c>
      <c r="D37" s="222">
        <v>569</v>
      </c>
      <c r="E37" s="222">
        <v>2279</v>
      </c>
      <c r="F37" s="222">
        <v>254</v>
      </c>
      <c r="G37" s="222">
        <v>52</v>
      </c>
      <c r="H37" s="222">
        <v>306</v>
      </c>
      <c r="I37" s="222">
        <v>16</v>
      </c>
      <c r="J37" s="222">
        <v>3</v>
      </c>
      <c r="K37" s="222">
        <v>19</v>
      </c>
      <c r="L37" s="222">
        <v>920</v>
      </c>
      <c r="M37" s="222">
        <v>320</v>
      </c>
      <c r="N37" s="222">
        <v>1240</v>
      </c>
    </row>
    <row r="38" spans="1:14" ht="28.5">
      <c r="A38" s="220">
        <v>34</v>
      </c>
      <c r="B38" s="221" t="s">
        <v>294</v>
      </c>
      <c r="C38" s="222">
        <v>822</v>
      </c>
      <c r="D38" s="222">
        <v>354</v>
      </c>
      <c r="E38" s="222">
        <v>1176</v>
      </c>
      <c r="F38" s="222">
        <v>401</v>
      </c>
      <c r="G38" s="222">
        <v>146</v>
      </c>
      <c r="H38" s="222">
        <v>547</v>
      </c>
      <c r="I38" s="222">
        <v>0</v>
      </c>
      <c r="J38" s="222">
        <v>0</v>
      </c>
      <c r="K38" s="222">
        <v>0</v>
      </c>
      <c r="L38" s="222">
        <v>66</v>
      </c>
      <c r="M38" s="222">
        <v>20</v>
      </c>
      <c r="N38" s="222">
        <v>86</v>
      </c>
    </row>
    <row r="39" spans="1:14" ht="28.5">
      <c r="A39" s="220">
        <v>35</v>
      </c>
      <c r="B39" s="221" t="s">
        <v>272</v>
      </c>
      <c r="C39" s="222">
        <v>394</v>
      </c>
      <c r="D39" s="222">
        <v>491</v>
      </c>
      <c r="E39" s="222">
        <v>885</v>
      </c>
      <c r="F39" s="222">
        <v>67</v>
      </c>
      <c r="G39" s="222">
        <v>101</v>
      </c>
      <c r="H39" s="222">
        <v>168</v>
      </c>
      <c r="I39" s="222">
        <v>26</v>
      </c>
      <c r="J39" s="222">
        <v>50</v>
      </c>
      <c r="K39" s="222">
        <v>76</v>
      </c>
      <c r="L39" s="222">
        <v>200</v>
      </c>
      <c r="M39" s="222">
        <v>162</v>
      </c>
      <c r="N39" s="222">
        <v>362</v>
      </c>
    </row>
    <row r="40" spans="1:14" ht="20.45" customHeight="1">
      <c r="A40" s="220">
        <v>36</v>
      </c>
      <c r="B40" s="221" t="s">
        <v>287</v>
      </c>
      <c r="C40" s="222">
        <v>194</v>
      </c>
      <c r="D40" s="222">
        <v>532</v>
      </c>
      <c r="E40" s="222">
        <v>726</v>
      </c>
      <c r="F40" s="222">
        <v>34</v>
      </c>
      <c r="G40" s="222">
        <v>35</v>
      </c>
      <c r="H40" s="222">
        <v>69</v>
      </c>
      <c r="I40" s="222">
        <v>13</v>
      </c>
      <c r="J40" s="222">
        <v>19</v>
      </c>
      <c r="K40" s="222">
        <v>32</v>
      </c>
      <c r="L40" s="222">
        <v>70</v>
      </c>
      <c r="M40" s="222">
        <v>235</v>
      </c>
      <c r="N40" s="222">
        <v>305</v>
      </c>
    </row>
    <row r="41" spans="1:14" ht="25.5" customHeight="1">
      <c r="A41" s="220">
        <v>37</v>
      </c>
      <c r="B41" s="221" t="s">
        <v>275</v>
      </c>
      <c r="C41" s="222">
        <v>274</v>
      </c>
      <c r="D41" s="222">
        <v>167</v>
      </c>
      <c r="E41" s="222">
        <v>441</v>
      </c>
      <c r="F41" s="222">
        <v>13</v>
      </c>
      <c r="G41" s="222">
        <v>11</v>
      </c>
      <c r="H41" s="222">
        <v>24</v>
      </c>
      <c r="I41" s="222">
        <v>0</v>
      </c>
      <c r="J41" s="222">
        <v>2</v>
      </c>
      <c r="K41" s="222">
        <v>2</v>
      </c>
      <c r="L41" s="222">
        <v>41</v>
      </c>
      <c r="M41" s="222">
        <v>40</v>
      </c>
      <c r="N41" s="222">
        <v>81</v>
      </c>
    </row>
    <row r="42" spans="1:14" ht="28.5">
      <c r="A42" s="220">
        <v>38</v>
      </c>
      <c r="B42" s="221" t="s">
        <v>280</v>
      </c>
      <c r="C42" s="222">
        <v>214</v>
      </c>
      <c r="D42" s="222">
        <v>124</v>
      </c>
      <c r="E42" s="222">
        <v>338</v>
      </c>
      <c r="F42" s="222">
        <v>4</v>
      </c>
      <c r="G42" s="222">
        <v>2</v>
      </c>
      <c r="H42" s="222">
        <v>6</v>
      </c>
      <c r="I42" s="222">
        <v>1</v>
      </c>
      <c r="J42" s="222">
        <v>1</v>
      </c>
      <c r="K42" s="222">
        <v>2</v>
      </c>
      <c r="L42" s="222">
        <v>24</v>
      </c>
      <c r="M42" s="222">
        <v>23</v>
      </c>
      <c r="N42" s="222">
        <v>47</v>
      </c>
    </row>
    <row r="43" spans="1:14" ht="20.45" customHeight="1">
      <c r="A43" s="220">
        <v>39</v>
      </c>
      <c r="B43" s="221" t="s">
        <v>307</v>
      </c>
      <c r="C43" s="222">
        <v>175</v>
      </c>
      <c r="D43" s="222">
        <v>40</v>
      </c>
      <c r="E43" s="222">
        <v>215</v>
      </c>
      <c r="F43" s="222">
        <v>12</v>
      </c>
      <c r="G43" s="222">
        <v>6</v>
      </c>
      <c r="H43" s="222">
        <v>18</v>
      </c>
      <c r="I43" s="222">
        <v>22</v>
      </c>
      <c r="J43" s="222">
        <v>2</v>
      </c>
      <c r="K43" s="222">
        <v>24</v>
      </c>
      <c r="L43" s="222">
        <v>65</v>
      </c>
      <c r="M43" s="222">
        <v>17</v>
      </c>
      <c r="N43" s="222">
        <v>82</v>
      </c>
    </row>
    <row r="44" spans="1:14" ht="28.5">
      <c r="A44" s="220">
        <v>40</v>
      </c>
      <c r="B44" s="221" t="s">
        <v>281</v>
      </c>
      <c r="C44" s="222">
        <v>83</v>
      </c>
      <c r="D44" s="222">
        <v>99</v>
      </c>
      <c r="E44" s="222">
        <v>182</v>
      </c>
      <c r="F44" s="222">
        <v>0</v>
      </c>
      <c r="G44" s="222">
        <v>0</v>
      </c>
      <c r="H44" s="222">
        <v>0</v>
      </c>
      <c r="I44" s="222">
        <v>0</v>
      </c>
      <c r="J44" s="222">
        <v>0</v>
      </c>
      <c r="K44" s="222">
        <v>0</v>
      </c>
      <c r="L44" s="222">
        <v>7</v>
      </c>
      <c r="M44" s="222">
        <v>8</v>
      </c>
      <c r="N44" s="222">
        <v>15</v>
      </c>
    </row>
    <row r="45" spans="1:14" ht="28.5">
      <c r="A45" s="220">
        <v>41</v>
      </c>
      <c r="B45" s="221" t="s">
        <v>316</v>
      </c>
      <c r="C45" s="222">
        <v>58</v>
      </c>
      <c r="D45" s="222">
        <v>105</v>
      </c>
      <c r="E45" s="222">
        <v>163</v>
      </c>
      <c r="F45" s="222">
        <v>0</v>
      </c>
      <c r="G45" s="222">
        <v>0</v>
      </c>
      <c r="H45" s="222">
        <v>0</v>
      </c>
      <c r="I45" s="222">
        <v>13</v>
      </c>
      <c r="J45" s="222">
        <v>35</v>
      </c>
      <c r="K45" s="222">
        <v>48</v>
      </c>
      <c r="L45" s="222">
        <v>0</v>
      </c>
      <c r="M45" s="222">
        <v>0</v>
      </c>
      <c r="N45" s="222">
        <v>0</v>
      </c>
    </row>
    <row r="46" spans="1:14" ht="28.5">
      <c r="A46" s="220">
        <v>42</v>
      </c>
      <c r="B46" s="221" t="s">
        <v>293</v>
      </c>
      <c r="C46" s="222">
        <v>119</v>
      </c>
      <c r="D46" s="222">
        <v>9</v>
      </c>
      <c r="E46" s="222">
        <v>128</v>
      </c>
      <c r="F46" s="222">
        <v>4</v>
      </c>
      <c r="G46" s="222">
        <v>0</v>
      </c>
      <c r="H46" s="222">
        <v>4</v>
      </c>
      <c r="I46" s="222">
        <v>0</v>
      </c>
      <c r="J46" s="222">
        <v>0</v>
      </c>
      <c r="K46" s="222">
        <v>0</v>
      </c>
      <c r="L46" s="222">
        <v>6</v>
      </c>
      <c r="M46" s="222">
        <v>1</v>
      </c>
      <c r="N46" s="222">
        <v>7</v>
      </c>
    </row>
    <row r="47" spans="1:14" ht="28.5">
      <c r="A47" s="220">
        <v>43</v>
      </c>
      <c r="B47" s="221" t="s">
        <v>337</v>
      </c>
      <c r="C47" s="222">
        <v>70</v>
      </c>
      <c r="D47" s="222">
        <v>27</v>
      </c>
      <c r="E47" s="222">
        <v>97</v>
      </c>
      <c r="F47" s="222">
        <v>0</v>
      </c>
      <c r="G47" s="222">
        <v>0</v>
      </c>
      <c r="H47" s="222">
        <v>0</v>
      </c>
      <c r="I47" s="222">
        <v>0</v>
      </c>
      <c r="J47" s="222">
        <v>0</v>
      </c>
      <c r="K47" s="222">
        <v>0</v>
      </c>
      <c r="L47" s="222">
        <v>17</v>
      </c>
      <c r="M47" s="222">
        <v>2</v>
      </c>
      <c r="N47" s="222">
        <v>19</v>
      </c>
    </row>
    <row r="48" spans="1:14" ht="20.45" customHeight="1">
      <c r="A48" s="220">
        <v>44</v>
      </c>
      <c r="B48" s="221" t="s">
        <v>276</v>
      </c>
      <c r="C48" s="222">
        <v>58</v>
      </c>
      <c r="D48" s="222">
        <v>9</v>
      </c>
      <c r="E48" s="222">
        <v>67</v>
      </c>
      <c r="F48" s="222">
        <v>5</v>
      </c>
      <c r="G48" s="222">
        <v>1</v>
      </c>
      <c r="H48" s="222">
        <v>6</v>
      </c>
      <c r="I48" s="222">
        <v>0</v>
      </c>
      <c r="J48" s="222">
        <v>0</v>
      </c>
      <c r="K48" s="222">
        <v>0</v>
      </c>
      <c r="L48" s="222">
        <v>19</v>
      </c>
      <c r="M48" s="222">
        <v>3</v>
      </c>
      <c r="N48" s="222">
        <v>22</v>
      </c>
    </row>
    <row r="49" spans="1:14" ht="28.5">
      <c r="A49" s="220">
        <v>45</v>
      </c>
      <c r="B49" s="221" t="s">
        <v>313</v>
      </c>
      <c r="C49" s="222">
        <v>31</v>
      </c>
      <c r="D49" s="222">
        <v>9</v>
      </c>
      <c r="E49" s="222">
        <v>40</v>
      </c>
      <c r="F49" s="222">
        <v>2</v>
      </c>
      <c r="G49" s="222">
        <v>0</v>
      </c>
      <c r="H49" s="222">
        <v>2</v>
      </c>
      <c r="I49" s="222">
        <v>1</v>
      </c>
      <c r="J49" s="222">
        <v>0</v>
      </c>
      <c r="K49" s="222">
        <v>1</v>
      </c>
      <c r="L49" s="222">
        <v>8</v>
      </c>
      <c r="M49" s="222">
        <v>0</v>
      </c>
      <c r="N49" s="222">
        <v>8</v>
      </c>
    </row>
    <row r="50" spans="1:14" ht="20.45" customHeight="1">
      <c r="A50" s="220">
        <v>46</v>
      </c>
      <c r="B50" s="221" t="s">
        <v>326</v>
      </c>
      <c r="C50" s="222">
        <v>0</v>
      </c>
      <c r="D50" s="222">
        <v>5</v>
      </c>
      <c r="E50" s="222">
        <v>5</v>
      </c>
      <c r="F50" s="222">
        <v>0</v>
      </c>
      <c r="G50" s="222">
        <v>0</v>
      </c>
      <c r="H50" s="222">
        <v>0</v>
      </c>
      <c r="I50" s="222">
        <v>0</v>
      </c>
      <c r="J50" s="222">
        <v>3</v>
      </c>
      <c r="K50" s="222">
        <v>3</v>
      </c>
      <c r="L50" s="222">
        <v>0</v>
      </c>
      <c r="M50" s="222">
        <v>1</v>
      </c>
      <c r="N50" s="222">
        <v>1</v>
      </c>
    </row>
    <row r="51" spans="1:14" ht="21" customHeight="1">
      <c r="A51" s="220">
        <v>47</v>
      </c>
      <c r="B51" s="221" t="s">
        <v>306</v>
      </c>
      <c r="C51" s="222">
        <v>0</v>
      </c>
      <c r="D51" s="222">
        <v>4</v>
      </c>
      <c r="E51" s="222">
        <v>4</v>
      </c>
      <c r="F51" s="222">
        <v>0</v>
      </c>
      <c r="G51" s="222">
        <v>0</v>
      </c>
      <c r="H51" s="222">
        <v>0</v>
      </c>
      <c r="I51" s="222">
        <v>0</v>
      </c>
      <c r="J51" s="222">
        <v>0</v>
      </c>
      <c r="K51" s="222">
        <v>0</v>
      </c>
      <c r="L51" s="222">
        <v>0</v>
      </c>
      <c r="M51" s="222">
        <v>2</v>
      </c>
      <c r="N51" s="222">
        <v>2</v>
      </c>
    </row>
    <row r="52" spans="1:14" ht="23.25" customHeight="1">
      <c r="A52" s="220">
        <v>48</v>
      </c>
      <c r="B52" s="221" t="s">
        <v>340</v>
      </c>
      <c r="C52" s="222">
        <v>50863</v>
      </c>
      <c r="D52" s="222">
        <v>38103</v>
      </c>
      <c r="E52" s="222">
        <v>88966</v>
      </c>
      <c r="F52" s="222">
        <v>6203</v>
      </c>
      <c r="G52" s="222">
        <v>3699</v>
      </c>
      <c r="H52" s="222">
        <v>9902</v>
      </c>
      <c r="I52" s="222">
        <v>2941</v>
      </c>
      <c r="J52" s="222">
        <v>2744</v>
      </c>
      <c r="K52" s="222">
        <v>5685</v>
      </c>
      <c r="L52" s="222">
        <v>16136</v>
      </c>
      <c r="M52" s="222">
        <v>12050</v>
      </c>
      <c r="N52" s="222">
        <v>28186</v>
      </c>
    </row>
    <row r="53" spans="1:14" ht="20.45" customHeight="1">
      <c r="A53" s="220">
        <v>49</v>
      </c>
      <c r="B53" s="221" t="s">
        <v>341</v>
      </c>
      <c r="C53" s="222">
        <v>54960</v>
      </c>
      <c r="D53" s="222">
        <v>52014</v>
      </c>
      <c r="E53" s="222">
        <v>106974</v>
      </c>
      <c r="F53" s="222">
        <v>7431</v>
      </c>
      <c r="G53" s="222">
        <v>7583</v>
      </c>
      <c r="H53" s="222">
        <v>15014</v>
      </c>
      <c r="I53" s="222">
        <v>5841</v>
      </c>
      <c r="J53" s="222">
        <v>5690</v>
      </c>
      <c r="K53" s="222">
        <v>11531</v>
      </c>
      <c r="L53" s="222">
        <v>20158</v>
      </c>
      <c r="M53" s="222">
        <v>12927</v>
      </c>
      <c r="N53" s="222">
        <v>33085</v>
      </c>
    </row>
    <row r="54" spans="1:14" ht="28.5">
      <c r="A54" s="220">
        <v>50</v>
      </c>
      <c r="B54" s="221" t="s">
        <v>346</v>
      </c>
      <c r="C54" s="222">
        <v>1613</v>
      </c>
      <c r="D54" s="222">
        <v>5560</v>
      </c>
      <c r="E54" s="222">
        <v>7173</v>
      </c>
      <c r="F54" s="222">
        <v>229</v>
      </c>
      <c r="G54" s="222">
        <v>602</v>
      </c>
      <c r="H54" s="222">
        <v>831</v>
      </c>
      <c r="I54" s="222">
        <v>314</v>
      </c>
      <c r="J54" s="222">
        <v>980</v>
      </c>
      <c r="K54" s="222">
        <v>1294</v>
      </c>
      <c r="L54" s="222">
        <v>835</v>
      </c>
      <c r="M54" s="222">
        <v>3211</v>
      </c>
      <c r="N54" s="222">
        <v>4046</v>
      </c>
    </row>
    <row r="55" spans="1:14" ht="20.45" customHeight="1">
      <c r="A55" s="220">
        <v>51</v>
      </c>
      <c r="B55" s="221" t="s">
        <v>342</v>
      </c>
      <c r="C55" s="222">
        <v>2300</v>
      </c>
      <c r="D55" s="222">
        <v>3298</v>
      </c>
      <c r="E55" s="222">
        <v>5598</v>
      </c>
      <c r="F55" s="222">
        <v>373</v>
      </c>
      <c r="G55" s="222">
        <v>382</v>
      </c>
      <c r="H55" s="222">
        <v>755</v>
      </c>
      <c r="I55" s="222">
        <v>567</v>
      </c>
      <c r="J55" s="222">
        <v>658</v>
      </c>
      <c r="K55" s="222">
        <v>1225</v>
      </c>
      <c r="L55" s="222">
        <v>809</v>
      </c>
      <c r="M55" s="222">
        <v>1138</v>
      </c>
      <c r="N55" s="222">
        <v>1947</v>
      </c>
    </row>
    <row r="56" spans="1:14" ht="20.45" customHeight="1">
      <c r="A56" s="220">
        <v>52</v>
      </c>
      <c r="B56" s="221" t="s">
        <v>344</v>
      </c>
      <c r="C56" s="222">
        <v>0</v>
      </c>
      <c r="D56" s="222">
        <v>195</v>
      </c>
      <c r="E56" s="222">
        <v>195</v>
      </c>
      <c r="F56" s="222">
        <v>0</v>
      </c>
      <c r="G56" s="222">
        <v>106</v>
      </c>
      <c r="H56" s="222">
        <v>106</v>
      </c>
      <c r="I56" s="222">
        <v>0</v>
      </c>
      <c r="J56" s="222">
        <v>80</v>
      </c>
      <c r="K56" s="222">
        <v>80</v>
      </c>
      <c r="L56" s="222">
        <v>0</v>
      </c>
      <c r="M56" s="222">
        <v>4</v>
      </c>
      <c r="N56" s="222">
        <v>4</v>
      </c>
    </row>
    <row r="57" spans="1:14" ht="20.45" customHeight="1">
      <c r="A57" s="220">
        <v>53</v>
      </c>
      <c r="B57" s="221" t="s">
        <v>343</v>
      </c>
      <c r="C57" s="222">
        <v>43</v>
      </c>
      <c r="D57" s="222">
        <v>77</v>
      </c>
      <c r="E57" s="222">
        <v>120</v>
      </c>
      <c r="F57" s="222">
        <v>25</v>
      </c>
      <c r="G57" s="222">
        <v>19</v>
      </c>
      <c r="H57" s="222">
        <v>44</v>
      </c>
      <c r="I57" s="222">
        <v>2</v>
      </c>
      <c r="J57" s="222">
        <v>3</v>
      </c>
      <c r="K57" s="222">
        <v>5</v>
      </c>
      <c r="L57" s="222">
        <v>6</v>
      </c>
      <c r="M57" s="222">
        <v>37</v>
      </c>
      <c r="N57" s="222">
        <v>43</v>
      </c>
    </row>
    <row r="58" spans="1:14" ht="20.45" customHeight="1">
      <c r="A58" s="220">
        <v>54</v>
      </c>
      <c r="B58" s="221" t="s">
        <v>347</v>
      </c>
      <c r="C58" s="222">
        <v>18795</v>
      </c>
      <c r="D58" s="222">
        <v>15951</v>
      </c>
      <c r="E58" s="222">
        <v>34746</v>
      </c>
      <c r="F58" s="222">
        <v>2114</v>
      </c>
      <c r="G58" s="222">
        <v>1706</v>
      </c>
      <c r="H58" s="222">
        <v>3820</v>
      </c>
      <c r="I58" s="222">
        <v>1506</v>
      </c>
      <c r="J58" s="222">
        <v>1132</v>
      </c>
      <c r="K58" s="222">
        <v>2638</v>
      </c>
      <c r="L58" s="222">
        <v>7693</v>
      </c>
      <c r="M58" s="222">
        <v>7281</v>
      </c>
      <c r="N58" s="222">
        <v>14974</v>
      </c>
    </row>
    <row r="59" spans="1:14" ht="28.5">
      <c r="A59" s="220">
        <v>55</v>
      </c>
      <c r="B59" s="221" t="s">
        <v>352</v>
      </c>
      <c r="C59" s="222">
        <v>182</v>
      </c>
      <c r="D59" s="222">
        <v>61</v>
      </c>
      <c r="E59" s="222">
        <v>243</v>
      </c>
      <c r="F59" s="222">
        <v>28</v>
      </c>
      <c r="G59" s="222">
        <v>7</v>
      </c>
      <c r="H59" s="222">
        <v>35</v>
      </c>
      <c r="I59" s="222">
        <v>3</v>
      </c>
      <c r="J59" s="222">
        <v>0</v>
      </c>
      <c r="K59" s="222">
        <v>3</v>
      </c>
      <c r="L59" s="222">
        <v>136</v>
      </c>
      <c r="M59" s="222">
        <v>46</v>
      </c>
      <c r="N59" s="222">
        <v>182</v>
      </c>
    </row>
    <row r="60" spans="1:14" ht="28.5">
      <c r="A60" s="220">
        <v>56</v>
      </c>
      <c r="B60" s="221" t="s">
        <v>358</v>
      </c>
      <c r="C60" s="222">
        <v>4</v>
      </c>
      <c r="D60" s="222">
        <v>4</v>
      </c>
      <c r="E60" s="222">
        <v>8</v>
      </c>
      <c r="F60" s="222">
        <v>0</v>
      </c>
      <c r="G60" s="222">
        <v>0</v>
      </c>
      <c r="H60" s="222">
        <v>0</v>
      </c>
      <c r="I60" s="222">
        <v>0</v>
      </c>
      <c r="J60" s="222">
        <v>0</v>
      </c>
      <c r="K60" s="222">
        <v>0</v>
      </c>
      <c r="L60" s="222">
        <v>2</v>
      </c>
      <c r="M60" s="222">
        <v>0</v>
      </c>
      <c r="N60" s="222">
        <v>2</v>
      </c>
    </row>
    <row r="61" spans="1:14" ht="21" customHeight="1">
      <c r="A61" s="819" t="s">
        <v>49</v>
      </c>
      <c r="B61" s="819"/>
      <c r="C61" s="230">
        <f t="shared" ref="C61:N61" si="0">SUM(C5:C60)</f>
        <v>2378953</v>
      </c>
      <c r="D61" s="230">
        <f t="shared" si="0"/>
        <v>1904464</v>
      </c>
      <c r="E61" s="230">
        <f t="shared" si="0"/>
        <v>4283417</v>
      </c>
      <c r="F61" s="230">
        <f t="shared" si="0"/>
        <v>284989</v>
      </c>
      <c r="G61" s="230">
        <f t="shared" si="0"/>
        <v>220444</v>
      </c>
      <c r="H61" s="230">
        <f t="shared" si="0"/>
        <v>505433</v>
      </c>
      <c r="I61" s="230">
        <f t="shared" si="0"/>
        <v>118737</v>
      </c>
      <c r="J61" s="230">
        <f t="shared" si="0"/>
        <v>99302</v>
      </c>
      <c r="K61" s="230">
        <f t="shared" si="0"/>
        <v>218039</v>
      </c>
      <c r="L61" s="230">
        <f t="shared" si="0"/>
        <v>710058</v>
      </c>
      <c r="M61" s="230">
        <f t="shared" si="0"/>
        <v>536271</v>
      </c>
      <c r="N61" s="230">
        <f t="shared" si="0"/>
        <v>1246329</v>
      </c>
    </row>
  </sheetData>
  <mergeCells count="10">
    <mergeCell ref="A61:B61"/>
    <mergeCell ref="A1:B1"/>
    <mergeCell ref="C1:H1"/>
    <mergeCell ref="I1:N1"/>
    <mergeCell ref="A2:A3"/>
    <mergeCell ref="B2:B3"/>
    <mergeCell ref="C2:E2"/>
    <mergeCell ref="F2:H2"/>
    <mergeCell ref="I2:K2"/>
    <mergeCell ref="L2:N2"/>
  </mergeCells>
  <pageMargins left="0.5" right="0.5" top="0.5" bottom="0.4" header="0.15748031496063" footer="7.8740157480315001E-2"/>
  <pageSetup paperSize="9" scale="76" firstPageNumber="40" pageOrder="overThenDown" orientation="portrait" useFirstPageNumber="1" r:id="rId1"/>
  <headerFooter>
    <oddFooter>&amp;LAISHE 2019-20&amp;CT-11a</oddFooter>
  </headerFooter>
  <rowBreaks count="1" manualBreakCount="1">
    <brk id="42" max="13" man="1"/>
  </rowBreaks>
  <colBreaks count="1" manualBreakCount="1">
    <brk id="8" max="7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00B050"/>
  </sheetPr>
  <dimension ref="A1:F74"/>
  <sheetViews>
    <sheetView view="pageBreakPreview" topLeftCell="B58" zoomScaleSheetLayoutView="100" workbookViewId="0">
      <selection activeCell="F6" sqref="F6"/>
    </sheetView>
  </sheetViews>
  <sheetFormatPr defaultColWidth="9.140625" defaultRowHeight="14.25"/>
  <cols>
    <col min="1" max="1" width="35.5703125" style="80" customWidth="1"/>
    <col min="2" max="2" width="33.7109375" style="80" customWidth="1"/>
    <col min="3" max="5" width="17.42578125" style="80" customWidth="1"/>
    <col min="6" max="6" width="15.42578125" style="73" customWidth="1"/>
    <col min="7" max="16384" width="9.140625" style="73"/>
  </cols>
  <sheetData>
    <row r="1" spans="1:6" ht="38.25" customHeight="1">
      <c r="A1" s="836" t="s">
        <v>856</v>
      </c>
      <c r="B1" s="836"/>
      <c r="C1" s="837"/>
      <c r="D1" s="837"/>
      <c r="E1" s="837"/>
    </row>
    <row r="2" spans="1:6" ht="22.5" customHeight="1">
      <c r="A2" s="838" t="s">
        <v>364</v>
      </c>
      <c r="B2" s="838"/>
      <c r="C2" s="426" t="s">
        <v>87</v>
      </c>
      <c r="D2" s="426" t="s">
        <v>88</v>
      </c>
      <c r="E2" s="426" t="s">
        <v>12</v>
      </c>
    </row>
    <row r="3" spans="1:6" ht="13.9" customHeight="1">
      <c r="A3" s="242">
        <v>1</v>
      </c>
      <c r="B3" s="242">
        <v>2</v>
      </c>
      <c r="C3" s="242">
        <v>3</v>
      </c>
      <c r="D3" s="242">
        <v>4</v>
      </c>
      <c r="E3" s="242">
        <v>5</v>
      </c>
    </row>
    <row r="4" spans="1:6" ht="21.6" customHeight="1">
      <c r="A4" s="233" t="s">
        <v>365</v>
      </c>
      <c r="B4" s="234"/>
      <c r="C4" s="235">
        <v>4547708</v>
      </c>
      <c r="D4" s="236">
        <v>5107878</v>
      </c>
      <c r="E4" s="236">
        <v>9655586</v>
      </c>
    </row>
    <row r="5" spans="1:6" ht="21.6" customHeight="1">
      <c r="A5" s="237" t="s">
        <v>175</v>
      </c>
      <c r="B5" s="234"/>
      <c r="C5" s="235">
        <v>2295673</v>
      </c>
      <c r="D5" s="236">
        <v>2459711</v>
      </c>
      <c r="E5" s="236">
        <v>4755384</v>
      </c>
      <c r="F5" s="73">
        <f>E5+E24</f>
        <v>8482569</v>
      </c>
    </row>
    <row r="6" spans="1:6" ht="21.6" customHeight="1">
      <c r="A6" s="233" t="s">
        <v>366</v>
      </c>
      <c r="B6" s="234"/>
      <c r="C6" s="235">
        <v>2132311</v>
      </c>
      <c r="D6" s="236">
        <v>2030817</v>
      </c>
      <c r="E6" s="236">
        <v>4163128</v>
      </c>
    </row>
    <row r="7" spans="1:6" ht="21.6" customHeight="1">
      <c r="A7" s="839" t="s">
        <v>367</v>
      </c>
      <c r="B7" s="238" t="s">
        <v>371</v>
      </c>
      <c r="C7" s="235">
        <v>578877</v>
      </c>
      <c r="D7" s="236">
        <v>356393</v>
      </c>
      <c r="E7" s="236">
        <v>935270</v>
      </c>
    </row>
    <row r="8" spans="1:6" ht="21.6" customHeight="1">
      <c r="A8" s="840"/>
      <c r="B8" s="239" t="s">
        <v>368</v>
      </c>
      <c r="C8" s="235">
        <v>644707</v>
      </c>
      <c r="D8" s="236">
        <v>40219</v>
      </c>
      <c r="E8" s="236">
        <v>684926</v>
      </c>
    </row>
    <row r="9" spans="1:6" ht="21.6" customHeight="1">
      <c r="A9" s="840"/>
      <c r="B9" s="239" t="s">
        <v>369</v>
      </c>
      <c r="C9" s="235">
        <v>356509</v>
      </c>
      <c r="D9" s="236">
        <v>254933</v>
      </c>
      <c r="E9" s="236">
        <v>611442</v>
      </c>
    </row>
    <row r="10" spans="1:6" ht="21.6" customHeight="1">
      <c r="A10" s="840"/>
      <c r="B10" s="239" t="s">
        <v>373</v>
      </c>
      <c r="C10" s="235">
        <v>375134</v>
      </c>
      <c r="D10" s="236">
        <v>109033</v>
      </c>
      <c r="E10" s="236">
        <v>484167</v>
      </c>
    </row>
    <row r="11" spans="1:6" ht="21.6" customHeight="1">
      <c r="A11" s="840"/>
      <c r="B11" s="239" t="s">
        <v>375</v>
      </c>
      <c r="C11" s="235">
        <v>271455</v>
      </c>
      <c r="D11" s="236">
        <v>101845</v>
      </c>
      <c r="E11" s="236">
        <v>373300</v>
      </c>
    </row>
    <row r="12" spans="1:6" ht="21.6" customHeight="1">
      <c r="A12" s="840"/>
      <c r="B12" s="239" t="s">
        <v>376</v>
      </c>
      <c r="C12" s="235">
        <v>150576</v>
      </c>
      <c r="D12" s="236">
        <v>69344</v>
      </c>
      <c r="E12" s="236">
        <v>219920</v>
      </c>
    </row>
    <row r="13" spans="1:6" ht="21.6" customHeight="1">
      <c r="A13" s="840"/>
      <c r="B13" s="239" t="s">
        <v>377</v>
      </c>
      <c r="C13" s="235">
        <v>122048</v>
      </c>
      <c r="D13" s="236">
        <v>78655</v>
      </c>
      <c r="E13" s="236">
        <v>200703</v>
      </c>
    </row>
    <row r="14" spans="1:6" ht="21.6" customHeight="1">
      <c r="A14" s="840"/>
      <c r="B14" s="239" t="s">
        <v>379</v>
      </c>
      <c r="C14" s="235">
        <v>39725</v>
      </c>
      <c r="D14" s="236">
        <v>43971</v>
      </c>
      <c r="E14" s="236">
        <v>83696</v>
      </c>
    </row>
    <row r="15" spans="1:6" ht="21.6" customHeight="1">
      <c r="A15" s="840"/>
      <c r="B15" s="239" t="s">
        <v>378</v>
      </c>
      <c r="C15" s="235">
        <v>40085</v>
      </c>
      <c r="D15" s="236">
        <v>12110</v>
      </c>
      <c r="E15" s="236">
        <v>52195</v>
      </c>
    </row>
    <row r="16" spans="1:6" ht="21.6" customHeight="1">
      <c r="A16" s="840"/>
      <c r="B16" s="239" t="s">
        <v>380</v>
      </c>
      <c r="C16" s="235">
        <v>14652</v>
      </c>
      <c r="D16" s="236">
        <v>8009</v>
      </c>
      <c r="E16" s="236">
        <v>22661</v>
      </c>
    </row>
    <row r="17" spans="1:5" ht="21.6" customHeight="1">
      <c r="A17" s="840"/>
      <c r="B17" s="239" t="s">
        <v>381</v>
      </c>
      <c r="C17" s="235">
        <v>14284</v>
      </c>
      <c r="D17" s="236">
        <v>4410</v>
      </c>
      <c r="E17" s="236">
        <v>18694</v>
      </c>
    </row>
    <row r="18" spans="1:5" ht="21.6" customHeight="1">
      <c r="A18" s="840"/>
      <c r="B18" s="239" t="s">
        <v>383</v>
      </c>
      <c r="C18" s="235">
        <v>7787</v>
      </c>
      <c r="D18" s="236">
        <v>5750</v>
      </c>
      <c r="E18" s="236">
        <v>13537</v>
      </c>
    </row>
    <row r="19" spans="1:5" ht="21.6" customHeight="1">
      <c r="A19" s="840"/>
      <c r="B19" s="239" t="s">
        <v>382</v>
      </c>
      <c r="C19" s="235">
        <v>7694</v>
      </c>
      <c r="D19" s="236">
        <v>2263</v>
      </c>
      <c r="E19" s="236">
        <v>9957</v>
      </c>
    </row>
    <row r="20" spans="1:5" ht="21.6" customHeight="1">
      <c r="A20" s="840"/>
      <c r="B20" s="239" t="s">
        <v>384</v>
      </c>
      <c r="C20" s="235">
        <v>6692</v>
      </c>
      <c r="D20" s="236">
        <v>336</v>
      </c>
      <c r="E20" s="236">
        <v>7028</v>
      </c>
    </row>
    <row r="21" spans="1:5" ht="21.6" customHeight="1">
      <c r="A21" s="840"/>
      <c r="B21" s="239" t="s">
        <v>385</v>
      </c>
      <c r="C21" s="235">
        <v>4972</v>
      </c>
      <c r="D21" s="236">
        <v>374</v>
      </c>
      <c r="E21" s="236">
        <v>5346</v>
      </c>
    </row>
    <row r="22" spans="1:5" ht="21.6" customHeight="1">
      <c r="A22" s="840"/>
      <c r="B22" s="239" t="s">
        <v>386</v>
      </c>
      <c r="C22" s="235">
        <v>2403</v>
      </c>
      <c r="D22" s="236">
        <v>932</v>
      </c>
      <c r="E22" s="236">
        <v>3335</v>
      </c>
    </row>
    <row r="23" spans="1:5" ht="21.6" customHeight="1">
      <c r="A23" s="841"/>
      <c r="B23" s="239" t="s">
        <v>387</v>
      </c>
      <c r="C23" s="235">
        <v>485</v>
      </c>
      <c r="D23" s="236">
        <v>523</v>
      </c>
      <c r="E23" s="236">
        <v>1008</v>
      </c>
    </row>
    <row r="24" spans="1:5" ht="21.6" customHeight="1">
      <c r="A24" s="664" t="s">
        <v>388</v>
      </c>
      <c r="B24" s="665"/>
      <c r="C24" s="666">
        <v>2638085</v>
      </c>
      <c r="D24" s="667">
        <v>1089100</v>
      </c>
      <c r="E24" s="667">
        <v>3727185</v>
      </c>
    </row>
    <row r="25" spans="1:5" ht="21.6" customHeight="1">
      <c r="A25" s="233" t="s">
        <v>167</v>
      </c>
      <c r="B25" s="234"/>
      <c r="C25" s="235">
        <v>580307</v>
      </c>
      <c r="D25" s="236">
        <v>1046458</v>
      </c>
      <c r="E25" s="236">
        <v>1626765</v>
      </c>
    </row>
    <row r="26" spans="1:5" ht="21.6" customHeight="1">
      <c r="A26" s="839" t="s">
        <v>372</v>
      </c>
      <c r="B26" s="238" t="s">
        <v>76</v>
      </c>
      <c r="C26" s="235">
        <v>72139</v>
      </c>
      <c r="D26" s="236">
        <v>247399</v>
      </c>
      <c r="E26" s="236">
        <v>319538</v>
      </c>
    </row>
    <row r="27" spans="1:5" ht="21.6" customHeight="1">
      <c r="A27" s="840"/>
      <c r="B27" s="239" t="s">
        <v>389</v>
      </c>
      <c r="C27" s="235">
        <v>179944</v>
      </c>
      <c r="D27" s="236">
        <v>131416</v>
      </c>
      <c r="E27" s="236">
        <v>311360</v>
      </c>
    </row>
    <row r="28" spans="1:5" ht="21.6" customHeight="1">
      <c r="A28" s="840"/>
      <c r="B28" s="239" t="s">
        <v>390</v>
      </c>
      <c r="C28" s="235">
        <v>144448</v>
      </c>
      <c r="D28" s="236">
        <v>143328</v>
      </c>
      <c r="E28" s="236">
        <v>287776</v>
      </c>
    </row>
    <row r="29" spans="1:5" ht="21.6" customHeight="1">
      <c r="A29" s="840"/>
      <c r="B29" s="239" t="s">
        <v>391</v>
      </c>
      <c r="C29" s="235">
        <v>27405</v>
      </c>
      <c r="D29" s="236">
        <v>72924</v>
      </c>
      <c r="E29" s="236">
        <v>100329</v>
      </c>
    </row>
    <row r="30" spans="1:5" ht="21.6" customHeight="1">
      <c r="A30" s="840"/>
      <c r="B30" s="239" t="s">
        <v>393</v>
      </c>
      <c r="C30" s="235">
        <v>36914</v>
      </c>
      <c r="D30" s="236">
        <v>51311</v>
      </c>
      <c r="E30" s="236">
        <v>88225</v>
      </c>
    </row>
    <row r="31" spans="1:5" ht="21.6" customHeight="1">
      <c r="A31" s="840"/>
      <c r="B31" s="239" t="s">
        <v>394</v>
      </c>
      <c r="C31" s="235">
        <v>25838</v>
      </c>
      <c r="D31" s="236">
        <v>51812</v>
      </c>
      <c r="E31" s="236">
        <v>77650</v>
      </c>
    </row>
    <row r="32" spans="1:5" ht="21.6" customHeight="1">
      <c r="A32" s="840"/>
      <c r="B32" s="239" t="s">
        <v>372</v>
      </c>
      <c r="C32" s="235">
        <v>24347</v>
      </c>
      <c r="D32" s="236">
        <v>46996</v>
      </c>
      <c r="E32" s="236">
        <v>71343</v>
      </c>
    </row>
    <row r="33" spans="1:5" ht="21.6" customHeight="1">
      <c r="A33" s="840"/>
      <c r="B33" s="239" t="s">
        <v>392</v>
      </c>
      <c r="C33" s="235">
        <v>21765</v>
      </c>
      <c r="D33" s="236">
        <v>35290</v>
      </c>
      <c r="E33" s="236">
        <v>57055</v>
      </c>
    </row>
    <row r="34" spans="1:5" ht="21.6" customHeight="1">
      <c r="A34" s="840"/>
      <c r="B34" s="239" t="s">
        <v>397</v>
      </c>
      <c r="C34" s="235">
        <v>4316</v>
      </c>
      <c r="D34" s="236">
        <v>4872</v>
      </c>
      <c r="E34" s="236">
        <v>9188</v>
      </c>
    </row>
    <row r="35" spans="1:5" ht="21.6" customHeight="1">
      <c r="A35" s="840"/>
      <c r="B35" s="239" t="s">
        <v>396</v>
      </c>
      <c r="C35" s="235">
        <v>2798</v>
      </c>
      <c r="D35" s="236">
        <v>4667</v>
      </c>
      <c r="E35" s="236">
        <v>7465</v>
      </c>
    </row>
    <row r="36" spans="1:5" ht="21.6" customHeight="1">
      <c r="A36" s="840"/>
      <c r="B36" s="239" t="s">
        <v>402</v>
      </c>
      <c r="C36" s="235">
        <v>1816</v>
      </c>
      <c r="D36" s="236">
        <v>2948</v>
      </c>
      <c r="E36" s="236">
        <v>4764</v>
      </c>
    </row>
    <row r="37" spans="1:5" ht="21.6" customHeight="1">
      <c r="A37" s="840"/>
      <c r="B37" s="239" t="s">
        <v>400</v>
      </c>
      <c r="C37" s="235">
        <v>1382</v>
      </c>
      <c r="D37" s="236">
        <v>2720</v>
      </c>
      <c r="E37" s="236">
        <v>4102</v>
      </c>
    </row>
    <row r="38" spans="1:5" ht="21.6" customHeight="1">
      <c r="A38" s="840"/>
      <c r="B38" s="239" t="s">
        <v>395</v>
      </c>
      <c r="C38" s="235">
        <v>1543</v>
      </c>
      <c r="D38" s="236">
        <v>2428</v>
      </c>
      <c r="E38" s="236">
        <v>3971</v>
      </c>
    </row>
    <row r="39" spans="1:5" ht="21.6" customHeight="1">
      <c r="A39" s="840"/>
      <c r="B39" s="239" t="s">
        <v>399</v>
      </c>
      <c r="C39" s="235">
        <v>1462</v>
      </c>
      <c r="D39" s="236">
        <v>2350</v>
      </c>
      <c r="E39" s="236">
        <v>3812</v>
      </c>
    </row>
    <row r="40" spans="1:5" ht="21.6" customHeight="1">
      <c r="A40" s="840"/>
      <c r="B40" s="239" t="s">
        <v>398</v>
      </c>
      <c r="C40" s="235">
        <v>836</v>
      </c>
      <c r="D40" s="236">
        <v>2401</v>
      </c>
      <c r="E40" s="236">
        <v>3237</v>
      </c>
    </row>
    <row r="41" spans="1:5" ht="21.6" customHeight="1">
      <c r="A41" s="840"/>
      <c r="B41" s="239" t="s">
        <v>401</v>
      </c>
      <c r="C41" s="235">
        <v>536</v>
      </c>
      <c r="D41" s="236">
        <v>1697</v>
      </c>
      <c r="E41" s="236">
        <v>2233</v>
      </c>
    </row>
    <row r="42" spans="1:5" ht="21.6" customHeight="1">
      <c r="A42" s="841"/>
      <c r="B42" s="239" t="s">
        <v>493</v>
      </c>
      <c r="C42" s="235">
        <v>27</v>
      </c>
      <c r="D42" s="236">
        <v>43</v>
      </c>
      <c r="E42" s="236">
        <v>70</v>
      </c>
    </row>
    <row r="43" spans="1:5" ht="21.6" customHeight="1">
      <c r="A43" s="664" t="s">
        <v>403</v>
      </c>
      <c r="B43" s="665"/>
      <c r="C43" s="666">
        <v>547516</v>
      </c>
      <c r="D43" s="667">
        <v>804602</v>
      </c>
      <c r="E43" s="667">
        <v>1352118</v>
      </c>
    </row>
    <row r="44" spans="1:5" ht="21.6" customHeight="1">
      <c r="A44" s="233" t="s">
        <v>374</v>
      </c>
      <c r="B44" s="234"/>
      <c r="C44" s="235">
        <v>468002</v>
      </c>
      <c r="D44" s="236">
        <v>516038</v>
      </c>
      <c r="E44" s="236">
        <v>984040</v>
      </c>
    </row>
    <row r="45" spans="1:5" ht="21.6" customHeight="1">
      <c r="A45" s="233" t="s">
        <v>370</v>
      </c>
      <c r="B45" s="234"/>
      <c r="C45" s="235">
        <v>459381</v>
      </c>
      <c r="D45" s="236">
        <v>307865</v>
      </c>
      <c r="E45" s="236">
        <v>767246</v>
      </c>
    </row>
    <row r="46" spans="1:5" ht="21.6" customHeight="1">
      <c r="A46" s="233" t="s">
        <v>404</v>
      </c>
      <c r="B46" s="234"/>
      <c r="C46" s="235">
        <v>446139</v>
      </c>
      <c r="D46" s="236">
        <v>267273</v>
      </c>
      <c r="E46" s="236">
        <v>713412</v>
      </c>
    </row>
    <row r="47" spans="1:5" ht="21.6" customHeight="1">
      <c r="A47" s="233" t="s">
        <v>8</v>
      </c>
      <c r="B47" s="234"/>
      <c r="C47" s="235">
        <v>287246</v>
      </c>
      <c r="D47" s="236">
        <v>145698</v>
      </c>
      <c r="E47" s="236">
        <v>432944</v>
      </c>
    </row>
    <row r="48" spans="1:5" ht="21.6" customHeight="1">
      <c r="A48" s="233" t="s">
        <v>405</v>
      </c>
      <c r="B48" s="234"/>
      <c r="C48" s="235">
        <v>116632</v>
      </c>
      <c r="D48" s="236">
        <v>207696</v>
      </c>
      <c r="E48" s="236">
        <v>324328</v>
      </c>
    </row>
    <row r="49" spans="1:5" ht="21.6" customHeight="1">
      <c r="A49" s="233" t="s">
        <v>6</v>
      </c>
      <c r="B49" s="234"/>
      <c r="C49" s="235">
        <v>191514</v>
      </c>
      <c r="D49" s="236">
        <v>78309</v>
      </c>
      <c r="E49" s="236">
        <v>269823</v>
      </c>
    </row>
    <row r="50" spans="1:5" ht="21.6" customHeight="1">
      <c r="A50" s="233" t="s">
        <v>406</v>
      </c>
      <c r="B50" s="234"/>
      <c r="C50" s="235">
        <v>71352</v>
      </c>
      <c r="D50" s="236">
        <v>89881</v>
      </c>
      <c r="E50" s="236">
        <v>161233</v>
      </c>
    </row>
    <row r="51" spans="1:5" ht="21.6" customHeight="1">
      <c r="A51" s="233" t="s">
        <v>408</v>
      </c>
      <c r="B51" s="234"/>
      <c r="C51" s="235">
        <v>9755</v>
      </c>
      <c r="D51" s="236">
        <v>67281</v>
      </c>
      <c r="E51" s="236">
        <v>77036</v>
      </c>
    </row>
    <row r="52" spans="1:5" ht="21.6" customHeight="1">
      <c r="A52" s="240" t="s">
        <v>172</v>
      </c>
      <c r="B52" s="241"/>
      <c r="C52" s="235">
        <v>37223</v>
      </c>
      <c r="D52" s="236">
        <v>28218</v>
      </c>
      <c r="E52" s="236">
        <v>65441</v>
      </c>
    </row>
    <row r="53" spans="1:5" ht="21.6" customHeight="1">
      <c r="A53" s="233" t="s">
        <v>410</v>
      </c>
      <c r="B53" s="234"/>
      <c r="C53" s="235">
        <v>31110</v>
      </c>
      <c r="D53" s="236">
        <v>33716</v>
      </c>
      <c r="E53" s="236">
        <v>64826</v>
      </c>
    </row>
    <row r="54" spans="1:5" ht="21.6" customHeight="1">
      <c r="A54" s="233" t="s">
        <v>411</v>
      </c>
      <c r="B54" s="234"/>
      <c r="C54" s="235">
        <v>27309</v>
      </c>
      <c r="D54" s="236">
        <v>29809</v>
      </c>
      <c r="E54" s="236">
        <v>57118</v>
      </c>
    </row>
    <row r="55" spans="1:5" ht="21.6" customHeight="1">
      <c r="A55" s="233" t="s">
        <v>409</v>
      </c>
      <c r="B55" s="234"/>
      <c r="C55" s="235">
        <v>39244</v>
      </c>
      <c r="D55" s="236">
        <v>16604</v>
      </c>
      <c r="E55" s="236">
        <v>55848</v>
      </c>
    </row>
    <row r="56" spans="1:5" ht="21.6" customHeight="1">
      <c r="A56" s="233" t="s">
        <v>168</v>
      </c>
      <c r="B56" s="234"/>
      <c r="C56" s="235">
        <v>27249</v>
      </c>
      <c r="D56" s="236">
        <v>27884</v>
      </c>
      <c r="E56" s="236">
        <v>55133</v>
      </c>
    </row>
    <row r="57" spans="1:5" ht="21.6" customHeight="1">
      <c r="A57" s="233" t="s">
        <v>407</v>
      </c>
      <c r="B57" s="234"/>
      <c r="C57" s="235">
        <v>19859</v>
      </c>
      <c r="D57" s="236">
        <v>19927</v>
      </c>
      <c r="E57" s="236">
        <v>39786</v>
      </c>
    </row>
    <row r="58" spans="1:5" ht="21.6" customHeight="1">
      <c r="A58" s="233" t="s">
        <v>170</v>
      </c>
      <c r="B58" s="234"/>
      <c r="C58" s="235">
        <v>14694</v>
      </c>
      <c r="D58" s="236">
        <v>15064</v>
      </c>
      <c r="E58" s="236">
        <v>29758</v>
      </c>
    </row>
    <row r="59" spans="1:5" ht="21.6" customHeight="1">
      <c r="A59" s="233" t="s">
        <v>414</v>
      </c>
      <c r="B59" s="234"/>
      <c r="C59" s="235">
        <v>8570</v>
      </c>
      <c r="D59" s="236">
        <v>20241</v>
      </c>
      <c r="E59" s="236">
        <v>28811</v>
      </c>
    </row>
    <row r="60" spans="1:5" ht="21.6" customHeight="1">
      <c r="A60" s="233" t="s">
        <v>413</v>
      </c>
      <c r="B60" s="234"/>
      <c r="C60" s="235">
        <v>8980</v>
      </c>
      <c r="D60" s="236">
        <v>18735</v>
      </c>
      <c r="E60" s="236">
        <v>27715</v>
      </c>
    </row>
    <row r="61" spans="1:5" ht="21.6" customHeight="1">
      <c r="A61" s="233" t="s">
        <v>412</v>
      </c>
      <c r="B61" s="234"/>
      <c r="C61" s="235">
        <v>4954</v>
      </c>
      <c r="D61" s="236">
        <v>17008</v>
      </c>
      <c r="E61" s="236">
        <v>21962</v>
      </c>
    </row>
    <row r="62" spans="1:5" ht="21.6" customHeight="1">
      <c r="A62" s="233" t="s">
        <v>415</v>
      </c>
      <c r="B62" s="234"/>
      <c r="C62" s="235">
        <v>13137</v>
      </c>
      <c r="D62" s="236">
        <v>8461</v>
      </c>
      <c r="E62" s="236">
        <v>21598</v>
      </c>
    </row>
    <row r="63" spans="1:5" ht="21.6" customHeight="1">
      <c r="A63" s="233" t="s">
        <v>773</v>
      </c>
      <c r="B63" s="234"/>
      <c r="C63" s="235">
        <v>9225</v>
      </c>
      <c r="D63" s="236">
        <v>8284</v>
      </c>
      <c r="E63" s="236">
        <v>17509</v>
      </c>
    </row>
    <row r="64" spans="1:5" ht="21.6" customHeight="1">
      <c r="A64" s="233" t="s">
        <v>774</v>
      </c>
      <c r="B64" s="234"/>
      <c r="C64" s="235">
        <v>12630</v>
      </c>
      <c r="D64" s="236">
        <v>3378</v>
      </c>
      <c r="E64" s="236">
        <v>16008</v>
      </c>
    </row>
    <row r="65" spans="1:5" ht="21.6" customHeight="1">
      <c r="A65" s="233" t="s">
        <v>166</v>
      </c>
      <c r="B65" s="234"/>
      <c r="C65" s="235">
        <v>4768</v>
      </c>
      <c r="D65" s="236">
        <v>6185</v>
      </c>
      <c r="E65" s="236">
        <v>10953</v>
      </c>
    </row>
    <row r="66" spans="1:5" ht="21.6" customHeight="1">
      <c r="A66" s="233" t="s">
        <v>418</v>
      </c>
      <c r="B66" s="234"/>
      <c r="C66" s="235">
        <v>2863</v>
      </c>
      <c r="D66" s="236">
        <v>2647</v>
      </c>
      <c r="E66" s="236">
        <v>5510</v>
      </c>
    </row>
    <row r="67" spans="1:5" s="79" customFormat="1" ht="21.6" customHeight="1">
      <c r="A67" s="233" t="s">
        <v>416</v>
      </c>
      <c r="B67" s="234"/>
      <c r="C67" s="235">
        <v>2710</v>
      </c>
      <c r="D67" s="236">
        <v>2520</v>
      </c>
      <c r="E67" s="236">
        <v>5230</v>
      </c>
    </row>
    <row r="68" spans="1:5" ht="21.6" customHeight="1">
      <c r="A68" s="233" t="s">
        <v>417</v>
      </c>
      <c r="B68" s="234"/>
      <c r="C68" s="235">
        <v>48</v>
      </c>
      <c r="D68" s="236">
        <v>4678</v>
      </c>
      <c r="E68" s="236">
        <v>4726</v>
      </c>
    </row>
    <row r="69" spans="1:5" ht="21.6" customHeight="1">
      <c r="A69" s="233" t="s">
        <v>420</v>
      </c>
      <c r="B69" s="234"/>
      <c r="C69" s="235">
        <v>844</v>
      </c>
      <c r="D69" s="236">
        <v>1318</v>
      </c>
      <c r="E69" s="236">
        <v>2162</v>
      </c>
    </row>
    <row r="70" spans="1:5" ht="21.6" customHeight="1">
      <c r="A70" s="244" t="s">
        <v>419</v>
      </c>
      <c r="B70" s="245"/>
      <c r="C70" s="236">
        <v>855</v>
      </c>
      <c r="D70" s="236">
        <v>657</v>
      </c>
      <c r="E70" s="236">
        <v>1512</v>
      </c>
    </row>
    <row r="71" spans="1:5" ht="21.6" customHeight="1">
      <c r="A71" s="237" t="s">
        <v>422</v>
      </c>
      <c r="B71" s="243"/>
      <c r="C71" s="243">
        <v>1290</v>
      </c>
      <c r="D71" s="224">
        <v>137</v>
      </c>
      <c r="E71" s="224">
        <v>1427</v>
      </c>
    </row>
    <row r="72" spans="1:5" ht="21.6" customHeight="1">
      <c r="A72" s="240" t="s">
        <v>775</v>
      </c>
      <c r="B72" s="241"/>
      <c r="C72" s="224">
        <v>643</v>
      </c>
      <c r="D72" s="224">
        <v>767</v>
      </c>
      <c r="E72" s="224">
        <v>1410</v>
      </c>
    </row>
    <row r="73" spans="1:5" ht="21.6" customHeight="1">
      <c r="A73" s="233" t="s">
        <v>421</v>
      </c>
      <c r="B73" s="234"/>
      <c r="C73" s="224">
        <v>89</v>
      </c>
      <c r="D73" s="224">
        <v>293</v>
      </c>
      <c r="E73" s="224">
        <v>382</v>
      </c>
    </row>
    <row r="74" spans="1:5" ht="27.6" customHeight="1">
      <c r="A74" s="447" t="s">
        <v>60</v>
      </c>
      <c r="B74" s="455"/>
      <c r="C74" s="435">
        <v>15059915</v>
      </c>
      <c r="D74" s="435">
        <v>14485138</v>
      </c>
      <c r="E74" s="435">
        <v>29545053</v>
      </c>
    </row>
  </sheetData>
  <mergeCells count="4">
    <mergeCell ref="A1:E1"/>
    <mergeCell ref="A2:B2"/>
    <mergeCell ref="A7:A23"/>
    <mergeCell ref="A26:A42"/>
  </mergeCells>
  <pageMargins left="0.5" right="0.5" top="0.4" bottom="0.4" header="0.31496062992126" footer="0.31496062992126"/>
  <pageSetup paperSize="9" scale="75" firstPageNumber="44" orientation="portrait" useFirstPageNumber="1" r:id="rId1"/>
  <headerFooter>
    <oddFooter>&amp;LAISHE 2019-20&amp;CT-12</oddFooter>
  </headerFooter>
  <rowBreaks count="1" manualBreakCount="1">
    <brk id="48" max="4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00B050"/>
  </sheetPr>
  <dimension ref="A1:L204"/>
  <sheetViews>
    <sheetView view="pageBreakPreview" topLeftCell="A184" zoomScale="85" zoomScaleSheetLayoutView="85" workbookViewId="0">
      <selection activeCell="L45" sqref="L45"/>
    </sheetView>
  </sheetViews>
  <sheetFormatPr defaultColWidth="9.140625" defaultRowHeight="15"/>
  <cols>
    <col min="1" max="1" width="28" style="271" customWidth="1"/>
    <col min="2" max="2" width="27" style="226" customWidth="1"/>
    <col min="3" max="3" width="8.85546875" style="80" customWidth="1"/>
    <col min="4" max="4" width="8.5703125" style="80" customWidth="1"/>
    <col min="5" max="5" width="9" style="80" customWidth="1"/>
    <col min="6" max="6" width="7.7109375" style="80" customWidth="1"/>
    <col min="7" max="7" width="8.5703125" style="80" customWidth="1"/>
    <col min="8" max="8" width="7.7109375" style="80" customWidth="1"/>
    <col min="9" max="11" width="10.28515625" style="80" customWidth="1"/>
    <col min="12" max="16384" width="9.140625" style="80"/>
  </cols>
  <sheetData>
    <row r="1" spans="1:11" ht="28.5" customHeight="1">
      <c r="A1" s="849" t="s">
        <v>857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</row>
    <row r="2" spans="1:11" s="226" customFormat="1" ht="16.5" customHeight="1">
      <c r="A2" s="850" t="s">
        <v>364</v>
      </c>
      <c r="B2" s="850"/>
      <c r="C2" s="834" t="s">
        <v>89</v>
      </c>
      <c r="D2" s="834"/>
      <c r="E2" s="834"/>
      <c r="F2" s="834" t="s">
        <v>90</v>
      </c>
      <c r="G2" s="834"/>
      <c r="H2" s="834"/>
      <c r="I2" s="834" t="s">
        <v>85</v>
      </c>
      <c r="J2" s="834"/>
      <c r="K2" s="834"/>
    </row>
    <row r="3" spans="1:11" s="226" customFormat="1" ht="16.5" customHeight="1">
      <c r="A3" s="838"/>
      <c r="B3" s="838"/>
      <c r="C3" s="216" t="s">
        <v>87</v>
      </c>
      <c r="D3" s="216" t="s">
        <v>88</v>
      </c>
      <c r="E3" s="216" t="s">
        <v>12</v>
      </c>
      <c r="F3" s="216" t="s">
        <v>87</v>
      </c>
      <c r="G3" s="216" t="s">
        <v>88</v>
      </c>
      <c r="H3" s="216" t="s">
        <v>12</v>
      </c>
      <c r="I3" s="216" t="s">
        <v>87</v>
      </c>
      <c r="J3" s="216" t="s">
        <v>88</v>
      </c>
      <c r="K3" s="216" t="s">
        <v>12</v>
      </c>
    </row>
    <row r="4" spans="1:11" s="274" customFormat="1" ht="16.5" customHeight="1">
      <c r="A4" s="272">
        <v>1</v>
      </c>
      <c r="B4" s="273">
        <v>2</v>
      </c>
      <c r="C4" s="273">
        <v>3</v>
      </c>
      <c r="D4" s="273">
        <v>4</v>
      </c>
      <c r="E4" s="273">
        <v>5</v>
      </c>
      <c r="F4" s="273">
        <v>6</v>
      </c>
      <c r="G4" s="273">
        <v>7</v>
      </c>
      <c r="H4" s="273">
        <v>8</v>
      </c>
      <c r="I4" s="273">
        <v>9</v>
      </c>
      <c r="J4" s="273">
        <v>10</v>
      </c>
      <c r="K4" s="273">
        <v>11</v>
      </c>
    </row>
    <row r="5" spans="1:11" ht="17.45" customHeight="1">
      <c r="A5" s="848" t="s">
        <v>6</v>
      </c>
      <c r="B5" s="246" t="s">
        <v>6</v>
      </c>
      <c r="C5" s="247">
        <v>3543</v>
      </c>
      <c r="D5" s="247">
        <v>2782</v>
      </c>
      <c r="E5" s="247">
        <v>6325</v>
      </c>
      <c r="F5" s="247">
        <v>10</v>
      </c>
      <c r="G5" s="247">
        <v>14</v>
      </c>
      <c r="H5" s="247">
        <v>24</v>
      </c>
      <c r="I5" s="247">
        <v>15518</v>
      </c>
      <c r="J5" s="247">
        <v>9435</v>
      </c>
      <c r="K5" s="247">
        <v>24953</v>
      </c>
    </row>
    <row r="6" spans="1:11" ht="17.45" customHeight="1">
      <c r="A6" s="848"/>
      <c r="B6" s="246" t="s">
        <v>423</v>
      </c>
      <c r="C6" s="247">
        <v>327</v>
      </c>
      <c r="D6" s="247">
        <v>401</v>
      </c>
      <c r="E6" s="247">
        <v>728</v>
      </c>
      <c r="F6" s="247">
        <v>5</v>
      </c>
      <c r="G6" s="247">
        <v>5</v>
      </c>
      <c r="H6" s="247">
        <v>10</v>
      </c>
      <c r="I6" s="247">
        <v>2662</v>
      </c>
      <c r="J6" s="247">
        <v>1619</v>
      </c>
      <c r="K6" s="247">
        <v>4281</v>
      </c>
    </row>
    <row r="7" spans="1:11" ht="17.45" customHeight="1">
      <c r="A7" s="848"/>
      <c r="B7" s="246" t="s">
        <v>424</v>
      </c>
      <c r="C7" s="247">
        <v>121</v>
      </c>
      <c r="D7" s="247">
        <v>97</v>
      </c>
      <c r="E7" s="247">
        <v>218</v>
      </c>
      <c r="F7" s="247">
        <v>3</v>
      </c>
      <c r="G7" s="247">
        <v>4</v>
      </c>
      <c r="H7" s="247">
        <v>7</v>
      </c>
      <c r="I7" s="247">
        <v>497</v>
      </c>
      <c r="J7" s="247">
        <v>404</v>
      </c>
      <c r="K7" s="247">
        <v>901</v>
      </c>
    </row>
    <row r="8" spans="1:11" ht="17.45" customHeight="1">
      <c r="A8" s="848"/>
      <c r="B8" s="248" t="s">
        <v>425</v>
      </c>
      <c r="C8" s="247">
        <v>10</v>
      </c>
      <c r="D8" s="247">
        <v>11</v>
      </c>
      <c r="E8" s="247">
        <v>21</v>
      </c>
      <c r="F8" s="247">
        <v>0</v>
      </c>
      <c r="G8" s="247">
        <v>0</v>
      </c>
      <c r="H8" s="247">
        <v>0</v>
      </c>
      <c r="I8" s="247">
        <v>33</v>
      </c>
      <c r="J8" s="247">
        <v>54</v>
      </c>
      <c r="K8" s="247">
        <v>87</v>
      </c>
    </row>
    <row r="9" spans="1:11" ht="17.45" customHeight="1">
      <c r="A9" s="249" t="s">
        <v>426</v>
      </c>
      <c r="B9" s="250"/>
      <c r="C9" s="251">
        <v>4001</v>
      </c>
      <c r="D9" s="251">
        <v>3291</v>
      </c>
      <c r="E9" s="251">
        <v>7292</v>
      </c>
      <c r="F9" s="251">
        <v>18</v>
      </c>
      <c r="G9" s="251">
        <v>23</v>
      </c>
      <c r="H9" s="251">
        <v>41</v>
      </c>
      <c r="I9" s="251">
        <v>18710</v>
      </c>
      <c r="J9" s="251">
        <v>11512</v>
      </c>
      <c r="K9" s="251">
        <v>30222</v>
      </c>
    </row>
    <row r="10" spans="1:11" ht="17.45" customHeight="1">
      <c r="A10" s="249" t="s">
        <v>410</v>
      </c>
      <c r="B10" s="250"/>
      <c r="C10" s="247">
        <v>2277</v>
      </c>
      <c r="D10" s="247">
        <v>2749</v>
      </c>
      <c r="E10" s="247">
        <v>5026</v>
      </c>
      <c r="F10" s="247">
        <v>356</v>
      </c>
      <c r="G10" s="247">
        <v>480</v>
      </c>
      <c r="H10" s="247">
        <v>836</v>
      </c>
      <c r="I10" s="247">
        <v>46138</v>
      </c>
      <c r="J10" s="247">
        <v>77236</v>
      </c>
      <c r="K10" s="247">
        <v>123374</v>
      </c>
    </row>
    <row r="11" spans="1:11" ht="17.45" customHeight="1">
      <c r="A11" s="845" t="s">
        <v>366</v>
      </c>
      <c r="B11" s="252" t="s">
        <v>366</v>
      </c>
      <c r="C11" s="247">
        <v>2854</v>
      </c>
      <c r="D11" s="247">
        <v>3690</v>
      </c>
      <c r="E11" s="247">
        <v>6544</v>
      </c>
      <c r="F11" s="247">
        <v>561</v>
      </c>
      <c r="G11" s="247">
        <v>1221</v>
      </c>
      <c r="H11" s="247">
        <v>1782</v>
      </c>
      <c r="I11" s="247">
        <v>174866</v>
      </c>
      <c r="J11" s="247">
        <v>301899</v>
      </c>
      <c r="K11" s="247">
        <v>476765</v>
      </c>
    </row>
    <row r="12" spans="1:11" ht="17.45" customHeight="1">
      <c r="A12" s="847"/>
      <c r="B12" s="252" t="s">
        <v>427</v>
      </c>
      <c r="C12" s="247"/>
      <c r="D12" s="247"/>
      <c r="E12" s="247"/>
      <c r="F12" s="247">
        <v>0</v>
      </c>
      <c r="G12" s="247">
        <v>3</v>
      </c>
      <c r="H12" s="247">
        <v>3</v>
      </c>
      <c r="I12" s="247">
        <v>50</v>
      </c>
      <c r="J12" s="247">
        <v>10</v>
      </c>
      <c r="K12" s="247">
        <v>60</v>
      </c>
    </row>
    <row r="13" spans="1:11" ht="17.45" customHeight="1">
      <c r="A13" s="253" t="s">
        <v>428</v>
      </c>
      <c r="B13" s="254"/>
      <c r="C13" s="255">
        <v>2854</v>
      </c>
      <c r="D13" s="255">
        <v>3690</v>
      </c>
      <c r="E13" s="255">
        <v>6544</v>
      </c>
      <c r="F13" s="255">
        <v>561</v>
      </c>
      <c r="G13" s="255">
        <v>1224</v>
      </c>
      <c r="H13" s="255">
        <v>1785</v>
      </c>
      <c r="I13" s="255">
        <v>174916</v>
      </c>
      <c r="J13" s="255">
        <v>301909</v>
      </c>
      <c r="K13" s="255">
        <v>476825</v>
      </c>
    </row>
    <row r="14" spans="1:11" ht="17.45" customHeight="1">
      <c r="A14" s="249" t="s">
        <v>420</v>
      </c>
      <c r="B14" s="250"/>
      <c r="C14" s="247">
        <v>46</v>
      </c>
      <c r="D14" s="247">
        <v>44</v>
      </c>
      <c r="E14" s="247">
        <v>90</v>
      </c>
      <c r="F14" s="247">
        <v>0</v>
      </c>
      <c r="G14" s="247">
        <v>1</v>
      </c>
      <c r="H14" s="247">
        <v>1</v>
      </c>
      <c r="I14" s="247">
        <v>360</v>
      </c>
      <c r="J14" s="247">
        <v>354</v>
      </c>
      <c r="K14" s="247">
        <v>714</v>
      </c>
    </row>
    <row r="15" spans="1:11" ht="17.45" customHeight="1">
      <c r="A15" s="249" t="s">
        <v>166</v>
      </c>
      <c r="B15" s="250"/>
      <c r="C15" s="247">
        <v>232</v>
      </c>
      <c r="D15" s="247">
        <v>290</v>
      </c>
      <c r="E15" s="247">
        <v>522</v>
      </c>
      <c r="F15" s="247">
        <v>76</v>
      </c>
      <c r="G15" s="247">
        <v>108</v>
      </c>
      <c r="H15" s="247">
        <v>184</v>
      </c>
      <c r="I15" s="247">
        <v>5090</v>
      </c>
      <c r="J15" s="247">
        <v>10122</v>
      </c>
      <c r="K15" s="247">
        <v>15212</v>
      </c>
    </row>
    <row r="16" spans="1:11" ht="17.45" customHeight="1">
      <c r="A16" s="256" t="s">
        <v>419</v>
      </c>
      <c r="B16" s="257"/>
      <c r="C16" s="247">
        <v>99</v>
      </c>
      <c r="D16" s="247">
        <v>29</v>
      </c>
      <c r="E16" s="247">
        <v>128</v>
      </c>
      <c r="F16" s="247">
        <v>133</v>
      </c>
      <c r="G16" s="247">
        <v>9</v>
      </c>
      <c r="H16" s="247">
        <v>142</v>
      </c>
      <c r="I16" s="247">
        <v>2026</v>
      </c>
      <c r="J16" s="247">
        <v>855</v>
      </c>
      <c r="K16" s="247">
        <v>2881</v>
      </c>
    </row>
    <row r="17" spans="1:11" ht="17.45" customHeight="1">
      <c r="A17" s="845" t="s">
        <v>414</v>
      </c>
      <c r="B17" s="258" t="s">
        <v>414</v>
      </c>
      <c r="C17" s="247">
        <v>177</v>
      </c>
      <c r="D17" s="247">
        <v>127</v>
      </c>
      <c r="E17" s="247">
        <v>304</v>
      </c>
      <c r="F17" s="247">
        <v>0</v>
      </c>
      <c r="G17" s="247">
        <v>1</v>
      </c>
      <c r="H17" s="247">
        <v>1</v>
      </c>
      <c r="I17" s="247">
        <v>1524</v>
      </c>
      <c r="J17" s="247">
        <v>1600</v>
      </c>
      <c r="K17" s="247">
        <v>3124</v>
      </c>
    </row>
    <row r="18" spans="1:11" ht="17.45" customHeight="1">
      <c r="A18" s="847"/>
      <c r="B18" s="258" t="s">
        <v>429</v>
      </c>
      <c r="C18" s="247">
        <v>2</v>
      </c>
      <c r="D18" s="247">
        <v>3</v>
      </c>
      <c r="E18" s="247">
        <v>5</v>
      </c>
      <c r="F18" s="247"/>
      <c r="G18" s="247"/>
      <c r="H18" s="247"/>
      <c r="I18" s="247">
        <v>185</v>
      </c>
      <c r="J18" s="247">
        <v>577</v>
      </c>
      <c r="K18" s="247">
        <v>762</v>
      </c>
    </row>
    <row r="19" spans="1:11" ht="17.45" customHeight="1">
      <c r="A19" s="249" t="s">
        <v>430</v>
      </c>
      <c r="B19" s="250"/>
      <c r="C19" s="255">
        <v>179</v>
      </c>
      <c r="D19" s="255">
        <v>130</v>
      </c>
      <c r="E19" s="255">
        <v>309</v>
      </c>
      <c r="F19" s="255">
        <v>0</v>
      </c>
      <c r="G19" s="255">
        <v>1</v>
      </c>
      <c r="H19" s="255">
        <v>1</v>
      </c>
      <c r="I19" s="255">
        <v>1709</v>
      </c>
      <c r="J19" s="255">
        <v>2177</v>
      </c>
      <c r="K19" s="255">
        <v>3886</v>
      </c>
    </row>
    <row r="20" spans="1:11" ht="17.45" customHeight="1">
      <c r="A20" s="249" t="s">
        <v>431</v>
      </c>
      <c r="B20" s="250"/>
      <c r="C20" s="247">
        <v>0</v>
      </c>
      <c r="D20" s="247">
        <v>17</v>
      </c>
      <c r="E20" s="247">
        <v>17</v>
      </c>
      <c r="F20" s="247">
        <v>6</v>
      </c>
      <c r="G20" s="247">
        <v>12</v>
      </c>
      <c r="H20" s="247">
        <v>18</v>
      </c>
      <c r="I20" s="247">
        <v>8</v>
      </c>
      <c r="J20" s="247">
        <v>72</v>
      </c>
      <c r="K20" s="247">
        <v>80</v>
      </c>
    </row>
    <row r="21" spans="1:11" ht="17.45" customHeight="1">
      <c r="A21" s="249" t="s">
        <v>167</v>
      </c>
      <c r="B21" s="250"/>
      <c r="C21" s="247">
        <v>3038</v>
      </c>
      <c r="D21" s="247">
        <v>3780</v>
      </c>
      <c r="E21" s="247">
        <v>6818</v>
      </c>
      <c r="F21" s="247">
        <v>455</v>
      </c>
      <c r="G21" s="247">
        <v>655</v>
      </c>
      <c r="H21" s="247">
        <v>1110</v>
      </c>
      <c r="I21" s="247">
        <v>74208</v>
      </c>
      <c r="J21" s="247">
        <v>136883</v>
      </c>
      <c r="K21" s="247">
        <v>211091</v>
      </c>
    </row>
    <row r="22" spans="1:11" ht="17.45" customHeight="1">
      <c r="A22" s="845" t="s">
        <v>367</v>
      </c>
      <c r="B22" s="246" t="s">
        <v>373</v>
      </c>
      <c r="C22" s="247">
        <v>3772</v>
      </c>
      <c r="D22" s="247">
        <v>1456</v>
      </c>
      <c r="E22" s="247">
        <v>5228</v>
      </c>
      <c r="F22" s="247">
        <v>2</v>
      </c>
      <c r="G22" s="247">
        <v>0</v>
      </c>
      <c r="H22" s="247">
        <v>2</v>
      </c>
      <c r="I22" s="247">
        <v>25425</v>
      </c>
      <c r="J22" s="247">
        <v>10569</v>
      </c>
      <c r="K22" s="247">
        <v>35994</v>
      </c>
    </row>
    <row r="23" spans="1:11" ht="17.45" customHeight="1">
      <c r="A23" s="846"/>
      <c r="B23" s="246" t="s">
        <v>371</v>
      </c>
      <c r="C23" s="247">
        <v>4436</v>
      </c>
      <c r="D23" s="247">
        <v>3246</v>
      </c>
      <c r="E23" s="247">
        <v>7682</v>
      </c>
      <c r="F23" s="247"/>
      <c r="G23" s="247"/>
      <c r="H23" s="247"/>
      <c r="I23" s="247">
        <v>13756</v>
      </c>
      <c r="J23" s="247">
        <v>15309</v>
      </c>
      <c r="K23" s="247">
        <v>29065</v>
      </c>
    </row>
    <row r="24" spans="1:11" ht="17.45" customHeight="1">
      <c r="A24" s="846"/>
      <c r="B24" s="246" t="s">
        <v>368</v>
      </c>
      <c r="C24" s="247">
        <v>6124</v>
      </c>
      <c r="D24" s="247">
        <v>590</v>
      </c>
      <c r="E24" s="247">
        <v>6714</v>
      </c>
      <c r="F24" s="247"/>
      <c r="G24" s="247"/>
      <c r="H24" s="247"/>
      <c r="I24" s="247">
        <v>25064</v>
      </c>
      <c r="J24" s="247">
        <v>2822</v>
      </c>
      <c r="K24" s="247">
        <v>27886</v>
      </c>
    </row>
    <row r="25" spans="1:11" ht="17.45" customHeight="1">
      <c r="A25" s="846"/>
      <c r="B25" s="246" t="s">
        <v>369</v>
      </c>
      <c r="C25" s="247">
        <v>3526</v>
      </c>
      <c r="D25" s="247">
        <v>2148</v>
      </c>
      <c r="E25" s="247">
        <v>5674</v>
      </c>
      <c r="F25" s="247"/>
      <c r="G25" s="247"/>
      <c r="H25" s="247"/>
      <c r="I25" s="247">
        <v>11640</v>
      </c>
      <c r="J25" s="247">
        <v>12588</v>
      </c>
      <c r="K25" s="247">
        <v>24228</v>
      </c>
    </row>
    <row r="26" spans="1:11" ht="32.450000000000003" customHeight="1">
      <c r="A26" s="846"/>
      <c r="B26" s="246" t="s">
        <v>376</v>
      </c>
      <c r="C26" s="247">
        <v>10575</v>
      </c>
      <c r="D26" s="247">
        <v>5961</v>
      </c>
      <c r="E26" s="247">
        <v>16536</v>
      </c>
      <c r="F26" s="247">
        <v>1</v>
      </c>
      <c r="G26" s="247">
        <v>5</v>
      </c>
      <c r="H26" s="247">
        <v>6</v>
      </c>
      <c r="I26" s="247">
        <v>16024</v>
      </c>
      <c r="J26" s="247">
        <v>7707</v>
      </c>
      <c r="K26" s="247">
        <v>23731</v>
      </c>
    </row>
    <row r="27" spans="1:11" ht="17.45" customHeight="1">
      <c r="A27" s="846"/>
      <c r="B27" s="246" t="s">
        <v>375</v>
      </c>
      <c r="C27" s="247">
        <v>3835</v>
      </c>
      <c r="D27" s="247">
        <v>1474</v>
      </c>
      <c r="E27" s="247">
        <v>5309</v>
      </c>
      <c r="F27" s="247">
        <v>0</v>
      </c>
      <c r="G27" s="247">
        <v>1</v>
      </c>
      <c r="H27" s="247">
        <v>1</v>
      </c>
      <c r="I27" s="247">
        <v>13320</v>
      </c>
      <c r="J27" s="247">
        <v>6608</v>
      </c>
      <c r="K27" s="247">
        <v>19928</v>
      </c>
    </row>
    <row r="28" spans="1:11" ht="17.45" customHeight="1">
      <c r="A28" s="846"/>
      <c r="B28" s="246" t="s">
        <v>379</v>
      </c>
      <c r="C28" s="247">
        <v>239</v>
      </c>
      <c r="D28" s="247">
        <v>294</v>
      </c>
      <c r="E28" s="247">
        <v>533</v>
      </c>
      <c r="F28" s="247"/>
      <c r="G28" s="247"/>
      <c r="H28" s="247"/>
      <c r="I28" s="247">
        <v>1458</v>
      </c>
      <c r="J28" s="247">
        <v>2035</v>
      </c>
      <c r="K28" s="247">
        <v>3493</v>
      </c>
    </row>
    <row r="29" spans="1:11" ht="17.45" customHeight="1">
      <c r="A29" s="846"/>
      <c r="B29" s="246" t="s">
        <v>378</v>
      </c>
      <c r="C29" s="247">
        <v>1053</v>
      </c>
      <c r="D29" s="247">
        <v>602</v>
      </c>
      <c r="E29" s="247">
        <v>1655</v>
      </c>
      <c r="F29" s="247"/>
      <c r="G29" s="247"/>
      <c r="H29" s="247"/>
      <c r="I29" s="247">
        <v>1913</v>
      </c>
      <c r="J29" s="247">
        <v>1069</v>
      </c>
      <c r="K29" s="247">
        <v>2982</v>
      </c>
    </row>
    <row r="30" spans="1:11" ht="17.45" customHeight="1">
      <c r="A30" s="846"/>
      <c r="B30" s="246" t="s">
        <v>377</v>
      </c>
      <c r="C30" s="247">
        <v>260</v>
      </c>
      <c r="D30" s="247">
        <v>177</v>
      </c>
      <c r="E30" s="247">
        <v>437</v>
      </c>
      <c r="F30" s="247">
        <v>0</v>
      </c>
      <c r="G30" s="247">
        <v>0</v>
      </c>
      <c r="H30" s="247">
        <v>0</v>
      </c>
      <c r="I30" s="247">
        <v>1357</v>
      </c>
      <c r="J30" s="247">
        <v>1355</v>
      </c>
      <c r="K30" s="247">
        <v>2712</v>
      </c>
    </row>
    <row r="31" spans="1:11" ht="17.45" customHeight="1">
      <c r="A31" s="846"/>
      <c r="B31" s="246" t="s">
        <v>382</v>
      </c>
      <c r="C31" s="247">
        <v>823</v>
      </c>
      <c r="D31" s="247">
        <v>230</v>
      </c>
      <c r="E31" s="247">
        <v>1053</v>
      </c>
      <c r="F31" s="247"/>
      <c r="G31" s="247"/>
      <c r="H31" s="247"/>
      <c r="I31" s="247">
        <v>1254</v>
      </c>
      <c r="J31" s="247">
        <v>230</v>
      </c>
      <c r="K31" s="247">
        <v>1484</v>
      </c>
    </row>
    <row r="32" spans="1:11" ht="17.45" customHeight="1">
      <c r="A32" s="846"/>
      <c r="B32" s="246" t="s">
        <v>387</v>
      </c>
      <c r="C32" s="247">
        <v>24</v>
      </c>
      <c r="D32" s="247">
        <v>31</v>
      </c>
      <c r="E32" s="247">
        <v>55</v>
      </c>
      <c r="F32" s="247"/>
      <c r="G32" s="247"/>
      <c r="H32" s="247"/>
      <c r="I32" s="247">
        <v>670</v>
      </c>
      <c r="J32" s="247">
        <v>776</v>
      </c>
      <c r="K32" s="247">
        <v>1446</v>
      </c>
    </row>
    <row r="33" spans="1:12" ht="17.45" customHeight="1">
      <c r="A33" s="846"/>
      <c r="B33" s="246" t="s">
        <v>380</v>
      </c>
      <c r="C33" s="247">
        <v>233</v>
      </c>
      <c r="D33" s="247">
        <v>109</v>
      </c>
      <c r="E33" s="247">
        <v>342</v>
      </c>
      <c r="F33" s="247"/>
      <c r="G33" s="247"/>
      <c r="H33" s="247"/>
      <c r="I33" s="247">
        <v>933</v>
      </c>
      <c r="J33" s="247">
        <v>478</v>
      </c>
      <c r="K33" s="247">
        <v>1411</v>
      </c>
    </row>
    <row r="34" spans="1:12" ht="17.45" customHeight="1">
      <c r="A34" s="846"/>
      <c r="B34" s="258" t="s">
        <v>383</v>
      </c>
      <c r="C34" s="259">
        <v>134</v>
      </c>
      <c r="D34" s="259">
        <v>168</v>
      </c>
      <c r="E34" s="259">
        <v>302</v>
      </c>
      <c r="F34" s="259"/>
      <c r="G34" s="259"/>
      <c r="H34" s="259"/>
      <c r="I34" s="259">
        <v>498</v>
      </c>
      <c r="J34" s="259">
        <v>547</v>
      </c>
      <c r="K34" s="259">
        <v>1045</v>
      </c>
    </row>
    <row r="35" spans="1:12" ht="17.45" customHeight="1">
      <c r="A35" s="846"/>
      <c r="B35" s="258" t="s">
        <v>381</v>
      </c>
      <c r="C35" s="247">
        <v>487</v>
      </c>
      <c r="D35" s="247">
        <v>75</v>
      </c>
      <c r="E35" s="247">
        <v>562</v>
      </c>
      <c r="F35" s="247"/>
      <c r="G35" s="247"/>
      <c r="H35" s="247"/>
      <c r="I35" s="247">
        <v>741</v>
      </c>
      <c r="J35" s="247">
        <v>129</v>
      </c>
      <c r="K35" s="247">
        <v>870</v>
      </c>
    </row>
    <row r="36" spans="1:12" ht="17.45" customHeight="1">
      <c r="A36" s="846"/>
      <c r="B36" s="260" t="s">
        <v>385</v>
      </c>
      <c r="C36" s="247">
        <v>159</v>
      </c>
      <c r="D36" s="247">
        <v>42</v>
      </c>
      <c r="E36" s="247">
        <v>201</v>
      </c>
      <c r="F36" s="247"/>
      <c r="G36" s="247"/>
      <c r="H36" s="247"/>
      <c r="I36" s="247">
        <v>346</v>
      </c>
      <c r="J36" s="247">
        <v>53</v>
      </c>
      <c r="K36" s="247">
        <v>399</v>
      </c>
    </row>
    <row r="37" spans="1:12" ht="17.45" customHeight="1">
      <c r="A37" s="846"/>
      <c r="B37" s="260" t="s">
        <v>384</v>
      </c>
      <c r="C37" s="247">
        <v>159</v>
      </c>
      <c r="D37" s="247">
        <v>16</v>
      </c>
      <c r="E37" s="247">
        <v>175</v>
      </c>
      <c r="F37" s="247"/>
      <c r="G37" s="247"/>
      <c r="H37" s="247"/>
      <c r="I37" s="247">
        <v>308</v>
      </c>
      <c r="J37" s="247">
        <v>20</v>
      </c>
      <c r="K37" s="247">
        <v>328</v>
      </c>
    </row>
    <row r="38" spans="1:12" ht="17.45" customHeight="1">
      <c r="A38" s="846"/>
      <c r="B38" s="258" t="s">
        <v>432</v>
      </c>
      <c r="C38" s="247"/>
      <c r="D38" s="247"/>
      <c r="E38" s="247"/>
      <c r="F38" s="247"/>
      <c r="G38" s="247"/>
      <c r="H38" s="247"/>
      <c r="I38" s="247">
        <v>111</v>
      </c>
      <c r="J38" s="247">
        <v>59</v>
      </c>
      <c r="K38" s="247">
        <v>170</v>
      </c>
    </row>
    <row r="39" spans="1:12" ht="17.45" customHeight="1">
      <c r="A39" s="846"/>
      <c r="B39" s="258" t="s">
        <v>386</v>
      </c>
      <c r="C39" s="247">
        <v>11</v>
      </c>
      <c r="D39" s="247">
        <v>9</v>
      </c>
      <c r="E39" s="247">
        <v>20</v>
      </c>
      <c r="F39" s="247"/>
      <c r="G39" s="247"/>
      <c r="H39" s="247"/>
      <c r="I39" s="247">
        <v>86</v>
      </c>
      <c r="J39" s="247">
        <v>46</v>
      </c>
      <c r="K39" s="247">
        <v>132</v>
      </c>
    </row>
    <row r="40" spans="1:12" ht="17.45" customHeight="1">
      <c r="A40" s="847"/>
      <c r="B40" s="258" t="s">
        <v>433</v>
      </c>
      <c r="C40" s="247"/>
      <c r="D40" s="247"/>
      <c r="E40" s="247"/>
      <c r="F40" s="247"/>
      <c r="G40" s="247"/>
      <c r="H40" s="247"/>
      <c r="I40" s="247">
        <v>30</v>
      </c>
      <c r="J40" s="247">
        <v>15</v>
      </c>
      <c r="K40" s="247">
        <v>45</v>
      </c>
    </row>
    <row r="41" spans="1:12" ht="17.45" customHeight="1">
      <c r="A41" s="249" t="s">
        <v>388</v>
      </c>
      <c r="B41" s="250"/>
      <c r="C41" s="255">
        <v>35850</v>
      </c>
      <c r="D41" s="255">
        <v>16628</v>
      </c>
      <c r="E41" s="255">
        <v>52478</v>
      </c>
      <c r="F41" s="255">
        <v>3</v>
      </c>
      <c r="G41" s="255">
        <v>6</v>
      </c>
      <c r="H41" s="255">
        <v>9</v>
      </c>
      <c r="I41" s="255">
        <v>114934</v>
      </c>
      <c r="J41" s="255">
        <v>62415</v>
      </c>
      <c r="K41" s="255">
        <v>177349</v>
      </c>
      <c r="L41" s="741">
        <f>E41+H41+K41</f>
        <v>229836</v>
      </c>
    </row>
    <row r="42" spans="1:12" ht="17.45" customHeight="1">
      <c r="A42" s="249" t="s">
        <v>412</v>
      </c>
      <c r="B42" s="250"/>
      <c r="C42" s="247">
        <v>7</v>
      </c>
      <c r="D42" s="247">
        <v>32</v>
      </c>
      <c r="E42" s="247">
        <v>39</v>
      </c>
      <c r="F42" s="247">
        <v>0</v>
      </c>
      <c r="G42" s="247">
        <v>4</v>
      </c>
      <c r="H42" s="247">
        <v>4</v>
      </c>
      <c r="I42" s="247">
        <v>279</v>
      </c>
      <c r="J42" s="247">
        <v>2030</v>
      </c>
      <c r="K42" s="247">
        <v>2309</v>
      </c>
      <c r="L42" s="741">
        <f>E184+H184+K184</f>
        <v>711386</v>
      </c>
    </row>
    <row r="43" spans="1:12" ht="17.45" customHeight="1">
      <c r="A43" s="845" t="s">
        <v>168</v>
      </c>
      <c r="B43" s="258" t="s">
        <v>168</v>
      </c>
      <c r="C43" s="259">
        <v>153</v>
      </c>
      <c r="D43" s="259">
        <v>206</v>
      </c>
      <c r="E43" s="259">
        <v>359</v>
      </c>
      <c r="F43" s="259">
        <v>69</v>
      </c>
      <c r="G43" s="259">
        <v>91</v>
      </c>
      <c r="H43" s="259">
        <v>160</v>
      </c>
      <c r="I43" s="259">
        <v>1290</v>
      </c>
      <c r="J43" s="259">
        <v>1726</v>
      </c>
      <c r="K43" s="259">
        <v>3016</v>
      </c>
      <c r="L43" s="741">
        <f>SUM(L41:L42)</f>
        <v>941222</v>
      </c>
    </row>
    <row r="44" spans="1:12" ht="17.45" customHeight="1">
      <c r="A44" s="846"/>
      <c r="B44" s="258" t="s">
        <v>436</v>
      </c>
      <c r="C44" s="247">
        <v>54</v>
      </c>
      <c r="D44" s="247">
        <v>48</v>
      </c>
      <c r="E44" s="247">
        <v>102</v>
      </c>
      <c r="F44" s="247">
        <v>8</v>
      </c>
      <c r="G44" s="247">
        <v>16</v>
      </c>
      <c r="H44" s="247">
        <v>24</v>
      </c>
      <c r="I44" s="247">
        <v>735</v>
      </c>
      <c r="J44" s="247">
        <v>822</v>
      </c>
      <c r="K44" s="247">
        <v>1557</v>
      </c>
      <c r="L44" s="741">
        <f>L43+'12UGDisc '!F5</f>
        <v>9423791</v>
      </c>
    </row>
    <row r="45" spans="1:12" ht="17.45" customHeight="1">
      <c r="A45" s="846"/>
      <c r="B45" s="260" t="s">
        <v>434</v>
      </c>
      <c r="C45" s="247">
        <v>76</v>
      </c>
      <c r="D45" s="247">
        <v>79</v>
      </c>
      <c r="E45" s="247">
        <v>155</v>
      </c>
      <c r="F45" s="247">
        <v>12</v>
      </c>
      <c r="G45" s="247">
        <v>15</v>
      </c>
      <c r="H45" s="247">
        <v>27</v>
      </c>
      <c r="I45" s="247">
        <v>668</v>
      </c>
      <c r="J45" s="247">
        <v>741</v>
      </c>
      <c r="K45" s="247">
        <v>1409</v>
      </c>
    </row>
    <row r="46" spans="1:12" ht="17.45" customHeight="1">
      <c r="A46" s="847"/>
      <c r="B46" s="258" t="s">
        <v>435</v>
      </c>
      <c r="C46" s="247">
        <v>70</v>
      </c>
      <c r="D46" s="247">
        <v>139</v>
      </c>
      <c r="E46" s="247">
        <v>209</v>
      </c>
      <c r="F46" s="247">
        <v>4</v>
      </c>
      <c r="G46" s="247">
        <v>16</v>
      </c>
      <c r="H46" s="247">
        <v>20</v>
      </c>
      <c r="I46" s="247">
        <v>471</v>
      </c>
      <c r="J46" s="247">
        <v>730</v>
      </c>
      <c r="K46" s="247">
        <v>1201</v>
      </c>
    </row>
    <row r="47" spans="1:12" ht="17.45" customHeight="1">
      <c r="A47" s="249" t="s">
        <v>437</v>
      </c>
      <c r="B47" s="250"/>
      <c r="C47" s="251">
        <v>353</v>
      </c>
      <c r="D47" s="251">
        <v>472</v>
      </c>
      <c r="E47" s="251">
        <v>825</v>
      </c>
      <c r="F47" s="251">
        <v>93</v>
      </c>
      <c r="G47" s="251">
        <v>138</v>
      </c>
      <c r="H47" s="251">
        <v>231</v>
      </c>
      <c r="I47" s="251">
        <v>3164</v>
      </c>
      <c r="J47" s="251">
        <v>4019</v>
      </c>
      <c r="K47" s="251">
        <v>7183</v>
      </c>
    </row>
    <row r="48" spans="1:12" ht="17.45" customHeight="1">
      <c r="A48" s="249" t="s">
        <v>418</v>
      </c>
      <c r="B48" s="250"/>
      <c r="C48" s="247">
        <v>178</v>
      </c>
      <c r="D48" s="247">
        <v>137</v>
      </c>
      <c r="E48" s="247">
        <v>315</v>
      </c>
      <c r="F48" s="247">
        <v>0</v>
      </c>
      <c r="G48" s="247">
        <v>0</v>
      </c>
      <c r="H48" s="247">
        <v>0</v>
      </c>
      <c r="I48" s="247">
        <v>765</v>
      </c>
      <c r="J48" s="247">
        <v>626</v>
      </c>
      <c r="K48" s="247">
        <v>1391</v>
      </c>
    </row>
    <row r="49" spans="1:11" ht="17.45" customHeight="1">
      <c r="A49" s="845" t="s">
        <v>775</v>
      </c>
      <c r="B49" s="261" t="s">
        <v>776</v>
      </c>
      <c r="C49" s="262"/>
      <c r="D49" s="262"/>
      <c r="E49" s="262"/>
      <c r="F49" s="262"/>
      <c r="G49" s="262"/>
      <c r="H49" s="262"/>
      <c r="I49" s="262">
        <v>162</v>
      </c>
      <c r="J49" s="262">
        <v>157</v>
      </c>
      <c r="K49" s="262">
        <v>319</v>
      </c>
    </row>
    <row r="50" spans="1:11" ht="28.5">
      <c r="A50" s="846"/>
      <c r="B50" s="252" t="s">
        <v>777</v>
      </c>
      <c r="C50" s="247"/>
      <c r="D50" s="247"/>
      <c r="E50" s="247"/>
      <c r="F50" s="247"/>
      <c r="G50" s="247"/>
      <c r="H50" s="247"/>
      <c r="I50" s="247">
        <v>32</v>
      </c>
      <c r="J50" s="247">
        <v>9</v>
      </c>
      <c r="K50" s="247">
        <v>41</v>
      </c>
    </row>
    <row r="51" spans="1:11" ht="28.5">
      <c r="A51" s="846"/>
      <c r="B51" s="252" t="s">
        <v>778</v>
      </c>
      <c r="C51" s="247"/>
      <c r="D51" s="247"/>
      <c r="E51" s="247"/>
      <c r="F51" s="247"/>
      <c r="G51" s="247"/>
      <c r="H51" s="247"/>
      <c r="I51" s="247">
        <v>21</v>
      </c>
      <c r="J51" s="247">
        <v>20</v>
      </c>
      <c r="K51" s="247">
        <v>41</v>
      </c>
    </row>
    <row r="52" spans="1:11" ht="28.5">
      <c r="A52" s="847"/>
      <c r="B52" s="261" t="s">
        <v>779</v>
      </c>
      <c r="C52" s="247"/>
      <c r="D52" s="247"/>
      <c r="E52" s="247"/>
      <c r="F52" s="247"/>
      <c r="G52" s="247"/>
      <c r="H52" s="247"/>
      <c r="I52" s="247">
        <v>24</v>
      </c>
      <c r="J52" s="247">
        <v>10</v>
      </c>
      <c r="K52" s="247">
        <v>34</v>
      </c>
    </row>
    <row r="53" spans="1:11" ht="17.45" customHeight="1">
      <c r="A53" s="249" t="s">
        <v>814</v>
      </c>
      <c r="B53" s="250"/>
      <c r="C53" s="255"/>
      <c r="D53" s="255"/>
      <c r="E53" s="255"/>
      <c r="F53" s="255"/>
      <c r="G53" s="255"/>
      <c r="H53" s="255"/>
      <c r="I53" s="255">
        <v>239</v>
      </c>
      <c r="J53" s="255">
        <v>196</v>
      </c>
      <c r="K53" s="255">
        <v>435</v>
      </c>
    </row>
    <row r="54" spans="1:11" ht="17.45" customHeight="1">
      <c r="A54" s="842" t="s">
        <v>406</v>
      </c>
      <c r="B54" s="260" t="s">
        <v>438</v>
      </c>
      <c r="C54" s="247">
        <v>1425</v>
      </c>
      <c r="D54" s="247">
        <v>2643</v>
      </c>
      <c r="E54" s="247">
        <v>4068</v>
      </c>
      <c r="F54" s="247">
        <v>423</v>
      </c>
      <c r="G54" s="247">
        <v>1540</v>
      </c>
      <c r="H54" s="247">
        <v>1963</v>
      </c>
      <c r="I54" s="247">
        <v>62190</v>
      </c>
      <c r="J54" s="247">
        <v>135441</v>
      </c>
      <c r="K54" s="247">
        <v>197631</v>
      </c>
    </row>
    <row r="55" spans="1:11" ht="17.45" customHeight="1">
      <c r="A55" s="843"/>
      <c r="B55" s="260" t="s">
        <v>439</v>
      </c>
      <c r="C55" s="247">
        <v>589</v>
      </c>
      <c r="D55" s="247">
        <v>180</v>
      </c>
      <c r="E55" s="247">
        <v>769</v>
      </c>
      <c r="F55" s="247">
        <v>94</v>
      </c>
      <c r="G55" s="247">
        <v>33</v>
      </c>
      <c r="H55" s="247">
        <v>127</v>
      </c>
      <c r="I55" s="247">
        <v>3231</v>
      </c>
      <c r="J55" s="247">
        <v>2051</v>
      </c>
      <c r="K55" s="247">
        <v>5282</v>
      </c>
    </row>
    <row r="56" spans="1:11" ht="17.45" customHeight="1">
      <c r="A56" s="843"/>
      <c r="B56" s="246" t="s">
        <v>440</v>
      </c>
      <c r="C56" s="247">
        <v>34</v>
      </c>
      <c r="D56" s="247">
        <v>69</v>
      </c>
      <c r="E56" s="247">
        <v>103</v>
      </c>
      <c r="F56" s="247">
        <v>1</v>
      </c>
      <c r="G56" s="247">
        <v>1</v>
      </c>
      <c r="H56" s="247">
        <v>2</v>
      </c>
      <c r="I56" s="247">
        <v>145</v>
      </c>
      <c r="J56" s="247">
        <v>312</v>
      </c>
      <c r="K56" s="247">
        <v>457</v>
      </c>
    </row>
    <row r="57" spans="1:11" ht="17.45" customHeight="1">
      <c r="A57" s="843"/>
      <c r="B57" s="246" t="s">
        <v>441</v>
      </c>
      <c r="C57" s="247">
        <v>13</v>
      </c>
      <c r="D57" s="247">
        <v>18</v>
      </c>
      <c r="E57" s="247">
        <v>31</v>
      </c>
      <c r="F57" s="247">
        <v>0</v>
      </c>
      <c r="G57" s="247">
        <v>0</v>
      </c>
      <c r="H57" s="247">
        <v>0</v>
      </c>
      <c r="I57" s="247">
        <v>48</v>
      </c>
      <c r="J57" s="247">
        <v>110</v>
      </c>
      <c r="K57" s="247">
        <v>158</v>
      </c>
    </row>
    <row r="58" spans="1:11" ht="17.45" customHeight="1">
      <c r="A58" s="844"/>
      <c r="B58" s="246" t="s">
        <v>442</v>
      </c>
      <c r="C58" s="247">
        <v>31</v>
      </c>
      <c r="D58" s="247">
        <v>21</v>
      </c>
      <c r="E58" s="247">
        <v>52</v>
      </c>
      <c r="F58" s="247">
        <v>0</v>
      </c>
      <c r="G58" s="247">
        <v>0</v>
      </c>
      <c r="H58" s="247">
        <v>0</v>
      </c>
      <c r="I58" s="247">
        <v>49</v>
      </c>
      <c r="J58" s="247">
        <v>56</v>
      </c>
      <c r="K58" s="247">
        <v>105</v>
      </c>
    </row>
    <row r="59" spans="1:11" ht="17.45" customHeight="1">
      <c r="A59" s="249" t="s">
        <v>443</v>
      </c>
      <c r="B59" s="250"/>
      <c r="C59" s="251">
        <v>2092</v>
      </c>
      <c r="D59" s="251">
        <v>2931</v>
      </c>
      <c r="E59" s="251">
        <v>5023</v>
      </c>
      <c r="F59" s="251">
        <v>518</v>
      </c>
      <c r="G59" s="251">
        <v>1574</v>
      </c>
      <c r="H59" s="251">
        <v>2092</v>
      </c>
      <c r="I59" s="251">
        <v>65663</v>
      </c>
      <c r="J59" s="251">
        <v>137970</v>
      </c>
      <c r="K59" s="251">
        <v>203633</v>
      </c>
    </row>
    <row r="60" spans="1:11" ht="17.45" customHeight="1">
      <c r="A60" s="249" t="s">
        <v>421</v>
      </c>
      <c r="B60" s="250"/>
      <c r="C60" s="247">
        <v>24</v>
      </c>
      <c r="D60" s="247">
        <v>11</v>
      </c>
      <c r="E60" s="247">
        <v>35</v>
      </c>
      <c r="F60" s="247">
        <v>37</v>
      </c>
      <c r="G60" s="247">
        <v>41</v>
      </c>
      <c r="H60" s="247">
        <v>78</v>
      </c>
      <c r="I60" s="247">
        <v>343</v>
      </c>
      <c r="J60" s="247">
        <v>410</v>
      </c>
      <c r="K60" s="247">
        <v>753</v>
      </c>
    </row>
    <row r="61" spans="1:11" ht="17.45" customHeight="1">
      <c r="A61" s="845" t="s">
        <v>408</v>
      </c>
      <c r="B61" s="258" t="s">
        <v>408</v>
      </c>
      <c r="C61" s="247">
        <v>50</v>
      </c>
      <c r="D61" s="247">
        <v>987</v>
      </c>
      <c r="E61" s="247">
        <v>1037</v>
      </c>
      <c r="F61" s="247">
        <v>4</v>
      </c>
      <c r="G61" s="247">
        <v>41</v>
      </c>
      <c r="H61" s="247">
        <v>45</v>
      </c>
      <c r="I61" s="247">
        <v>2171</v>
      </c>
      <c r="J61" s="247">
        <v>9198</v>
      </c>
      <c r="K61" s="247">
        <v>11369</v>
      </c>
    </row>
    <row r="62" spans="1:11" s="263" customFormat="1" ht="17.45" customHeight="1">
      <c r="A62" s="846"/>
      <c r="B62" s="260" t="s">
        <v>444</v>
      </c>
      <c r="C62" s="247">
        <v>7</v>
      </c>
      <c r="D62" s="247">
        <v>47</v>
      </c>
      <c r="E62" s="247">
        <v>54</v>
      </c>
      <c r="F62" s="247">
        <v>0</v>
      </c>
      <c r="G62" s="247">
        <v>3</v>
      </c>
      <c r="H62" s="247">
        <v>3</v>
      </c>
      <c r="I62" s="247">
        <v>196</v>
      </c>
      <c r="J62" s="247">
        <v>2236</v>
      </c>
      <c r="K62" s="247">
        <v>2432</v>
      </c>
    </row>
    <row r="63" spans="1:11" ht="17.45" customHeight="1">
      <c r="A63" s="847"/>
      <c r="B63" s="258" t="s">
        <v>383</v>
      </c>
      <c r="C63" s="247">
        <v>4</v>
      </c>
      <c r="D63" s="247">
        <v>14</v>
      </c>
      <c r="E63" s="247">
        <v>18</v>
      </c>
      <c r="F63" s="247">
        <v>0</v>
      </c>
      <c r="G63" s="247">
        <v>0</v>
      </c>
      <c r="H63" s="247">
        <v>0</v>
      </c>
      <c r="I63" s="247">
        <v>320</v>
      </c>
      <c r="J63" s="247">
        <v>1058</v>
      </c>
      <c r="K63" s="247">
        <v>1378</v>
      </c>
    </row>
    <row r="64" spans="1:11" ht="17.45" customHeight="1">
      <c r="A64" s="264" t="s">
        <v>445</v>
      </c>
      <c r="B64" s="264"/>
      <c r="C64" s="255">
        <v>61</v>
      </c>
      <c r="D64" s="255">
        <v>1048</v>
      </c>
      <c r="E64" s="255">
        <v>1109</v>
      </c>
      <c r="F64" s="255">
        <v>4</v>
      </c>
      <c r="G64" s="255">
        <v>44</v>
      </c>
      <c r="H64" s="255">
        <v>48</v>
      </c>
      <c r="I64" s="255">
        <v>2687</v>
      </c>
      <c r="J64" s="255">
        <v>12492</v>
      </c>
      <c r="K64" s="255">
        <v>15179</v>
      </c>
    </row>
    <row r="65" spans="1:11" ht="17.45" customHeight="1">
      <c r="A65" s="264" t="s">
        <v>774</v>
      </c>
      <c r="B65" s="258"/>
      <c r="C65" s="247"/>
      <c r="D65" s="247"/>
      <c r="E65" s="247"/>
      <c r="F65" s="247"/>
      <c r="G65" s="247"/>
      <c r="H65" s="247"/>
      <c r="I65" s="247">
        <v>512</v>
      </c>
      <c r="J65" s="247">
        <v>303</v>
      </c>
      <c r="K65" s="247">
        <v>815</v>
      </c>
    </row>
    <row r="66" spans="1:11" ht="17.45" customHeight="1">
      <c r="A66" s="842" t="s">
        <v>405</v>
      </c>
      <c r="B66" s="260" t="s">
        <v>446</v>
      </c>
      <c r="C66" s="247">
        <v>1478</v>
      </c>
      <c r="D66" s="247">
        <v>1672</v>
      </c>
      <c r="E66" s="247">
        <v>3150</v>
      </c>
      <c r="F66" s="247">
        <v>179</v>
      </c>
      <c r="G66" s="247">
        <v>388</v>
      </c>
      <c r="H66" s="247">
        <v>567</v>
      </c>
      <c r="I66" s="247">
        <v>41125</v>
      </c>
      <c r="J66" s="247">
        <v>91301</v>
      </c>
      <c r="K66" s="247">
        <v>132426</v>
      </c>
    </row>
    <row r="67" spans="1:11" ht="17.45" customHeight="1">
      <c r="A67" s="843"/>
      <c r="B67" s="258" t="s">
        <v>447</v>
      </c>
      <c r="C67" s="247">
        <v>494</v>
      </c>
      <c r="D67" s="247">
        <v>485</v>
      </c>
      <c r="E67" s="247">
        <v>979</v>
      </c>
      <c r="F67" s="247">
        <v>148</v>
      </c>
      <c r="G67" s="247">
        <v>221</v>
      </c>
      <c r="H67" s="247">
        <v>369</v>
      </c>
      <c r="I67" s="247">
        <v>19995</v>
      </c>
      <c r="J67" s="247">
        <v>32249</v>
      </c>
      <c r="K67" s="247">
        <v>52244</v>
      </c>
    </row>
    <row r="68" spans="1:11" ht="17.45" customHeight="1">
      <c r="A68" s="843"/>
      <c r="B68" s="258" t="s">
        <v>174</v>
      </c>
      <c r="C68" s="247">
        <v>620</v>
      </c>
      <c r="D68" s="247">
        <v>535</v>
      </c>
      <c r="E68" s="247">
        <v>1155</v>
      </c>
      <c r="F68" s="247">
        <v>187</v>
      </c>
      <c r="G68" s="247">
        <v>155</v>
      </c>
      <c r="H68" s="247">
        <v>342</v>
      </c>
      <c r="I68" s="247">
        <v>7411</v>
      </c>
      <c r="J68" s="247">
        <v>15308</v>
      </c>
      <c r="K68" s="247">
        <v>22719</v>
      </c>
    </row>
    <row r="69" spans="1:11" ht="17.45" customHeight="1">
      <c r="A69" s="843"/>
      <c r="B69" s="260" t="s">
        <v>448</v>
      </c>
      <c r="C69" s="247">
        <v>287</v>
      </c>
      <c r="D69" s="247">
        <v>201</v>
      </c>
      <c r="E69" s="247">
        <v>488</v>
      </c>
      <c r="F69" s="247">
        <v>151</v>
      </c>
      <c r="G69" s="247">
        <v>97</v>
      </c>
      <c r="H69" s="247">
        <v>248</v>
      </c>
      <c r="I69" s="247">
        <v>5108</v>
      </c>
      <c r="J69" s="247">
        <v>16025</v>
      </c>
      <c r="K69" s="247">
        <v>21133</v>
      </c>
    </row>
    <row r="70" spans="1:11" ht="17.45" customHeight="1">
      <c r="A70" s="843"/>
      <c r="B70" s="258" t="s">
        <v>449</v>
      </c>
      <c r="C70" s="247">
        <v>431</v>
      </c>
      <c r="D70" s="247">
        <v>217</v>
      </c>
      <c r="E70" s="247">
        <v>648</v>
      </c>
      <c r="F70" s="247">
        <v>84</v>
      </c>
      <c r="G70" s="247">
        <v>39</v>
      </c>
      <c r="H70" s="247">
        <v>123</v>
      </c>
      <c r="I70" s="247">
        <v>6755</v>
      </c>
      <c r="J70" s="247">
        <v>12797</v>
      </c>
      <c r="K70" s="247">
        <v>19552</v>
      </c>
    </row>
    <row r="71" spans="1:11" ht="17.45" customHeight="1">
      <c r="A71" s="843"/>
      <c r="B71" s="260" t="s">
        <v>451</v>
      </c>
      <c r="C71" s="247">
        <v>386</v>
      </c>
      <c r="D71" s="247">
        <v>621</v>
      </c>
      <c r="E71" s="247">
        <v>1007</v>
      </c>
      <c r="F71" s="247">
        <v>166</v>
      </c>
      <c r="G71" s="247">
        <v>659</v>
      </c>
      <c r="H71" s="247">
        <v>825</v>
      </c>
      <c r="I71" s="247">
        <v>4787</v>
      </c>
      <c r="J71" s="247">
        <v>13878</v>
      </c>
      <c r="K71" s="247">
        <v>18665</v>
      </c>
    </row>
    <row r="72" spans="1:11" ht="17.45" customHeight="1">
      <c r="A72" s="843"/>
      <c r="B72" s="246" t="s">
        <v>450</v>
      </c>
      <c r="C72" s="247">
        <v>228</v>
      </c>
      <c r="D72" s="247">
        <v>110</v>
      </c>
      <c r="E72" s="247">
        <v>338</v>
      </c>
      <c r="F72" s="247">
        <v>31</v>
      </c>
      <c r="G72" s="247">
        <v>18</v>
      </c>
      <c r="H72" s="247">
        <v>49</v>
      </c>
      <c r="I72" s="247">
        <v>4094</v>
      </c>
      <c r="J72" s="247">
        <v>7141</v>
      </c>
      <c r="K72" s="247">
        <v>11235</v>
      </c>
    </row>
    <row r="73" spans="1:11" ht="17.45" customHeight="1">
      <c r="A73" s="843"/>
      <c r="B73" s="258" t="s">
        <v>455</v>
      </c>
      <c r="C73" s="247">
        <v>14</v>
      </c>
      <c r="D73" s="247">
        <v>38</v>
      </c>
      <c r="E73" s="247">
        <v>52</v>
      </c>
      <c r="F73" s="247">
        <v>41</v>
      </c>
      <c r="G73" s="247">
        <v>47</v>
      </c>
      <c r="H73" s="247">
        <v>88</v>
      </c>
      <c r="I73" s="247">
        <v>2353</v>
      </c>
      <c r="J73" s="247">
        <v>4881</v>
      </c>
      <c r="K73" s="247">
        <v>7234</v>
      </c>
    </row>
    <row r="74" spans="1:11" ht="17.45" customHeight="1">
      <c r="A74" s="843"/>
      <c r="B74" s="258" t="s">
        <v>452</v>
      </c>
      <c r="C74" s="247">
        <v>211</v>
      </c>
      <c r="D74" s="247">
        <v>125</v>
      </c>
      <c r="E74" s="247">
        <v>336</v>
      </c>
      <c r="F74" s="247">
        <v>7</v>
      </c>
      <c r="G74" s="247">
        <v>6</v>
      </c>
      <c r="H74" s="247">
        <v>13</v>
      </c>
      <c r="I74" s="247">
        <v>2863</v>
      </c>
      <c r="J74" s="247">
        <v>3905</v>
      </c>
      <c r="K74" s="247">
        <v>6768</v>
      </c>
    </row>
    <row r="75" spans="1:11" ht="17.45" customHeight="1">
      <c r="A75" s="843"/>
      <c r="B75" s="246" t="s">
        <v>453</v>
      </c>
      <c r="C75" s="247">
        <v>337</v>
      </c>
      <c r="D75" s="247">
        <v>331</v>
      </c>
      <c r="E75" s="247">
        <v>668</v>
      </c>
      <c r="F75" s="247">
        <v>88</v>
      </c>
      <c r="G75" s="247">
        <v>99</v>
      </c>
      <c r="H75" s="247">
        <v>187</v>
      </c>
      <c r="I75" s="247">
        <v>1784</v>
      </c>
      <c r="J75" s="247">
        <v>4631</v>
      </c>
      <c r="K75" s="247">
        <v>6415</v>
      </c>
    </row>
    <row r="76" spans="1:11" ht="17.45" customHeight="1">
      <c r="A76" s="844"/>
      <c r="B76" s="246" t="s">
        <v>454</v>
      </c>
      <c r="C76" s="247">
        <v>100</v>
      </c>
      <c r="D76" s="247">
        <v>174</v>
      </c>
      <c r="E76" s="247">
        <v>274</v>
      </c>
      <c r="F76" s="247">
        <v>11</v>
      </c>
      <c r="G76" s="247">
        <v>31</v>
      </c>
      <c r="H76" s="247">
        <v>42</v>
      </c>
      <c r="I76" s="247">
        <v>824</v>
      </c>
      <c r="J76" s="247">
        <v>2359</v>
      </c>
      <c r="K76" s="247">
        <v>3183</v>
      </c>
    </row>
    <row r="77" spans="1:11" ht="17.45" customHeight="1">
      <c r="A77" s="249" t="s">
        <v>456</v>
      </c>
      <c r="B77" s="250"/>
      <c r="C77" s="255">
        <v>4586</v>
      </c>
      <c r="D77" s="255">
        <v>4509</v>
      </c>
      <c r="E77" s="255">
        <v>9095</v>
      </c>
      <c r="F77" s="255">
        <v>1093</v>
      </c>
      <c r="G77" s="255">
        <v>1760</v>
      </c>
      <c r="H77" s="255">
        <v>2853</v>
      </c>
      <c r="I77" s="255">
        <v>97099</v>
      </c>
      <c r="J77" s="255">
        <v>204475</v>
      </c>
      <c r="K77" s="255">
        <v>301574</v>
      </c>
    </row>
    <row r="78" spans="1:11" ht="17.45" customHeight="1">
      <c r="A78" s="842" t="s">
        <v>370</v>
      </c>
      <c r="B78" s="246" t="s">
        <v>457</v>
      </c>
      <c r="C78" s="247">
        <v>423</v>
      </c>
      <c r="D78" s="247">
        <v>430</v>
      </c>
      <c r="E78" s="247">
        <v>853</v>
      </c>
      <c r="F78" s="247">
        <v>28</v>
      </c>
      <c r="G78" s="247">
        <v>45</v>
      </c>
      <c r="H78" s="247">
        <v>73</v>
      </c>
      <c r="I78" s="247">
        <v>81315</v>
      </c>
      <c r="J78" s="247">
        <v>68179</v>
      </c>
      <c r="K78" s="247">
        <v>149494</v>
      </c>
    </row>
    <row r="79" spans="1:11" ht="17.45" customHeight="1">
      <c r="A79" s="843"/>
      <c r="B79" s="246" t="s">
        <v>458</v>
      </c>
      <c r="C79" s="247">
        <v>1036</v>
      </c>
      <c r="D79" s="247">
        <v>1335</v>
      </c>
      <c r="E79" s="247">
        <v>2371</v>
      </c>
      <c r="F79" s="247">
        <v>122</v>
      </c>
      <c r="G79" s="247">
        <v>467</v>
      </c>
      <c r="H79" s="247">
        <v>589</v>
      </c>
      <c r="I79" s="247">
        <v>13387</v>
      </c>
      <c r="J79" s="247">
        <v>22793</v>
      </c>
      <c r="K79" s="247">
        <v>36180</v>
      </c>
    </row>
    <row r="80" spans="1:11" ht="17.45" customHeight="1">
      <c r="A80" s="843"/>
      <c r="B80" s="258" t="s">
        <v>377</v>
      </c>
      <c r="C80" s="247">
        <v>170</v>
      </c>
      <c r="D80" s="247">
        <v>118</v>
      </c>
      <c r="E80" s="247">
        <v>288</v>
      </c>
      <c r="F80" s="247">
        <v>3</v>
      </c>
      <c r="G80" s="247">
        <v>3</v>
      </c>
      <c r="H80" s="247">
        <v>6</v>
      </c>
      <c r="I80" s="247">
        <v>6161</v>
      </c>
      <c r="J80" s="247">
        <v>5332</v>
      </c>
      <c r="K80" s="247">
        <v>11493</v>
      </c>
    </row>
    <row r="81" spans="1:11" ht="17.45" customHeight="1">
      <c r="A81" s="843"/>
      <c r="B81" s="258" t="s">
        <v>459</v>
      </c>
      <c r="C81" s="247"/>
      <c r="D81" s="247"/>
      <c r="E81" s="247"/>
      <c r="F81" s="247"/>
      <c r="G81" s="247"/>
      <c r="H81" s="247"/>
      <c r="I81" s="247">
        <v>106</v>
      </c>
      <c r="J81" s="247">
        <v>87</v>
      </c>
      <c r="K81" s="247">
        <v>193</v>
      </c>
    </row>
    <row r="82" spans="1:11" ht="17.45" customHeight="1">
      <c r="A82" s="844"/>
      <c r="B82" s="258" t="s">
        <v>460</v>
      </c>
      <c r="C82" s="247"/>
      <c r="D82" s="247"/>
      <c r="E82" s="247"/>
      <c r="F82" s="247"/>
      <c r="G82" s="247"/>
      <c r="H82" s="247"/>
      <c r="I82" s="247">
        <v>17</v>
      </c>
      <c r="J82" s="247">
        <v>18</v>
      </c>
      <c r="K82" s="247">
        <v>35</v>
      </c>
    </row>
    <row r="83" spans="1:11" ht="17.45" customHeight="1">
      <c r="A83" s="249" t="s">
        <v>461</v>
      </c>
      <c r="B83" s="250"/>
      <c r="C83" s="255">
        <v>1629</v>
      </c>
      <c r="D83" s="255">
        <v>1883</v>
      </c>
      <c r="E83" s="255">
        <v>3512</v>
      </c>
      <c r="F83" s="255">
        <v>153</v>
      </c>
      <c r="G83" s="255">
        <v>515</v>
      </c>
      <c r="H83" s="255">
        <v>668</v>
      </c>
      <c r="I83" s="255">
        <v>100986</v>
      </c>
      <c r="J83" s="255">
        <v>96409</v>
      </c>
      <c r="K83" s="255">
        <v>197395</v>
      </c>
    </row>
    <row r="84" spans="1:11" ht="17.45" customHeight="1">
      <c r="A84" s="249" t="s">
        <v>170</v>
      </c>
      <c r="B84" s="250"/>
      <c r="C84" s="247">
        <v>540</v>
      </c>
      <c r="D84" s="247">
        <v>453</v>
      </c>
      <c r="E84" s="247">
        <v>993</v>
      </c>
      <c r="F84" s="247">
        <v>88</v>
      </c>
      <c r="G84" s="247">
        <v>71</v>
      </c>
      <c r="H84" s="247">
        <v>159</v>
      </c>
      <c r="I84" s="247">
        <v>9907</v>
      </c>
      <c r="J84" s="247">
        <v>9136</v>
      </c>
      <c r="K84" s="247">
        <v>19043</v>
      </c>
    </row>
    <row r="85" spans="1:11" ht="17.45" customHeight="1">
      <c r="A85" s="842" t="s">
        <v>8</v>
      </c>
      <c r="B85" s="246" t="s">
        <v>8</v>
      </c>
      <c r="C85" s="247">
        <v>1595</v>
      </c>
      <c r="D85" s="247">
        <v>1539</v>
      </c>
      <c r="E85" s="247">
        <v>3134</v>
      </c>
      <c r="F85" s="247">
        <v>35</v>
      </c>
      <c r="G85" s="247">
        <v>46</v>
      </c>
      <c r="H85" s="247">
        <v>81</v>
      </c>
      <c r="I85" s="247">
        <v>14509</v>
      </c>
      <c r="J85" s="247">
        <v>12082</v>
      </c>
      <c r="K85" s="247">
        <v>26591</v>
      </c>
    </row>
    <row r="86" spans="1:11" ht="17.45" customHeight="1">
      <c r="A86" s="843"/>
      <c r="B86" s="260" t="s">
        <v>463</v>
      </c>
      <c r="C86" s="247"/>
      <c r="D86" s="247"/>
      <c r="E86" s="247"/>
      <c r="F86" s="247">
        <v>162</v>
      </c>
      <c r="G86" s="247">
        <v>70</v>
      </c>
      <c r="H86" s="247">
        <v>232</v>
      </c>
      <c r="I86" s="247">
        <v>391</v>
      </c>
      <c r="J86" s="247">
        <v>261</v>
      </c>
      <c r="K86" s="247">
        <v>652</v>
      </c>
    </row>
    <row r="87" spans="1:11" ht="17.45" customHeight="1">
      <c r="A87" s="843"/>
      <c r="B87" s="246" t="s">
        <v>462</v>
      </c>
      <c r="C87" s="247"/>
      <c r="D87" s="247"/>
      <c r="E87" s="247"/>
      <c r="F87" s="247"/>
      <c r="G87" s="247"/>
      <c r="H87" s="247"/>
      <c r="I87" s="247">
        <v>130</v>
      </c>
      <c r="J87" s="247">
        <v>103</v>
      </c>
      <c r="K87" s="247">
        <v>233</v>
      </c>
    </row>
    <row r="88" spans="1:11" ht="17.45" customHeight="1">
      <c r="A88" s="843"/>
      <c r="B88" s="246" t="s">
        <v>465</v>
      </c>
      <c r="C88" s="247"/>
      <c r="D88" s="247"/>
      <c r="E88" s="247"/>
      <c r="F88" s="247"/>
      <c r="G88" s="247"/>
      <c r="H88" s="247"/>
      <c r="I88" s="247">
        <v>60</v>
      </c>
      <c r="J88" s="247">
        <v>31</v>
      </c>
      <c r="K88" s="247">
        <v>91</v>
      </c>
    </row>
    <row r="89" spans="1:11" ht="17.45" customHeight="1">
      <c r="A89" s="844"/>
      <c r="B89" s="246" t="s">
        <v>464</v>
      </c>
      <c r="C89" s="247"/>
      <c r="D89" s="247"/>
      <c r="E89" s="247"/>
      <c r="F89" s="247"/>
      <c r="G89" s="247"/>
      <c r="H89" s="247"/>
      <c r="I89" s="247">
        <v>6</v>
      </c>
      <c r="J89" s="247">
        <v>4</v>
      </c>
      <c r="K89" s="247">
        <v>10</v>
      </c>
    </row>
    <row r="90" spans="1:11" ht="17.45" customHeight="1">
      <c r="A90" s="249" t="s">
        <v>466</v>
      </c>
      <c r="B90" s="250"/>
      <c r="C90" s="255">
        <v>1595</v>
      </c>
      <c r="D90" s="255">
        <v>1539</v>
      </c>
      <c r="E90" s="255">
        <v>3134</v>
      </c>
      <c r="F90" s="255">
        <v>197</v>
      </c>
      <c r="G90" s="255">
        <v>116</v>
      </c>
      <c r="H90" s="255">
        <v>313</v>
      </c>
      <c r="I90" s="255">
        <v>15096</v>
      </c>
      <c r="J90" s="255">
        <v>12481</v>
      </c>
      <c r="K90" s="255">
        <v>27577</v>
      </c>
    </row>
    <row r="91" spans="1:11" ht="17.45" customHeight="1">
      <c r="A91" s="249" t="s">
        <v>407</v>
      </c>
      <c r="B91" s="250"/>
      <c r="C91" s="247">
        <v>498</v>
      </c>
      <c r="D91" s="247">
        <v>347</v>
      </c>
      <c r="E91" s="247">
        <v>845</v>
      </c>
      <c r="F91" s="247">
        <v>99</v>
      </c>
      <c r="G91" s="247">
        <v>91</v>
      </c>
      <c r="H91" s="247">
        <v>190</v>
      </c>
      <c r="I91" s="247">
        <v>5656</v>
      </c>
      <c r="J91" s="247">
        <v>6399</v>
      </c>
      <c r="K91" s="247">
        <v>12055</v>
      </c>
    </row>
    <row r="92" spans="1:11" ht="17.45" customHeight="1">
      <c r="A92" s="249" t="s">
        <v>413</v>
      </c>
      <c r="B92" s="250"/>
      <c r="C92" s="247">
        <v>349</v>
      </c>
      <c r="D92" s="247">
        <v>388</v>
      </c>
      <c r="E92" s="247">
        <v>737</v>
      </c>
      <c r="F92" s="247">
        <v>96</v>
      </c>
      <c r="G92" s="247">
        <v>154</v>
      </c>
      <c r="H92" s="247">
        <v>250</v>
      </c>
      <c r="I92" s="247">
        <v>24</v>
      </c>
      <c r="J92" s="247">
        <v>146</v>
      </c>
      <c r="K92" s="247">
        <v>170</v>
      </c>
    </row>
    <row r="93" spans="1:11" ht="17.45" customHeight="1">
      <c r="A93" s="842" t="s">
        <v>404</v>
      </c>
      <c r="B93" s="246" t="s">
        <v>467</v>
      </c>
      <c r="C93" s="247">
        <v>1792</v>
      </c>
      <c r="D93" s="247">
        <v>1665</v>
      </c>
      <c r="E93" s="247">
        <v>3457</v>
      </c>
      <c r="F93" s="247">
        <v>70</v>
      </c>
      <c r="G93" s="247">
        <v>79</v>
      </c>
      <c r="H93" s="247">
        <v>149</v>
      </c>
      <c r="I93" s="247">
        <v>351833</v>
      </c>
      <c r="J93" s="247">
        <v>260652</v>
      </c>
      <c r="K93" s="247">
        <v>612485</v>
      </c>
    </row>
    <row r="94" spans="1:11" ht="17.45" customHeight="1">
      <c r="A94" s="843"/>
      <c r="B94" s="246" t="s">
        <v>468</v>
      </c>
      <c r="C94" s="247">
        <v>1951</v>
      </c>
      <c r="D94" s="247">
        <v>1874</v>
      </c>
      <c r="E94" s="247">
        <v>3825</v>
      </c>
      <c r="F94" s="247">
        <v>86</v>
      </c>
      <c r="G94" s="247">
        <v>124</v>
      </c>
      <c r="H94" s="247">
        <v>210</v>
      </c>
      <c r="I94" s="247">
        <v>12776</v>
      </c>
      <c r="J94" s="247">
        <v>7831</v>
      </c>
      <c r="K94" s="247">
        <v>20607</v>
      </c>
    </row>
    <row r="95" spans="1:11" ht="17.45" customHeight="1">
      <c r="A95" s="843"/>
      <c r="B95" s="246" t="s">
        <v>469</v>
      </c>
      <c r="C95" s="247">
        <v>1397</v>
      </c>
      <c r="D95" s="247">
        <v>983</v>
      </c>
      <c r="E95" s="247">
        <v>2380</v>
      </c>
      <c r="F95" s="247">
        <v>19</v>
      </c>
      <c r="G95" s="247">
        <v>18</v>
      </c>
      <c r="H95" s="247">
        <v>37</v>
      </c>
      <c r="I95" s="247">
        <v>3937</v>
      </c>
      <c r="J95" s="247">
        <v>2663</v>
      </c>
      <c r="K95" s="247">
        <v>6600</v>
      </c>
    </row>
    <row r="96" spans="1:11" ht="17.45" customHeight="1">
      <c r="A96" s="843"/>
      <c r="B96" s="246" t="s">
        <v>470</v>
      </c>
      <c r="C96" s="247"/>
      <c r="D96" s="247"/>
      <c r="E96" s="247"/>
      <c r="F96" s="247"/>
      <c r="G96" s="247"/>
      <c r="H96" s="247"/>
      <c r="I96" s="247">
        <v>2868</v>
      </c>
      <c r="J96" s="247">
        <v>1376</v>
      </c>
      <c r="K96" s="247">
        <v>4244</v>
      </c>
    </row>
    <row r="97" spans="1:11" ht="17.45" customHeight="1">
      <c r="A97" s="843"/>
      <c r="B97" s="258" t="s">
        <v>395</v>
      </c>
      <c r="C97" s="247">
        <v>2</v>
      </c>
      <c r="D97" s="247">
        <v>5</v>
      </c>
      <c r="E97" s="247">
        <v>7</v>
      </c>
      <c r="F97" s="247">
        <v>0</v>
      </c>
      <c r="G97" s="247">
        <v>0</v>
      </c>
      <c r="H97" s="247">
        <v>0</v>
      </c>
      <c r="I97" s="247">
        <v>1385</v>
      </c>
      <c r="J97" s="247">
        <v>1926</v>
      </c>
      <c r="K97" s="247">
        <v>3311</v>
      </c>
    </row>
    <row r="98" spans="1:11" ht="17.45" customHeight="1">
      <c r="A98" s="843"/>
      <c r="B98" s="258" t="s">
        <v>471</v>
      </c>
      <c r="C98" s="247">
        <v>87</v>
      </c>
      <c r="D98" s="247">
        <v>89</v>
      </c>
      <c r="E98" s="247">
        <v>176</v>
      </c>
      <c r="F98" s="247">
        <v>1</v>
      </c>
      <c r="G98" s="247">
        <v>6</v>
      </c>
      <c r="H98" s="247">
        <v>7</v>
      </c>
      <c r="I98" s="247">
        <v>1559</v>
      </c>
      <c r="J98" s="247">
        <v>1180</v>
      </c>
      <c r="K98" s="247">
        <v>2739</v>
      </c>
    </row>
    <row r="99" spans="1:11" ht="30.6" customHeight="1">
      <c r="A99" s="843"/>
      <c r="B99" s="246" t="s">
        <v>472</v>
      </c>
      <c r="C99" s="247">
        <v>40</v>
      </c>
      <c r="D99" s="247">
        <v>60</v>
      </c>
      <c r="E99" s="247">
        <v>100</v>
      </c>
      <c r="F99" s="247">
        <v>17</v>
      </c>
      <c r="G99" s="247">
        <v>17</v>
      </c>
      <c r="H99" s="247">
        <v>34</v>
      </c>
      <c r="I99" s="247">
        <v>878</v>
      </c>
      <c r="J99" s="247">
        <v>1237</v>
      </c>
      <c r="K99" s="247">
        <v>2115</v>
      </c>
    </row>
    <row r="100" spans="1:11" ht="17.45" customHeight="1">
      <c r="A100" s="843"/>
      <c r="B100" s="260" t="s">
        <v>473</v>
      </c>
      <c r="C100" s="247">
        <v>419</v>
      </c>
      <c r="D100" s="247">
        <v>407</v>
      </c>
      <c r="E100" s="247">
        <v>826</v>
      </c>
      <c r="F100" s="247">
        <v>8</v>
      </c>
      <c r="G100" s="247">
        <v>12</v>
      </c>
      <c r="H100" s="247">
        <v>20</v>
      </c>
      <c r="I100" s="247">
        <v>1139</v>
      </c>
      <c r="J100" s="247">
        <v>538</v>
      </c>
      <c r="K100" s="247">
        <v>1677</v>
      </c>
    </row>
    <row r="101" spans="1:11" ht="17.45" customHeight="1">
      <c r="A101" s="843"/>
      <c r="B101" s="260" t="s">
        <v>475</v>
      </c>
      <c r="C101" s="247">
        <v>51</v>
      </c>
      <c r="D101" s="247">
        <v>50</v>
      </c>
      <c r="E101" s="247">
        <v>101</v>
      </c>
      <c r="F101" s="247">
        <v>0</v>
      </c>
      <c r="G101" s="247">
        <v>1</v>
      </c>
      <c r="H101" s="247">
        <v>1</v>
      </c>
      <c r="I101" s="247">
        <v>576</v>
      </c>
      <c r="J101" s="247">
        <v>514</v>
      </c>
      <c r="K101" s="247">
        <v>1090</v>
      </c>
    </row>
    <row r="102" spans="1:11" ht="17.45" customHeight="1">
      <c r="A102" s="843"/>
      <c r="B102" s="246" t="s">
        <v>474</v>
      </c>
      <c r="C102" s="247">
        <v>17</v>
      </c>
      <c r="D102" s="247">
        <v>7</v>
      </c>
      <c r="E102" s="247">
        <v>24</v>
      </c>
      <c r="F102" s="247"/>
      <c r="G102" s="247"/>
      <c r="H102" s="247"/>
      <c r="I102" s="247">
        <v>231</v>
      </c>
      <c r="J102" s="247">
        <v>41</v>
      </c>
      <c r="K102" s="247">
        <v>272</v>
      </c>
    </row>
    <row r="103" spans="1:11" ht="17.45" customHeight="1">
      <c r="A103" s="843"/>
      <c r="B103" s="246" t="s">
        <v>476</v>
      </c>
      <c r="C103" s="247">
        <v>1</v>
      </c>
      <c r="D103" s="247">
        <v>0</v>
      </c>
      <c r="E103" s="247">
        <v>1</v>
      </c>
      <c r="F103" s="247"/>
      <c r="G103" s="247"/>
      <c r="H103" s="247"/>
      <c r="I103" s="247">
        <v>144</v>
      </c>
      <c r="J103" s="247">
        <v>75</v>
      </c>
      <c r="K103" s="247">
        <v>219</v>
      </c>
    </row>
    <row r="104" spans="1:11" ht="17.45" customHeight="1">
      <c r="A104" s="843"/>
      <c r="B104" s="246" t="s">
        <v>477</v>
      </c>
      <c r="C104" s="247">
        <v>84</v>
      </c>
      <c r="D104" s="247">
        <v>33</v>
      </c>
      <c r="E104" s="247">
        <v>117</v>
      </c>
      <c r="F104" s="247">
        <v>0</v>
      </c>
      <c r="G104" s="247">
        <v>3</v>
      </c>
      <c r="H104" s="247">
        <v>3</v>
      </c>
      <c r="I104" s="247">
        <v>22</v>
      </c>
      <c r="J104" s="247">
        <v>12</v>
      </c>
      <c r="K104" s="247">
        <v>34</v>
      </c>
    </row>
    <row r="105" spans="1:11" ht="17.45" customHeight="1">
      <c r="A105" s="844"/>
      <c r="B105" s="246" t="s">
        <v>478</v>
      </c>
      <c r="C105" s="247">
        <v>90</v>
      </c>
      <c r="D105" s="247">
        <v>53</v>
      </c>
      <c r="E105" s="247">
        <v>143</v>
      </c>
      <c r="F105" s="247"/>
      <c r="G105" s="247"/>
      <c r="H105" s="247"/>
      <c r="I105" s="247">
        <v>11</v>
      </c>
      <c r="J105" s="247">
        <v>5</v>
      </c>
      <c r="K105" s="247">
        <v>16</v>
      </c>
    </row>
    <row r="106" spans="1:11" ht="17.45" customHeight="1">
      <c r="A106" s="249" t="s">
        <v>479</v>
      </c>
      <c r="B106" s="250"/>
      <c r="C106" s="255">
        <v>5931</v>
      </c>
      <c r="D106" s="255">
        <v>5226</v>
      </c>
      <c r="E106" s="255">
        <v>11157</v>
      </c>
      <c r="F106" s="255">
        <v>201</v>
      </c>
      <c r="G106" s="255">
        <v>260</v>
      </c>
      <c r="H106" s="255">
        <v>461</v>
      </c>
      <c r="I106" s="255">
        <v>377359</v>
      </c>
      <c r="J106" s="255">
        <v>278050</v>
      </c>
      <c r="K106" s="255">
        <v>655409</v>
      </c>
    </row>
    <row r="107" spans="1:11" ht="17.45" customHeight="1">
      <c r="A107" s="249" t="s">
        <v>422</v>
      </c>
      <c r="B107" s="250"/>
      <c r="C107" s="247">
        <v>135</v>
      </c>
      <c r="D107" s="247">
        <v>219</v>
      </c>
      <c r="E107" s="247">
        <v>354</v>
      </c>
      <c r="F107" s="247">
        <v>6</v>
      </c>
      <c r="G107" s="247">
        <v>17</v>
      </c>
      <c r="H107" s="247">
        <v>23</v>
      </c>
      <c r="I107" s="247">
        <v>274</v>
      </c>
      <c r="J107" s="247">
        <v>515</v>
      </c>
      <c r="K107" s="247">
        <v>789</v>
      </c>
    </row>
    <row r="108" spans="1:11" ht="17.45" customHeight="1">
      <c r="A108" s="845" t="s">
        <v>372</v>
      </c>
      <c r="B108" s="246" t="s">
        <v>389</v>
      </c>
      <c r="C108" s="247">
        <v>1870</v>
      </c>
      <c r="D108" s="247">
        <v>1666</v>
      </c>
      <c r="E108" s="247">
        <v>3536</v>
      </c>
      <c r="F108" s="247">
        <v>0</v>
      </c>
      <c r="G108" s="247">
        <v>0</v>
      </c>
      <c r="H108" s="247">
        <v>0</v>
      </c>
      <c r="I108" s="247">
        <v>27953</v>
      </c>
      <c r="J108" s="247">
        <v>39762</v>
      </c>
      <c r="K108" s="247">
        <v>67715</v>
      </c>
    </row>
    <row r="109" spans="1:11" ht="17.45" customHeight="1">
      <c r="A109" s="846"/>
      <c r="B109" s="246" t="s">
        <v>391</v>
      </c>
      <c r="C109" s="247">
        <v>271</v>
      </c>
      <c r="D109" s="247">
        <v>236</v>
      </c>
      <c r="E109" s="247">
        <v>507</v>
      </c>
      <c r="F109" s="247"/>
      <c r="G109" s="247"/>
      <c r="H109" s="247"/>
      <c r="I109" s="247">
        <v>5362</v>
      </c>
      <c r="J109" s="247">
        <v>10538</v>
      </c>
      <c r="K109" s="247">
        <v>15900</v>
      </c>
    </row>
    <row r="110" spans="1:11" ht="17.45" customHeight="1">
      <c r="A110" s="846"/>
      <c r="B110" s="246" t="s">
        <v>76</v>
      </c>
      <c r="C110" s="247">
        <v>153</v>
      </c>
      <c r="D110" s="247">
        <v>512</v>
      </c>
      <c r="E110" s="247">
        <v>665</v>
      </c>
      <c r="F110" s="247">
        <v>6</v>
      </c>
      <c r="G110" s="247">
        <v>46</v>
      </c>
      <c r="H110" s="247">
        <v>52</v>
      </c>
      <c r="I110" s="247">
        <v>2700</v>
      </c>
      <c r="J110" s="247">
        <v>12269</v>
      </c>
      <c r="K110" s="247">
        <v>14969</v>
      </c>
    </row>
    <row r="111" spans="1:11" ht="17.45" customHeight="1">
      <c r="A111" s="846"/>
      <c r="B111" s="246" t="s">
        <v>402</v>
      </c>
      <c r="C111" s="247">
        <v>689</v>
      </c>
      <c r="D111" s="247">
        <v>842</v>
      </c>
      <c r="E111" s="247">
        <v>1531</v>
      </c>
      <c r="F111" s="247">
        <v>16</v>
      </c>
      <c r="G111" s="247">
        <v>78</v>
      </c>
      <c r="H111" s="247">
        <v>94</v>
      </c>
      <c r="I111" s="247">
        <v>7989</v>
      </c>
      <c r="J111" s="247">
        <v>4687</v>
      </c>
      <c r="K111" s="247">
        <v>12676</v>
      </c>
    </row>
    <row r="112" spans="1:11" ht="17.45" customHeight="1">
      <c r="A112" s="846"/>
      <c r="B112" s="246" t="s">
        <v>390</v>
      </c>
      <c r="C112" s="247">
        <v>76</v>
      </c>
      <c r="D112" s="247">
        <v>77</v>
      </c>
      <c r="E112" s="247">
        <v>153</v>
      </c>
      <c r="F112" s="247">
        <v>359</v>
      </c>
      <c r="G112" s="247">
        <v>244</v>
      </c>
      <c r="H112" s="247">
        <v>603</v>
      </c>
      <c r="I112" s="247">
        <v>6774</v>
      </c>
      <c r="J112" s="247">
        <v>4337</v>
      </c>
      <c r="K112" s="247">
        <v>11111</v>
      </c>
    </row>
    <row r="113" spans="1:11" ht="17.45" customHeight="1">
      <c r="A113" s="846"/>
      <c r="B113" s="258" t="s">
        <v>393</v>
      </c>
      <c r="C113" s="259">
        <v>178</v>
      </c>
      <c r="D113" s="259">
        <v>183</v>
      </c>
      <c r="E113" s="259">
        <v>361</v>
      </c>
      <c r="F113" s="259">
        <v>0</v>
      </c>
      <c r="G113" s="259">
        <v>1</v>
      </c>
      <c r="H113" s="259">
        <v>1</v>
      </c>
      <c r="I113" s="259">
        <v>3051</v>
      </c>
      <c r="J113" s="259">
        <v>5816</v>
      </c>
      <c r="K113" s="259">
        <v>8867</v>
      </c>
    </row>
    <row r="114" spans="1:11" ht="17.45" customHeight="1">
      <c r="A114" s="846"/>
      <c r="B114" s="258" t="s">
        <v>401</v>
      </c>
      <c r="C114" s="247">
        <v>6</v>
      </c>
      <c r="D114" s="247">
        <v>1</v>
      </c>
      <c r="E114" s="247">
        <v>7</v>
      </c>
      <c r="F114" s="247"/>
      <c r="G114" s="247"/>
      <c r="H114" s="247"/>
      <c r="I114" s="247">
        <v>5474</v>
      </c>
      <c r="J114" s="247">
        <v>2400</v>
      </c>
      <c r="K114" s="247">
        <v>7874</v>
      </c>
    </row>
    <row r="115" spans="1:11" ht="17.45" customHeight="1">
      <c r="A115" s="846"/>
      <c r="B115" s="265" t="s">
        <v>394</v>
      </c>
      <c r="C115" s="247">
        <v>136</v>
      </c>
      <c r="D115" s="247">
        <v>145</v>
      </c>
      <c r="E115" s="247">
        <v>281</v>
      </c>
      <c r="F115" s="247"/>
      <c r="G115" s="247"/>
      <c r="H115" s="247"/>
      <c r="I115" s="247">
        <v>2056</v>
      </c>
      <c r="J115" s="247">
        <v>4379</v>
      </c>
      <c r="K115" s="247">
        <v>6435</v>
      </c>
    </row>
    <row r="116" spans="1:11" ht="17.45" customHeight="1">
      <c r="A116" s="846"/>
      <c r="B116" s="258" t="s">
        <v>480</v>
      </c>
      <c r="C116" s="247">
        <v>43</v>
      </c>
      <c r="D116" s="247">
        <v>24</v>
      </c>
      <c r="E116" s="247">
        <v>67</v>
      </c>
      <c r="F116" s="247"/>
      <c r="G116" s="247"/>
      <c r="H116" s="247"/>
      <c r="I116" s="247">
        <v>2584</v>
      </c>
      <c r="J116" s="247">
        <v>2916</v>
      </c>
      <c r="K116" s="247">
        <v>5500</v>
      </c>
    </row>
    <row r="117" spans="1:11" ht="17.45" customHeight="1">
      <c r="A117" s="846"/>
      <c r="B117" s="260" t="s">
        <v>482</v>
      </c>
      <c r="C117" s="247">
        <v>4</v>
      </c>
      <c r="D117" s="247">
        <v>15</v>
      </c>
      <c r="E117" s="247">
        <v>19</v>
      </c>
      <c r="F117" s="247"/>
      <c r="G117" s="247"/>
      <c r="H117" s="247"/>
      <c r="I117" s="247">
        <v>1511</v>
      </c>
      <c r="J117" s="247">
        <v>3759</v>
      </c>
      <c r="K117" s="247">
        <v>5270</v>
      </c>
    </row>
    <row r="118" spans="1:11" ht="17.45" customHeight="1">
      <c r="A118" s="846"/>
      <c r="B118" s="258" t="s">
        <v>396</v>
      </c>
      <c r="C118" s="247">
        <v>9</v>
      </c>
      <c r="D118" s="247">
        <v>12</v>
      </c>
      <c r="E118" s="247">
        <v>21</v>
      </c>
      <c r="F118" s="247"/>
      <c r="G118" s="247"/>
      <c r="H118" s="247"/>
      <c r="I118" s="247">
        <v>1942</v>
      </c>
      <c r="J118" s="247">
        <v>2125</v>
      </c>
      <c r="K118" s="247">
        <v>4067</v>
      </c>
    </row>
    <row r="119" spans="1:11" ht="17.45" customHeight="1">
      <c r="A119" s="847"/>
      <c r="B119" s="260" t="s">
        <v>481</v>
      </c>
      <c r="C119" s="247">
        <v>59</v>
      </c>
      <c r="D119" s="247">
        <v>38</v>
      </c>
      <c r="E119" s="247">
        <v>97</v>
      </c>
      <c r="F119" s="247"/>
      <c r="G119" s="247"/>
      <c r="H119" s="247"/>
      <c r="I119" s="247">
        <v>2073</v>
      </c>
      <c r="J119" s="247">
        <v>1972</v>
      </c>
      <c r="K119" s="247">
        <v>4045</v>
      </c>
    </row>
    <row r="120" spans="1:11" ht="17.45" customHeight="1">
      <c r="A120" s="842" t="s">
        <v>372</v>
      </c>
      <c r="B120" s="258" t="s">
        <v>483</v>
      </c>
      <c r="C120" s="247">
        <v>32</v>
      </c>
      <c r="D120" s="247">
        <v>0</v>
      </c>
      <c r="E120" s="247">
        <v>32</v>
      </c>
      <c r="F120" s="247"/>
      <c r="G120" s="247"/>
      <c r="H120" s="247"/>
      <c r="I120" s="247">
        <v>3656</v>
      </c>
      <c r="J120" s="247">
        <v>289</v>
      </c>
      <c r="K120" s="247">
        <v>3945</v>
      </c>
    </row>
    <row r="121" spans="1:11" ht="17.45" customHeight="1">
      <c r="A121" s="843"/>
      <c r="B121" s="258" t="s">
        <v>484</v>
      </c>
      <c r="C121" s="247">
        <v>30</v>
      </c>
      <c r="D121" s="247">
        <v>6</v>
      </c>
      <c r="E121" s="247">
        <v>36</v>
      </c>
      <c r="F121" s="247"/>
      <c r="G121" s="247"/>
      <c r="H121" s="247"/>
      <c r="I121" s="247">
        <v>2317</v>
      </c>
      <c r="J121" s="247">
        <v>1183</v>
      </c>
      <c r="K121" s="247">
        <v>3500</v>
      </c>
    </row>
    <row r="122" spans="1:11" ht="17.45" customHeight="1">
      <c r="A122" s="843"/>
      <c r="B122" s="258" t="s">
        <v>486</v>
      </c>
      <c r="C122" s="247">
        <v>35</v>
      </c>
      <c r="D122" s="247">
        <v>43</v>
      </c>
      <c r="E122" s="247">
        <v>78</v>
      </c>
      <c r="F122" s="247"/>
      <c r="G122" s="247"/>
      <c r="H122" s="247"/>
      <c r="I122" s="247">
        <v>1617</v>
      </c>
      <c r="J122" s="247">
        <v>1749</v>
      </c>
      <c r="K122" s="247">
        <v>3366</v>
      </c>
    </row>
    <row r="123" spans="1:11" ht="17.45" customHeight="1">
      <c r="A123" s="843"/>
      <c r="B123" s="246" t="s">
        <v>398</v>
      </c>
      <c r="C123" s="247">
        <v>11</v>
      </c>
      <c r="D123" s="247">
        <v>10</v>
      </c>
      <c r="E123" s="247">
        <v>21</v>
      </c>
      <c r="F123" s="247"/>
      <c r="G123" s="247"/>
      <c r="H123" s="247"/>
      <c r="I123" s="247">
        <v>917</v>
      </c>
      <c r="J123" s="247">
        <v>2242</v>
      </c>
      <c r="K123" s="247">
        <v>3159</v>
      </c>
    </row>
    <row r="124" spans="1:11" ht="17.45" customHeight="1">
      <c r="A124" s="843"/>
      <c r="B124" s="246" t="s">
        <v>490</v>
      </c>
      <c r="C124" s="247">
        <v>83</v>
      </c>
      <c r="D124" s="247">
        <v>81</v>
      </c>
      <c r="E124" s="247">
        <v>164</v>
      </c>
      <c r="F124" s="247"/>
      <c r="G124" s="247"/>
      <c r="H124" s="247"/>
      <c r="I124" s="247">
        <v>1939</v>
      </c>
      <c r="J124" s="247">
        <v>987</v>
      </c>
      <c r="K124" s="247">
        <v>2926</v>
      </c>
    </row>
    <row r="125" spans="1:11" ht="17.45" customHeight="1">
      <c r="A125" s="843"/>
      <c r="B125" s="246" t="s">
        <v>485</v>
      </c>
      <c r="C125" s="247">
        <v>9</v>
      </c>
      <c r="D125" s="247">
        <v>6</v>
      </c>
      <c r="E125" s="247">
        <v>15</v>
      </c>
      <c r="F125" s="247"/>
      <c r="G125" s="247"/>
      <c r="H125" s="247"/>
      <c r="I125" s="247">
        <v>1773</v>
      </c>
      <c r="J125" s="247">
        <v>1097</v>
      </c>
      <c r="K125" s="247">
        <v>2870</v>
      </c>
    </row>
    <row r="126" spans="1:11" ht="17.45" customHeight="1">
      <c r="A126" s="843"/>
      <c r="B126" s="246" t="s">
        <v>392</v>
      </c>
      <c r="C126" s="247">
        <v>52</v>
      </c>
      <c r="D126" s="247">
        <v>32</v>
      </c>
      <c r="E126" s="247">
        <v>84</v>
      </c>
      <c r="F126" s="247"/>
      <c r="G126" s="247"/>
      <c r="H126" s="247"/>
      <c r="I126" s="247">
        <v>934</v>
      </c>
      <c r="J126" s="247">
        <v>1905</v>
      </c>
      <c r="K126" s="247">
        <v>2839</v>
      </c>
    </row>
    <row r="127" spans="1:11" ht="17.45" customHeight="1">
      <c r="A127" s="843"/>
      <c r="B127" s="246" t="s">
        <v>372</v>
      </c>
      <c r="C127" s="247"/>
      <c r="D127" s="247"/>
      <c r="E127" s="247"/>
      <c r="F127" s="247"/>
      <c r="G127" s="247"/>
      <c r="H127" s="247"/>
      <c r="I127" s="247">
        <v>591</v>
      </c>
      <c r="J127" s="247">
        <v>1913</v>
      </c>
      <c r="K127" s="247">
        <v>2504</v>
      </c>
    </row>
    <row r="128" spans="1:11" ht="17.45" customHeight="1">
      <c r="A128" s="843"/>
      <c r="B128" s="246" t="s">
        <v>489</v>
      </c>
      <c r="C128" s="247">
        <v>11</v>
      </c>
      <c r="D128" s="247">
        <v>14</v>
      </c>
      <c r="E128" s="247">
        <v>25</v>
      </c>
      <c r="F128" s="247">
        <v>5</v>
      </c>
      <c r="G128" s="247">
        <v>55</v>
      </c>
      <c r="H128" s="247">
        <v>60</v>
      </c>
      <c r="I128" s="247">
        <v>1352</v>
      </c>
      <c r="J128" s="247">
        <v>950</v>
      </c>
      <c r="K128" s="247">
        <v>2302</v>
      </c>
    </row>
    <row r="129" spans="1:11" ht="17.45" customHeight="1">
      <c r="A129" s="843"/>
      <c r="B129" s="246" t="s">
        <v>491</v>
      </c>
      <c r="C129" s="247">
        <v>35</v>
      </c>
      <c r="D129" s="247">
        <v>36</v>
      </c>
      <c r="E129" s="247">
        <v>71</v>
      </c>
      <c r="F129" s="247">
        <v>2</v>
      </c>
      <c r="G129" s="247">
        <v>26</v>
      </c>
      <c r="H129" s="247">
        <v>28</v>
      </c>
      <c r="I129" s="247">
        <v>1151</v>
      </c>
      <c r="J129" s="247">
        <v>998</v>
      </c>
      <c r="K129" s="247">
        <v>2149</v>
      </c>
    </row>
    <row r="130" spans="1:11" ht="17.45" customHeight="1">
      <c r="A130" s="843"/>
      <c r="B130" s="246" t="s">
        <v>488</v>
      </c>
      <c r="C130" s="247">
        <v>1</v>
      </c>
      <c r="D130" s="247">
        <v>0</v>
      </c>
      <c r="E130" s="247">
        <v>1</v>
      </c>
      <c r="F130" s="247"/>
      <c r="G130" s="247"/>
      <c r="H130" s="247"/>
      <c r="I130" s="247">
        <v>784</v>
      </c>
      <c r="J130" s="247">
        <v>1057</v>
      </c>
      <c r="K130" s="247">
        <v>1841</v>
      </c>
    </row>
    <row r="131" spans="1:11" ht="17.45" customHeight="1">
      <c r="A131" s="843"/>
      <c r="B131" s="246" t="s">
        <v>487</v>
      </c>
      <c r="C131" s="247">
        <v>56</v>
      </c>
      <c r="D131" s="247">
        <v>70</v>
      </c>
      <c r="E131" s="247">
        <v>126</v>
      </c>
      <c r="F131" s="247"/>
      <c r="G131" s="247"/>
      <c r="H131" s="247"/>
      <c r="I131" s="247">
        <v>720</v>
      </c>
      <c r="J131" s="247">
        <v>1084</v>
      </c>
      <c r="K131" s="247">
        <v>1804</v>
      </c>
    </row>
    <row r="132" spans="1:11" ht="17.45" customHeight="1">
      <c r="A132" s="843"/>
      <c r="B132" s="258" t="s">
        <v>492</v>
      </c>
      <c r="C132" s="259">
        <v>44</v>
      </c>
      <c r="D132" s="259">
        <v>49</v>
      </c>
      <c r="E132" s="259">
        <v>93</v>
      </c>
      <c r="F132" s="259"/>
      <c r="G132" s="259"/>
      <c r="H132" s="259"/>
      <c r="I132" s="259">
        <v>1031</v>
      </c>
      <c r="J132" s="259">
        <v>726</v>
      </c>
      <c r="K132" s="259">
        <v>1757</v>
      </c>
    </row>
    <row r="133" spans="1:11" ht="17.45" customHeight="1">
      <c r="A133" s="843"/>
      <c r="B133" s="246" t="s">
        <v>494</v>
      </c>
      <c r="C133" s="247">
        <v>1</v>
      </c>
      <c r="D133" s="247">
        <v>1</v>
      </c>
      <c r="E133" s="247">
        <v>2</v>
      </c>
      <c r="F133" s="247"/>
      <c r="G133" s="247"/>
      <c r="H133" s="247"/>
      <c r="I133" s="247">
        <v>527</v>
      </c>
      <c r="J133" s="247">
        <v>340</v>
      </c>
      <c r="K133" s="247">
        <v>867</v>
      </c>
    </row>
    <row r="134" spans="1:11" ht="30" customHeight="1">
      <c r="A134" s="843"/>
      <c r="B134" s="246" t="s">
        <v>497</v>
      </c>
      <c r="C134" s="247">
        <v>6</v>
      </c>
      <c r="D134" s="247">
        <v>5</v>
      </c>
      <c r="E134" s="247">
        <v>11</v>
      </c>
      <c r="F134" s="247"/>
      <c r="G134" s="247"/>
      <c r="H134" s="247"/>
      <c r="I134" s="247">
        <v>579</v>
      </c>
      <c r="J134" s="247">
        <v>266</v>
      </c>
      <c r="K134" s="247">
        <v>845</v>
      </c>
    </row>
    <row r="135" spans="1:11" ht="17.45" customHeight="1">
      <c r="A135" s="843"/>
      <c r="B135" s="246" t="s">
        <v>496</v>
      </c>
      <c r="C135" s="247">
        <v>11</v>
      </c>
      <c r="D135" s="247">
        <v>52</v>
      </c>
      <c r="E135" s="247">
        <v>63</v>
      </c>
      <c r="F135" s="247"/>
      <c r="G135" s="247"/>
      <c r="H135" s="247"/>
      <c r="I135" s="247">
        <v>79</v>
      </c>
      <c r="J135" s="247">
        <v>306</v>
      </c>
      <c r="K135" s="247">
        <v>385</v>
      </c>
    </row>
    <row r="136" spans="1:11" ht="17.45" customHeight="1">
      <c r="A136" s="843"/>
      <c r="B136" s="246" t="s">
        <v>400</v>
      </c>
      <c r="C136" s="247">
        <v>7</v>
      </c>
      <c r="D136" s="247">
        <v>8</v>
      </c>
      <c r="E136" s="247">
        <v>15</v>
      </c>
      <c r="F136" s="247"/>
      <c r="G136" s="247"/>
      <c r="H136" s="247"/>
      <c r="I136" s="247">
        <v>119</v>
      </c>
      <c r="J136" s="247">
        <v>243</v>
      </c>
      <c r="K136" s="247">
        <v>362</v>
      </c>
    </row>
    <row r="137" spans="1:11" ht="17.45" customHeight="1">
      <c r="A137" s="843"/>
      <c r="B137" s="246" t="s">
        <v>493</v>
      </c>
      <c r="C137" s="247">
        <v>10</v>
      </c>
      <c r="D137" s="247">
        <v>10</v>
      </c>
      <c r="E137" s="247">
        <v>20</v>
      </c>
      <c r="F137" s="247"/>
      <c r="G137" s="247"/>
      <c r="H137" s="247"/>
      <c r="I137" s="247">
        <v>93</v>
      </c>
      <c r="J137" s="247">
        <v>200</v>
      </c>
      <c r="K137" s="247">
        <v>293</v>
      </c>
    </row>
    <row r="138" spans="1:11" ht="17.45" customHeight="1">
      <c r="A138" s="843"/>
      <c r="B138" s="258" t="s">
        <v>397</v>
      </c>
      <c r="C138" s="247">
        <v>4</v>
      </c>
      <c r="D138" s="247">
        <v>3</v>
      </c>
      <c r="E138" s="247">
        <v>7</v>
      </c>
      <c r="F138" s="247"/>
      <c r="G138" s="247"/>
      <c r="H138" s="247"/>
      <c r="I138" s="247">
        <v>143</v>
      </c>
      <c r="J138" s="247">
        <v>131</v>
      </c>
      <c r="K138" s="247">
        <v>274</v>
      </c>
    </row>
    <row r="139" spans="1:11" ht="17.45" customHeight="1">
      <c r="A139" s="843"/>
      <c r="B139" s="258" t="s">
        <v>500</v>
      </c>
      <c r="C139" s="247">
        <v>5</v>
      </c>
      <c r="D139" s="247">
        <v>8</v>
      </c>
      <c r="E139" s="247">
        <v>13</v>
      </c>
      <c r="F139" s="247"/>
      <c r="G139" s="247"/>
      <c r="H139" s="247"/>
      <c r="I139" s="247">
        <v>67</v>
      </c>
      <c r="J139" s="247">
        <v>160</v>
      </c>
      <c r="K139" s="247">
        <v>227</v>
      </c>
    </row>
    <row r="140" spans="1:11" ht="17.45" customHeight="1">
      <c r="A140" s="843"/>
      <c r="B140" s="258" t="s">
        <v>503</v>
      </c>
      <c r="C140" s="247">
        <v>4</v>
      </c>
      <c r="D140" s="247">
        <v>2</v>
      </c>
      <c r="E140" s="247">
        <v>6</v>
      </c>
      <c r="F140" s="247"/>
      <c r="G140" s="247"/>
      <c r="H140" s="247"/>
      <c r="I140" s="247">
        <v>98</v>
      </c>
      <c r="J140" s="247">
        <v>59</v>
      </c>
      <c r="K140" s="247">
        <v>157</v>
      </c>
    </row>
    <row r="141" spans="1:11" ht="17.45" customHeight="1">
      <c r="A141" s="843"/>
      <c r="B141" s="258" t="s">
        <v>498</v>
      </c>
      <c r="C141" s="247">
        <v>179</v>
      </c>
      <c r="D141" s="247">
        <v>25</v>
      </c>
      <c r="E141" s="247">
        <v>204</v>
      </c>
      <c r="F141" s="247"/>
      <c r="G141" s="247"/>
      <c r="H141" s="247"/>
      <c r="I141" s="247">
        <v>132</v>
      </c>
      <c r="J141" s="247">
        <v>19</v>
      </c>
      <c r="K141" s="247">
        <v>151</v>
      </c>
    </row>
    <row r="142" spans="1:11" ht="17.45" customHeight="1">
      <c r="A142" s="843"/>
      <c r="B142" s="246" t="s">
        <v>501</v>
      </c>
      <c r="C142" s="247">
        <v>94</v>
      </c>
      <c r="D142" s="247">
        <v>32</v>
      </c>
      <c r="E142" s="247">
        <v>126</v>
      </c>
      <c r="F142" s="247"/>
      <c r="G142" s="247"/>
      <c r="H142" s="247"/>
      <c r="I142" s="247">
        <v>77</v>
      </c>
      <c r="J142" s="247">
        <v>68</v>
      </c>
      <c r="K142" s="247">
        <v>145</v>
      </c>
    </row>
    <row r="143" spans="1:11" ht="17.45" customHeight="1">
      <c r="A143" s="843"/>
      <c r="B143" s="246" t="s">
        <v>506</v>
      </c>
      <c r="C143" s="247">
        <v>184</v>
      </c>
      <c r="D143" s="247">
        <v>84</v>
      </c>
      <c r="E143" s="247">
        <v>268</v>
      </c>
      <c r="F143" s="247"/>
      <c r="G143" s="247"/>
      <c r="H143" s="247"/>
      <c r="I143" s="247">
        <v>97</v>
      </c>
      <c r="J143" s="247">
        <v>44</v>
      </c>
      <c r="K143" s="247">
        <v>141</v>
      </c>
    </row>
    <row r="144" spans="1:11" ht="17.45" customHeight="1">
      <c r="A144" s="843"/>
      <c r="B144" s="246" t="s">
        <v>499</v>
      </c>
      <c r="C144" s="247">
        <v>5</v>
      </c>
      <c r="D144" s="247">
        <v>13</v>
      </c>
      <c r="E144" s="247">
        <v>18</v>
      </c>
      <c r="F144" s="247"/>
      <c r="G144" s="247"/>
      <c r="H144" s="247"/>
      <c r="I144" s="247">
        <v>68</v>
      </c>
      <c r="J144" s="247">
        <v>44</v>
      </c>
      <c r="K144" s="247">
        <v>112</v>
      </c>
    </row>
    <row r="145" spans="1:11" ht="17.45" customHeight="1">
      <c r="A145" s="843"/>
      <c r="B145" s="246" t="s">
        <v>505</v>
      </c>
      <c r="C145" s="247">
        <v>125</v>
      </c>
      <c r="D145" s="247">
        <v>4</v>
      </c>
      <c r="E145" s="247">
        <v>129</v>
      </c>
      <c r="F145" s="247"/>
      <c r="G145" s="247"/>
      <c r="H145" s="247"/>
      <c r="I145" s="247">
        <v>90</v>
      </c>
      <c r="J145" s="247">
        <v>3</v>
      </c>
      <c r="K145" s="247">
        <v>93</v>
      </c>
    </row>
    <row r="146" spans="1:11" ht="17.45" customHeight="1">
      <c r="A146" s="843"/>
      <c r="B146" s="258" t="s">
        <v>502</v>
      </c>
      <c r="C146" s="259">
        <v>11</v>
      </c>
      <c r="D146" s="259">
        <v>14</v>
      </c>
      <c r="E146" s="259">
        <v>25</v>
      </c>
      <c r="F146" s="259"/>
      <c r="G146" s="259"/>
      <c r="H146" s="259"/>
      <c r="I146" s="259">
        <v>38</v>
      </c>
      <c r="J146" s="259">
        <v>48</v>
      </c>
      <c r="K146" s="259">
        <v>86</v>
      </c>
    </row>
    <row r="147" spans="1:11" ht="17.45" customHeight="1">
      <c r="A147" s="843"/>
      <c r="B147" s="258" t="s">
        <v>399</v>
      </c>
      <c r="C147" s="247"/>
      <c r="D147" s="247"/>
      <c r="E147" s="247"/>
      <c r="F147" s="247"/>
      <c r="G147" s="247"/>
      <c r="H147" s="247"/>
      <c r="I147" s="247">
        <v>52</v>
      </c>
      <c r="J147" s="247">
        <v>33</v>
      </c>
      <c r="K147" s="247">
        <v>85</v>
      </c>
    </row>
    <row r="148" spans="1:11" ht="17.45" customHeight="1">
      <c r="A148" s="843"/>
      <c r="B148" s="258" t="s">
        <v>508</v>
      </c>
      <c r="C148" s="247">
        <v>2</v>
      </c>
      <c r="D148" s="247">
        <v>0</v>
      </c>
      <c r="E148" s="247">
        <v>2</v>
      </c>
      <c r="F148" s="247"/>
      <c r="G148" s="247"/>
      <c r="H148" s="247"/>
      <c r="I148" s="247">
        <v>28</v>
      </c>
      <c r="J148" s="247">
        <v>55</v>
      </c>
      <c r="K148" s="247">
        <v>83</v>
      </c>
    </row>
    <row r="149" spans="1:11" ht="17.45" customHeight="1">
      <c r="A149" s="843"/>
      <c r="B149" s="258" t="s">
        <v>504</v>
      </c>
      <c r="C149" s="247">
        <v>130</v>
      </c>
      <c r="D149" s="247">
        <v>21</v>
      </c>
      <c r="E149" s="247">
        <v>151</v>
      </c>
      <c r="F149" s="247"/>
      <c r="G149" s="247"/>
      <c r="H149" s="247"/>
      <c r="I149" s="247">
        <v>64</v>
      </c>
      <c r="J149" s="247">
        <v>6</v>
      </c>
      <c r="K149" s="247">
        <v>70</v>
      </c>
    </row>
    <row r="150" spans="1:11" ht="17.45" customHeight="1">
      <c r="A150" s="843"/>
      <c r="B150" s="260" t="s">
        <v>507</v>
      </c>
      <c r="C150" s="266">
        <v>53</v>
      </c>
      <c r="D150" s="266">
        <v>28</v>
      </c>
      <c r="E150" s="266">
        <v>81</v>
      </c>
      <c r="F150" s="266"/>
      <c r="G150" s="266"/>
      <c r="H150" s="266"/>
      <c r="I150" s="266">
        <v>54</v>
      </c>
      <c r="J150" s="266">
        <v>15</v>
      </c>
      <c r="K150" s="266">
        <v>69</v>
      </c>
    </row>
    <row r="151" spans="1:11" ht="17.45" customHeight="1">
      <c r="A151" s="843"/>
      <c r="B151" s="221" t="s">
        <v>395</v>
      </c>
      <c r="C151" s="222">
        <v>4</v>
      </c>
      <c r="D151" s="222">
        <v>1</v>
      </c>
      <c r="E151" s="222">
        <v>5</v>
      </c>
      <c r="F151" s="222">
        <v>0</v>
      </c>
      <c r="G151" s="222">
        <v>2</v>
      </c>
      <c r="H151" s="222">
        <v>2</v>
      </c>
      <c r="I151" s="222">
        <v>31</v>
      </c>
      <c r="J151" s="222">
        <v>11</v>
      </c>
      <c r="K151" s="222">
        <v>42</v>
      </c>
    </row>
    <row r="152" spans="1:11" ht="17.45" customHeight="1">
      <c r="A152" s="843"/>
      <c r="B152" s="221" t="s">
        <v>510</v>
      </c>
      <c r="C152" s="267">
        <v>48</v>
      </c>
      <c r="D152" s="267">
        <v>27</v>
      </c>
      <c r="E152" s="267">
        <v>75</v>
      </c>
      <c r="F152" s="267"/>
      <c r="G152" s="267"/>
      <c r="H152" s="267"/>
      <c r="I152" s="267">
        <v>28</v>
      </c>
      <c r="J152" s="267">
        <v>9</v>
      </c>
      <c r="K152" s="267">
        <v>37</v>
      </c>
    </row>
    <row r="153" spans="1:11" ht="17.45" customHeight="1">
      <c r="A153" s="843"/>
      <c r="B153" s="260" t="s">
        <v>495</v>
      </c>
      <c r="C153" s="267">
        <v>3</v>
      </c>
      <c r="D153" s="267">
        <v>3</v>
      </c>
      <c r="E153" s="267">
        <v>6</v>
      </c>
      <c r="F153" s="267"/>
      <c r="G153" s="267"/>
      <c r="H153" s="267"/>
      <c r="I153" s="267">
        <v>27</v>
      </c>
      <c r="J153" s="267">
        <v>2</v>
      </c>
      <c r="K153" s="267">
        <v>29</v>
      </c>
    </row>
    <row r="154" spans="1:11" ht="17.45" customHeight="1">
      <c r="A154" s="843"/>
      <c r="B154" s="260" t="s">
        <v>509</v>
      </c>
      <c r="C154" s="267">
        <v>54</v>
      </c>
      <c r="D154" s="267">
        <v>43</v>
      </c>
      <c r="E154" s="267">
        <v>97</v>
      </c>
      <c r="F154" s="267"/>
      <c r="G154" s="267"/>
      <c r="H154" s="267"/>
      <c r="I154" s="267">
        <v>14</v>
      </c>
      <c r="J154" s="267">
        <v>2</v>
      </c>
      <c r="K154" s="267">
        <v>16</v>
      </c>
    </row>
    <row r="155" spans="1:11" ht="17.45" customHeight="1">
      <c r="A155" s="843"/>
      <c r="B155" s="258" t="s">
        <v>511</v>
      </c>
      <c r="C155" s="267">
        <v>13</v>
      </c>
      <c r="D155" s="267">
        <v>2</v>
      </c>
      <c r="E155" s="267">
        <v>15</v>
      </c>
      <c r="F155" s="267"/>
      <c r="G155" s="267"/>
      <c r="H155" s="267"/>
      <c r="I155" s="267">
        <v>4</v>
      </c>
      <c r="J155" s="267">
        <v>0</v>
      </c>
      <c r="K155" s="267">
        <v>4</v>
      </c>
    </row>
    <row r="156" spans="1:11" s="263" customFormat="1" ht="17.45" customHeight="1">
      <c r="A156" s="249" t="s">
        <v>403</v>
      </c>
      <c r="B156" s="250"/>
      <c r="C156" s="495">
        <v>4846</v>
      </c>
      <c r="D156" s="495">
        <v>4484</v>
      </c>
      <c r="E156" s="495">
        <v>9330</v>
      </c>
      <c r="F156" s="495">
        <v>388</v>
      </c>
      <c r="G156" s="495">
        <v>452</v>
      </c>
      <c r="H156" s="495">
        <v>840</v>
      </c>
      <c r="I156" s="495">
        <v>90760</v>
      </c>
      <c r="J156" s="495">
        <v>113204</v>
      </c>
      <c r="K156" s="495">
        <v>203964</v>
      </c>
    </row>
    <row r="157" spans="1:11" ht="17.45" customHeight="1">
      <c r="A157" s="842" t="s">
        <v>172</v>
      </c>
      <c r="B157" s="260" t="s">
        <v>172</v>
      </c>
      <c r="C157" s="222">
        <v>967</v>
      </c>
      <c r="D157" s="222">
        <v>588</v>
      </c>
      <c r="E157" s="222">
        <v>1555</v>
      </c>
      <c r="F157" s="267">
        <v>142</v>
      </c>
      <c r="G157" s="267">
        <v>130</v>
      </c>
      <c r="H157" s="267">
        <v>272</v>
      </c>
      <c r="I157" s="222">
        <v>14187</v>
      </c>
      <c r="J157" s="222">
        <v>9733</v>
      </c>
      <c r="K157" s="222">
        <v>23920</v>
      </c>
    </row>
    <row r="158" spans="1:11" ht="17.45" customHeight="1">
      <c r="A158" s="843"/>
      <c r="B158" s="224" t="s">
        <v>513</v>
      </c>
      <c r="C158" s="222">
        <v>43</v>
      </c>
      <c r="D158" s="222">
        <v>7</v>
      </c>
      <c r="E158" s="222">
        <v>50</v>
      </c>
      <c r="F158" s="222">
        <v>4</v>
      </c>
      <c r="G158" s="222">
        <v>12</v>
      </c>
      <c r="H158" s="222">
        <v>16</v>
      </c>
      <c r="I158" s="222">
        <v>354</v>
      </c>
      <c r="J158" s="222">
        <v>322</v>
      </c>
      <c r="K158" s="222">
        <v>676</v>
      </c>
    </row>
    <row r="159" spans="1:11" ht="17.45" customHeight="1">
      <c r="A159" s="844"/>
      <c r="B159" s="224" t="s">
        <v>512</v>
      </c>
      <c r="C159" s="222">
        <v>57</v>
      </c>
      <c r="D159" s="222">
        <v>14</v>
      </c>
      <c r="E159" s="222">
        <v>71</v>
      </c>
      <c r="F159" s="222">
        <v>21</v>
      </c>
      <c r="G159" s="222">
        <v>8</v>
      </c>
      <c r="H159" s="222">
        <v>29</v>
      </c>
      <c r="I159" s="222">
        <v>197</v>
      </c>
      <c r="J159" s="222">
        <v>78</v>
      </c>
      <c r="K159" s="222">
        <v>275</v>
      </c>
    </row>
    <row r="160" spans="1:11" ht="17.45" customHeight="1">
      <c r="A160" s="249" t="s">
        <v>514</v>
      </c>
      <c r="B160" s="250"/>
      <c r="C160" s="225">
        <v>1067</v>
      </c>
      <c r="D160" s="225">
        <v>609</v>
      </c>
      <c r="E160" s="225">
        <v>1676</v>
      </c>
      <c r="F160" s="225">
        <v>167</v>
      </c>
      <c r="G160" s="225">
        <v>150</v>
      </c>
      <c r="H160" s="225">
        <v>317</v>
      </c>
      <c r="I160" s="225">
        <v>14738</v>
      </c>
      <c r="J160" s="225">
        <v>10133</v>
      </c>
      <c r="K160" s="225">
        <v>24871</v>
      </c>
    </row>
    <row r="161" spans="1:11" ht="17.45" customHeight="1">
      <c r="A161" s="249" t="s">
        <v>781</v>
      </c>
      <c r="B161" s="250"/>
      <c r="C161" s="222"/>
      <c r="D161" s="222"/>
      <c r="E161" s="222"/>
      <c r="F161" s="222"/>
      <c r="G161" s="222"/>
      <c r="H161" s="222"/>
      <c r="I161" s="222">
        <v>101</v>
      </c>
      <c r="J161" s="222">
        <v>104</v>
      </c>
      <c r="K161" s="222">
        <v>205</v>
      </c>
    </row>
    <row r="162" spans="1:11" ht="17.45" customHeight="1">
      <c r="A162" s="230" t="s">
        <v>409</v>
      </c>
      <c r="B162" s="221" t="s">
        <v>409</v>
      </c>
      <c r="C162" s="222">
        <v>1002</v>
      </c>
      <c r="D162" s="222">
        <v>264</v>
      </c>
      <c r="E162" s="222">
        <v>1266</v>
      </c>
      <c r="F162" s="222">
        <v>268</v>
      </c>
      <c r="G162" s="222">
        <v>94</v>
      </c>
      <c r="H162" s="222">
        <v>362</v>
      </c>
      <c r="I162" s="222">
        <v>6710</v>
      </c>
      <c r="J162" s="222">
        <v>3051</v>
      </c>
      <c r="K162" s="222">
        <v>9761</v>
      </c>
    </row>
    <row r="163" spans="1:11" ht="17.45" customHeight="1">
      <c r="A163" s="230"/>
      <c r="B163" s="221" t="s">
        <v>515</v>
      </c>
      <c r="C163" s="222">
        <v>21</v>
      </c>
      <c r="D163" s="222">
        <v>14</v>
      </c>
      <c r="E163" s="222">
        <v>35</v>
      </c>
      <c r="F163" s="222">
        <v>54</v>
      </c>
      <c r="G163" s="222">
        <v>13</v>
      </c>
      <c r="H163" s="222">
        <v>67</v>
      </c>
      <c r="I163" s="222">
        <v>114</v>
      </c>
      <c r="J163" s="222">
        <v>67</v>
      </c>
      <c r="K163" s="222">
        <v>181</v>
      </c>
    </row>
    <row r="164" spans="1:11" ht="17.45" customHeight="1">
      <c r="A164" s="249" t="s">
        <v>516</v>
      </c>
      <c r="B164" s="250"/>
      <c r="C164" s="225">
        <v>1023</v>
      </c>
      <c r="D164" s="225">
        <v>278</v>
      </c>
      <c r="E164" s="225">
        <v>1301</v>
      </c>
      <c r="F164" s="225">
        <v>322</v>
      </c>
      <c r="G164" s="225">
        <v>107</v>
      </c>
      <c r="H164" s="225">
        <v>429</v>
      </c>
      <c r="I164" s="225">
        <v>6824</v>
      </c>
      <c r="J164" s="225">
        <v>3118</v>
      </c>
      <c r="K164" s="225">
        <v>9942</v>
      </c>
    </row>
    <row r="165" spans="1:11" ht="17.45" customHeight="1">
      <c r="A165" s="249" t="s">
        <v>416</v>
      </c>
      <c r="B165" s="250"/>
      <c r="C165" s="222">
        <v>341</v>
      </c>
      <c r="D165" s="222">
        <v>265</v>
      </c>
      <c r="E165" s="222">
        <v>606</v>
      </c>
      <c r="F165" s="222">
        <v>97</v>
      </c>
      <c r="G165" s="222">
        <v>72</v>
      </c>
      <c r="H165" s="222">
        <v>169</v>
      </c>
      <c r="I165" s="222">
        <v>3075</v>
      </c>
      <c r="J165" s="222">
        <v>2032</v>
      </c>
      <c r="K165" s="222">
        <v>5107</v>
      </c>
    </row>
    <row r="166" spans="1:11" ht="17.45" customHeight="1">
      <c r="A166" s="855" t="s">
        <v>175</v>
      </c>
      <c r="B166" s="221" t="s">
        <v>523</v>
      </c>
      <c r="C166" s="222">
        <v>2924</v>
      </c>
      <c r="D166" s="222">
        <v>2360</v>
      </c>
      <c r="E166" s="222">
        <v>5284</v>
      </c>
      <c r="F166" s="222">
        <v>313</v>
      </c>
      <c r="G166" s="222">
        <v>1183</v>
      </c>
      <c r="H166" s="222">
        <v>1496</v>
      </c>
      <c r="I166" s="222">
        <v>51613</v>
      </c>
      <c r="J166" s="222">
        <v>91503</v>
      </c>
      <c r="K166" s="222">
        <v>143116</v>
      </c>
    </row>
    <row r="167" spans="1:11" ht="17.45" customHeight="1">
      <c r="A167" s="856"/>
      <c r="B167" s="221" t="s">
        <v>524</v>
      </c>
      <c r="C167" s="222">
        <v>5554</v>
      </c>
      <c r="D167" s="222">
        <v>3972</v>
      </c>
      <c r="E167" s="222">
        <v>9526</v>
      </c>
      <c r="F167" s="222">
        <v>274</v>
      </c>
      <c r="G167" s="222">
        <v>495</v>
      </c>
      <c r="H167" s="222">
        <v>769</v>
      </c>
      <c r="I167" s="222">
        <v>58007</v>
      </c>
      <c r="J167" s="222">
        <v>78800</v>
      </c>
      <c r="K167" s="222">
        <v>136807</v>
      </c>
    </row>
    <row r="168" spans="1:11" ht="17.45" customHeight="1">
      <c r="A168" s="856"/>
      <c r="B168" s="221" t="s">
        <v>526</v>
      </c>
      <c r="C168" s="222">
        <v>5309</v>
      </c>
      <c r="D168" s="222">
        <v>4742</v>
      </c>
      <c r="E168" s="222">
        <v>10051</v>
      </c>
      <c r="F168" s="222">
        <v>144</v>
      </c>
      <c r="G168" s="222">
        <v>354</v>
      </c>
      <c r="H168" s="222">
        <v>498</v>
      </c>
      <c r="I168" s="222">
        <v>34038</v>
      </c>
      <c r="J168" s="222">
        <v>49376</v>
      </c>
      <c r="K168" s="222">
        <v>83414</v>
      </c>
    </row>
    <row r="169" spans="1:11" ht="17.45" customHeight="1">
      <c r="A169" s="856"/>
      <c r="B169" s="221" t="s">
        <v>525</v>
      </c>
      <c r="C169" s="222">
        <v>4632</v>
      </c>
      <c r="D169" s="222">
        <v>2807</v>
      </c>
      <c r="E169" s="222">
        <v>7439</v>
      </c>
      <c r="F169" s="222">
        <v>245</v>
      </c>
      <c r="G169" s="222">
        <v>548</v>
      </c>
      <c r="H169" s="222">
        <v>793</v>
      </c>
      <c r="I169" s="222">
        <v>31409</v>
      </c>
      <c r="J169" s="222">
        <v>44973</v>
      </c>
      <c r="K169" s="222">
        <v>76382</v>
      </c>
    </row>
    <row r="170" spans="1:11" ht="17.45" customHeight="1">
      <c r="A170" s="856"/>
      <c r="B170" s="221" t="s">
        <v>527</v>
      </c>
      <c r="C170" s="222">
        <v>1045</v>
      </c>
      <c r="D170" s="222">
        <v>1711</v>
      </c>
      <c r="E170" s="222">
        <v>2756</v>
      </c>
      <c r="F170" s="222">
        <v>107</v>
      </c>
      <c r="G170" s="222">
        <v>222</v>
      </c>
      <c r="H170" s="222">
        <v>329</v>
      </c>
      <c r="I170" s="222">
        <v>16200</v>
      </c>
      <c r="J170" s="222">
        <v>42845</v>
      </c>
      <c r="K170" s="222">
        <v>59045</v>
      </c>
    </row>
    <row r="171" spans="1:11" ht="17.45" customHeight="1">
      <c r="A171" s="856"/>
      <c r="B171" s="221" t="s">
        <v>528</v>
      </c>
      <c r="C171" s="222">
        <v>1133</v>
      </c>
      <c r="D171" s="222">
        <v>1755</v>
      </c>
      <c r="E171" s="222">
        <v>2888</v>
      </c>
      <c r="F171" s="222">
        <v>124</v>
      </c>
      <c r="G171" s="222">
        <v>229</v>
      </c>
      <c r="H171" s="222">
        <v>353</v>
      </c>
      <c r="I171" s="222">
        <v>12084</v>
      </c>
      <c r="J171" s="222">
        <v>36848</v>
      </c>
      <c r="K171" s="222">
        <v>48932</v>
      </c>
    </row>
    <row r="172" spans="1:11" ht="17.45" customHeight="1">
      <c r="A172" s="856"/>
      <c r="B172" s="221" t="s">
        <v>487</v>
      </c>
      <c r="C172" s="222">
        <v>339</v>
      </c>
      <c r="D172" s="222">
        <v>673</v>
      </c>
      <c r="E172" s="222">
        <v>1012</v>
      </c>
      <c r="F172" s="222">
        <v>14</v>
      </c>
      <c r="G172" s="222">
        <v>74</v>
      </c>
      <c r="H172" s="222">
        <v>88</v>
      </c>
      <c r="I172" s="222">
        <v>5932</v>
      </c>
      <c r="J172" s="222">
        <v>16327</v>
      </c>
      <c r="K172" s="222">
        <v>22259</v>
      </c>
    </row>
    <row r="173" spans="1:11" ht="17.45" customHeight="1">
      <c r="A173" s="856"/>
      <c r="B173" s="221" t="s">
        <v>496</v>
      </c>
      <c r="C173" s="222">
        <v>1143</v>
      </c>
      <c r="D173" s="222">
        <v>1833</v>
      </c>
      <c r="E173" s="222">
        <v>2976</v>
      </c>
      <c r="F173" s="222">
        <v>70</v>
      </c>
      <c r="G173" s="222">
        <v>172</v>
      </c>
      <c r="H173" s="222">
        <v>242</v>
      </c>
      <c r="I173" s="222">
        <v>6301</v>
      </c>
      <c r="J173" s="222">
        <v>15761</v>
      </c>
      <c r="K173" s="222">
        <v>22062</v>
      </c>
    </row>
    <row r="174" spans="1:11" ht="17.45" customHeight="1">
      <c r="A174" s="856"/>
      <c r="B174" s="221" t="s">
        <v>530</v>
      </c>
      <c r="C174" s="222">
        <v>328</v>
      </c>
      <c r="D174" s="222">
        <v>309</v>
      </c>
      <c r="E174" s="222">
        <v>637</v>
      </c>
      <c r="F174" s="222">
        <v>30</v>
      </c>
      <c r="G174" s="222">
        <v>63</v>
      </c>
      <c r="H174" s="222">
        <v>93</v>
      </c>
      <c r="I174" s="222">
        <v>5235</v>
      </c>
      <c r="J174" s="222">
        <v>8076</v>
      </c>
      <c r="K174" s="222">
        <v>13311</v>
      </c>
    </row>
    <row r="175" spans="1:11" ht="17.45" customHeight="1">
      <c r="A175" s="856"/>
      <c r="B175" s="221" t="s">
        <v>529</v>
      </c>
      <c r="C175" s="222">
        <v>984</v>
      </c>
      <c r="D175" s="222">
        <v>1268</v>
      </c>
      <c r="E175" s="222">
        <v>2252</v>
      </c>
      <c r="F175" s="222">
        <v>99</v>
      </c>
      <c r="G175" s="222">
        <v>177</v>
      </c>
      <c r="H175" s="222">
        <v>276</v>
      </c>
      <c r="I175" s="222">
        <v>3159</v>
      </c>
      <c r="J175" s="222">
        <v>7576</v>
      </c>
      <c r="K175" s="222">
        <v>10735</v>
      </c>
    </row>
    <row r="176" spans="1:11" ht="17.45" customHeight="1">
      <c r="A176" s="856"/>
      <c r="B176" s="224" t="s">
        <v>490</v>
      </c>
      <c r="C176" s="222">
        <v>493</v>
      </c>
      <c r="D176" s="222">
        <v>711</v>
      </c>
      <c r="E176" s="222">
        <v>1204</v>
      </c>
      <c r="F176" s="222">
        <v>13</v>
      </c>
      <c r="G176" s="222">
        <v>71</v>
      </c>
      <c r="H176" s="222">
        <v>84</v>
      </c>
      <c r="I176" s="222">
        <v>2779</v>
      </c>
      <c r="J176" s="222">
        <v>6865</v>
      </c>
      <c r="K176" s="222">
        <v>9644</v>
      </c>
    </row>
    <row r="177" spans="1:11" ht="17.45" customHeight="1">
      <c r="A177" s="856"/>
      <c r="B177" s="221" t="s">
        <v>531</v>
      </c>
      <c r="C177" s="222">
        <v>638</v>
      </c>
      <c r="D177" s="222">
        <v>673</v>
      </c>
      <c r="E177" s="222">
        <v>1311</v>
      </c>
      <c r="F177" s="222">
        <v>62</v>
      </c>
      <c r="G177" s="222">
        <v>97</v>
      </c>
      <c r="H177" s="222">
        <v>159</v>
      </c>
      <c r="I177" s="222">
        <v>3584</v>
      </c>
      <c r="J177" s="222">
        <v>5133</v>
      </c>
      <c r="K177" s="222">
        <v>8717</v>
      </c>
    </row>
    <row r="178" spans="1:11" ht="17.45" customHeight="1">
      <c r="A178" s="856"/>
      <c r="B178" s="221" t="s">
        <v>532</v>
      </c>
      <c r="C178" s="222">
        <v>602</v>
      </c>
      <c r="D178" s="222">
        <v>318</v>
      </c>
      <c r="E178" s="222">
        <v>920</v>
      </c>
      <c r="F178" s="222">
        <v>31</v>
      </c>
      <c r="G178" s="222">
        <v>16</v>
      </c>
      <c r="H178" s="222">
        <v>47</v>
      </c>
      <c r="I178" s="222">
        <v>4599</v>
      </c>
      <c r="J178" s="222">
        <v>3698</v>
      </c>
      <c r="K178" s="222">
        <v>8297</v>
      </c>
    </row>
    <row r="179" spans="1:11" ht="17.45" customHeight="1">
      <c r="A179" s="856"/>
      <c r="B179" s="221" t="s">
        <v>533</v>
      </c>
      <c r="C179" s="222">
        <v>777</v>
      </c>
      <c r="D179" s="222">
        <v>1242</v>
      </c>
      <c r="E179" s="222">
        <v>2019</v>
      </c>
      <c r="F179" s="222">
        <v>4</v>
      </c>
      <c r="G179" s="222">
        <v>23</v>
      </c>
      <c r="H179" s="222">
        <v>27</v>
      </c>
      <c r="I179" s="222">
        <v>1705</v>
      </c>
      <c r="J179" s="222">
        <v>4227</v>
      </c>
      <c r="K179" s="222">
        <v>5932</v>
      </c>
    </row>
    <row r="180" spans="1:11" ht="17.45" customHeight="1">
      <c r="A180" s="856"/>
      <c r="B180" s="221" t="s">
        <v>534</v>
      </c>
      <c r="C180" s="222">
        <v>205</v>
      </c>
      <c r="D180" s="222">
        <v>177</v>
      </c>
      <c r="E180" s="222">
        <v>382</v>
      </c>
      <c r="F180" s="222">
        <v>6</v>
      </c>
      <c r="G180" s="222">
        <v>9</v>
      </c>
      <c r="H180" s="222">
        <v>15</v>
      </c>
      <c r="I180" s="222">
        <v>2057</v>
      </c>
      <c r="J180" s="222">
        <v>1805</v>
      </c>
      <c r="K180" s="222">
        <v>3862</v>
      </c>
    </row>
    <row r="181" spans="1:11" ht="17.45" customHeight="1">
      <c r="A181" s="856"/>
      <c r="B181" s="221" t="s">
        <v>536</v>
      </c>
      <c r="C181" s="222">
        <v>53</v>
      </c>
      <c r="D181" s="222">
        <v>66</v>
      </c>
      <c r="E181" s="222">
        <v>119</v>
      </c>
      <c r="F181" s="222">
        <v>0</v>
      </c>
      <c r="G181" s="222">
        <v>5</v>
      </c>
      <c r="H181" s="222">
        <v>5</v>
      </c>
      <c r="I181" s="222">
        <v>532</v>
      </c>
      <c r="J181" s="222">
        <v>944</v>
      </c>
      <c r="K181" s="222">
        <v>1476</v>
      </c>
    </row>
    <row r="182" spans="1:11" ht="17.45" customHeight="1">
      <c r="A182" s="856"/>
      <c r="B182" s="221" t="s">
        <v>535</v>
      </c>
      <c r="C182" s="222">
        <v>69</v>
      </c>
      <c r="D182" s="222">
        <v>16</v>
      </c>
      <c r="E182" s="222">
        <v>85</v>
      </c>
      <c r="F182" s="222">
        <v>0</v>
      </c>
      <c r="G182" s="222">
        <v>0</v>
      </c>
      <c r="H182" s="222">
        <v>0</v>
      </c>
      <c r="I182" s="222">
        <v>675</v>
      </c>
      <c r="J182" s="222">
        <v>510</v>
      </c>
      <c r="K182" s="222">
        <v>1185</v>
      </c>
    </row>
    <row r="183" spans="1:11" ht="17.45" customHeight="1">
      <c r="A183" s="857"/>
      <c r="B183" s="221" t="s">
        <v>175</v>
      </c>
      <c r="C183" s="222">
        <v>40</v>
      </c>
      <c r="D183" s="222">
        <v>35</v>
      </c>
      <c r="E183" s="222">
        <v>75</v>
      </c>
      <c r="F183" s="222"/>
      <c r="G183" s="222"/>
      <c r="H183" s="222"/>
      <c r="I183" s="222"/>
      <c r="J183" s="222"/>
      <c r="K183" s="222"/>
    </row>
    <row r="184" spans="1:11" ht="17.45" customHeight="1">
      <c r="A184" s="249" t="s">
        <v>537</v>
      </c>
      <c r="B184" s="250"/>
      <c r="C184" s="225">
        <v>26268</v>
      </c>
      <c r="D184" s="225">
        <v>24668</v>
      </c>
      <c r="E184" s="225">
        <v>50936</v>
      </c>
      <c r="F184" s="225">
        <v>1536</v>
      </c>
      <c r="G184" s="225">
        <v>3738</v>
      </c>
      <c r="H184" s="225">
        <v>5274</v>
      </c>
      <c r="I184" s="225">
        <v>239909</v>
      </c>
      <c r="J184" s="225">
        <v>415267</v>
      </c>
      <c r="K184" s="225">
        <v>655176</v>
      </c>
    </row>
    <row r="185" spans="1:11" ht="17.45" customHeight="1">
      <c r="A185" s="853" t="s">
        <v>374</v>
      </c>
      <c r="B185" s="221" t="s">
        <v>540</v>
      </c>
      <c r="C185" s="222">
        <v>1340</v>
      </c>
      <c r="D185" s="222">
        <v>1038</v>
      </c>
      <c r="E185" s="222">
        <v>2378</v>
      </c>
      <c r="F185" s="222">
        <v>386</v>
      </c>
      <c r="G185" s="222">
        <v>270</v>
      </c>
      <c r="H185" s="222">
        <v>656</v>
      </c>
      <c r="I185" s="222">
        <v>79775</v>
      </c>
      <c r="J185" s="222">
        <v>97299</v>
      </c>
      <c r="K185" s="222">
        <v>177074</v>
      </c>
    </row>
    <row r="186" spans="1:11" ht="17.45" customHeight="1">
      <c r="A186" s="854"/>
      <c r="B186" s="221" t="s">
        <v>539</v>
      </c>
      <c r="C186" s="222">
        <v>1764</v>
      </c>
      <c r="D186" s="222">
        <v>1348</v>
      </c>
      <c r="E186" s="222">
        <v>3112</v>
      </c>
      <c r="F186" s="222">
        <v>449</v>
      </c>
      <c r="G186" s="222">
        <v>648</v>
      </c>
      <c r="H186" s="222">
        <v>1097</v>
      </c>
      <c r="I186" s="222">
        <v>64138</v>
      </c>
      <c r="J186" s="222">
        <v>75396</v>
      </c>
      <c r="K186" s="222">
        <v>139534</v>
      </c>
    </row>
    <row r="187" spans="1:11" ht="17.45" customHeight="1">
      <c r="A187" s="854"/>
      <c r="B187" s="221" t="s">
        <v>538</v>
      </c>
      <c r="C187" s="222">
        <v>886</v>
      </c>
      <c r="D187" s="222">
        <v>1015</v>
      </c>
      <c r="E187" s="222">
        <v>1901</v>
      </c>
      <c r="F187" s="222">
        <v>168</v>
      </c>
      <c r="G187" s="222">
        <v>242</v>
      </c>
      <c r="H187" s="222">
        <v>410</v>
      </c>
      <c r="I187" s="222">
        <v>46750</v>
      </c>
      <c r="J187" s="222">
        <v>90140</v>
      </c>
      <c r="K187" s="222">
        <v>136890</v>
      </c>
    </row>
    <row r="188" spans="1:11" ht="17.45" customHeight="1">
      <c r="A188" s="854"/>
      <c r="B188" s="221" t="s">
        <v>542</v>
      </c>
      <c r="C188" s="222">
        <v>1675</v>
      </c>
      <c r="D188" s="222">
        <v>1541</v>
      </c>
      <c r="E188" s="222">
        <v>3216</v>
      </c>
      <c r="F188" s="222">
        <v>361</v>
      </c>
      <c r="G188" s="222">
        <v>536</v>
      </c>
      <c r="H188" s="222">
        <v>897</v>
      </c>
      <c r="I188" s="222">
        <v>41436</v>
      </c>
      <c r="J188" s="222">
        <v>58941</v>
      </c>
      <c r="K188" s="222">
        <v>100377</v>
      </c>
    </row>
    <row r="189" spans="1:11" ht="17.45" customHeight="1">
      <c r="A189" s="854"/>
      <c r="B189" s="221" t="s">
        <v>541</v>
      </c>
      <c r="C189" s="222">
        <v>2047</v>
      </c>
      <c r="D189" s="222">
        <v>2673</v>
      </c>
      <c r="E189" s="222">
        <v>4720</v>
      </c>
      <c r="F189" s="222">
        <v>371</v>
      </c>
      <c r="G189" s="222">
        <v>506</v>
      </c>
      <c r="H189" s="222">
        <v>877</v>
      </c>
      <c r="I189" s="222">
        <v>33682</v>
      </c>
      <c r="J189" s="222">
        <v>53027</v>
      </c>
      <c r="K189" s="222">
        <v>86709</v>
      </c>
    </row>
    <row r="190" spans="1:11" ht="17.45" customHeight="1">
      <c r="A190" s="854"/>
      <c r="B190" s="224" t="s">
        <v>543</v>
      </c>
      <c r="C190" s="222">
        <v>896</v>
      </c>
      <c r="D190" s="222">
        <v>529</v>
      </c>
      <c r="E190" s="222">
        <v>1425</v>
      </c>
      <c r="F190" s="222">
        <v>100</v>
      </c>
      <c r="G190" s="222">
        <v>101</v>
      </c>
      <c r="H190" s="222">
        <v>201</v>
      </c>
      <c r="I190" s="222">
        <v>26241</v>
      </c>
      <c r="J190" s="222">
        <v>33267</v>
      </c>
      <c r="K190" s="222">
        <v>59508</v>
      </c>
    </row>
    <row r="191" spans="1:11" ht="17.45" customHeight="1">
      <c r="A191" s="854"/>
      <c r="B191" s="224" t="s">
        <v>544</v>
      </c>
      <c r="C191" s="222">
        <v>431</v>
      </c>
      <c r="D191" s="222">
        <v>928</v>
      </c>
      <c r="E191" s="222">
        <v>1359</v>
      </c>
      <c r="F191" s="222">
        <v>81</v>
      </c>
      <c r="G191" s="222">
        <v>317</v>
      </c>
      <c r="H191" s="222">
        <v>398</v>
      </c>
      <c r="I191" s="222">
        <v>13881</v>
      </c>
      <c r="J191" s="222">
        <v>32437</v>
      </c>
      <c r="K191" s="222">
        <v>46318</v>
      </c>
    </row>
    <row r="192" spans="1:11" ht="17.45" customHeight="1">
      <c r="A192" s="854"/>
      <c r="B192" s="221" t="s">
        <v>545</v>
      </c>
      <c r="C192" s="222">
        <v>196</v>
      </c>
      <c r="D192" s="222">
        <v>107</v>
      </c>
      <c r="E192" s="222">
        <v>303</v>
      </c>
      <c r="F192" s="222">
        <v>51</v>
      </c>
      <c r="G192" s="222">
        <v>44</v>
      </c>
      <c r="H192" s="222">
        <v>95</v>
      </c>
      <c r="I192" s="222">
        <v>15064</v>
      </c>
      <c r="J192" s="222">
        <v>9055</v>
      </c>
      <c r="K192" s="222">
        <v>24119</v>
      </c>
    </row>
    <row r="193" spans="1:11" ht="17.45" customHeight="1">
      <c r="A193" s="854"/>
      <c r="B193" s="221" t="s">
        <v>546</v>
      </c>
      <c r="C193" s="222">
        <v>592</v>
      </c>
      <c r="D193" s="222">
        <v>513</v>
      </c>
      <c r="E193" s="222">
        <v>1105</v>
      </c>
      <c r="F193" s="222">
        <v>135</v>
      </c>
      <c r="G193" s="222">
        <v>101</v>
      </c>
      <c r="H193" s="222">
        <v>236</v>
      </c>
      <c r="I193" s="222">
        <v>5389</v>
      </c>
      <c r="J193" s="222">
        <v>6278</v>
      </c>
      <c r="K193" s="222">
        <v>11667</v>
      </c>
    </row>
    <row r="194" spans="1:11" ht="17.45" customHeight="1">
      <c r="A194" s="854"/>
      <c r="B194" s="224" t="s">
        <v>547</v>
      </c>
      <c r="C194" s="222">
        <v>86</v>
      </c>
      <c r="D194" s="222">
        <v>100</v>
      </c>
      <c r="E194" s="222">
        <v>186</v>
      </c>
      <c r="F194" s="222">
        <v>28</v>
      </c>
      <c r="G194" s="222">
        <v>41</v>
      </c>
      <c r="H194" s="222">
        <v>69</v>
      </c>
      <c r="I194" s="222">
        <v>1792</v>
      </c>
      <c r="J194" s="222">
        <v>2493</v>
      </c>
      <c r="K194" s="222">
        <v>4285</v>
      </c>
    </row>
    <row r="195" spans="1:11" ht="17.45" customHeight="1">
      <c r="A195" s="854"/>
      <c r="B195" s="224" t="s">
        <v>523</v>
      </c>
      <c r="C195" s="222">
        <v>17</v>
      </c>
      <c r="D195" s="222">
        <v>39</v>
      </c>
      <c r="E195" s="222">
        <v>56</v>
      </c>
      <c r="F195" s="222"/>
      <c r="G195" s="222"/>
      <c r="H195" s="222"/>
      <c r="I195" s="222">
        <v>1023</v>
      </c>
      <c r="J195" s="222">
        <v>1056</v>
      </c>
      <c r="K195" s="222">
        <v>2079</v>
      </c>
    </row>
    <row r="196" spans="1:11" ht="17.45" customHeight="1">
      <c r="A196" s="854"/>
      <c r="B196" s="224" t="s">
        <v>548</v>
      </c>
      <c r="C196" s="224">
        <v>124</v>
      </c>
      <c r="D196" s="224">
        <v>80</v>
      </c>
      <c r="E196" s="224">
        <v>204</v>
      </c>
      <c r="F196" s="224">
        <v>42</v>
      </c>
      <c r="G196" s="224">
        <v>26</v>
      </c>
      <c r="H196" s="224">
        <v>68</v>
      </c>
      <c r="I196" s="224">
        <v>326</v>
      </c>
      <c r="J196" s="224">
        <v>179</v>
      </c>
      <c r="K196" s="224">
        <v>505</v>
      </c>
    </row>
    <row r="197" spans="1:11" ht="17.45" customHeight="1">
      <c r="A197" s="854"/>
      <c r="B197" s="268" t="s">
        <v>530</v>
      </c>
      <c r="C197" s="224">
        <v>0</v>
      </c>
      <c r="D197" s="224">
        <v>0</v>
      </c>
      <c r="E197" s="224">
        <v>0</v>
      </c>
      <c r="F197" s="224"/>
      <c r="G197" s="224"/>
      <c r="H197" s="224"/>
      <c r="I197" s="224">
        <v>21</v>
      </c>
      <c r="J197" s="224">
        <v>42</v>
      </c>
      <c r="K197" s="224">
        <v>63</v>
      </c>
    </row>
    <row r="198" spans="1:11" ht="18" customHeight="1">
      <c r="A198" s="249" t="s">
        <v>549</v>
      </c>
      <c r="B198" s="250"/>
      <c r="C198" s="269">
        <v>10054</v>
      </c>
      <c r="D198" s="230">
        <v>9911</v>
      </c>
      <c r="E198" s="230">
        <v>19965</v>
      </c>
      <c r="F198" s="230">
        <v>2172</v>
      </c>
      <c r="G198" s="230">
        <v>2832</v>
      </c>
      <c r="H198" s="230">
        <v>5004</v>
      </c>
      <c r="I198" s="230">
        <v>329518</v>
      </c>
      <c r="J198" s="230">
        <v>459610</v>
      </c>
      <c r="K198" s="230">
        <v>789128</v>
      </c>
    </row>
    <row r="199" spans="1:11" ht="18" customHeight="1">
      <c r="A199" s="249" t="s">
        <v>411</v>
      </c>
      <c r="B199" s="250"/>
      <c r="C199" s="243">
        <v>438</v>
      </c>
      <c r="D199" s="224">
        <v>411</v>
      </c>
      <c r="E199" s="224">
        <v>849</v>
      </c>
      <c r="F199" s="224">
        <v>160</v>
      </c>
      <c r="G199" s="224">
        <v>195</v>
      </c>
      <c r="H199" s="224">
        <v>355</v>
      </c>
      <c r="I199" s="224">
        <v>24600</v>
      </c>
      <c r="J199" s="224">
        <v>29115</v>
      </c>
      <c r="K199" s="224">
        <v>53715</v>
      </c>
    </row>
    <row r="200" spans="1:11" ht="28.9" customHeight="1">
      <c r="A200" s="851" t="s">
        <v>415</v>
      </c>
      <c r="B200" s="270" t="s">
        <v>415</v>
      </c>
      <c r="C200" s="224">
        <v>808</v>
      </c>
      <c r="D200" s="224">
        <v>521</v>
      </c>
      <c r="E200" s="224">
        <v>1329</v>
      </c>
      <c r="F200" s="224"/>
      <c r="G200" s="224"/>
      <c r="H200" s="224"/>
      <c r="I200" s="224">
        <v>2395</v>
      </c>
      <c r="J200" s="224">
        <v>1658</v>
      </c>
      <c r="K200" s="224">
        <v>4053</v>
      </c>
    </row>
    <row r="201" spans="1:11" ht="18" customHeight="1">
      <c r="A201" s="852"/>
      <c r="B201" s="221" t="s">
        <v>550</v>
      </c>
      <c r="C201" s="224">
        <v>2</v>
      </c>
      <c r="D201" s="224">
        <v>4</v>
      </c>
      <c r="E201" s="224">
        <v>6</v>
      </c>
      <c r="F201" s="224"/>
      <c r="G201" s="224"/>
      <c r="H201" s="224"/>
      <c r="I201" s="224">
        <v>79</v>
      </c>
      <c r="J201" s="224">
        <v>15</v>
      </c>
      <c r="K201" s="224">
        <v>94</v>
      </c>
    </row>
    <row r="202" spans="1:11" ht="18" customHeight="1">
      <c r="A202" s="249" t="s">
        <v>551</v>
      </c>
      <c r="B202" s="250"/>
      <c r="C202" s="230">
        <v>810</v>
      </c>
      <c r="D202" s="230">
        <v>525</v>
      </c>
      <c r="E202" s="230">
        <v>1335</v>
      </c>
      <c r="F202" s="230"/>
      <c r="G202" s="230"/>
      <c r="H202" s="230"/>
      <c r="I202" s="230">
        <v>2474</v>
      </c>
      <c r="J202" s="230">
        <v>1673</v>
      </c>
      <c r="K202" s="230">
        <v>4147</v>
      </c>
    </row>
    <row r="203" spans="1:11" ht="18" customHeight="1">
      <c r="A203" s="249" t="s">
        <v>417</v>
      </c>
      <c r="B203" s="250"/>
      <c r="C203" s="243">
        <v>43</v>
      </c>
      <c r="D203" s="224">
        <v>112</v>
      </c>
      <c r="E203" s="224">
        <v>155</v>
      </c>
      <c r="F203" s="224">
        <v>8</v>
      </c>
      <c r="G203" s="224">
        <v>41</v>
      </c>
      <c r="H203" s="224">
        <v>49</v>
      </c>
      <c r="I203" s="224">
        <v>765</v>
      </c>
      <c r="J203" s="224">
        <v>9993</v>
      </c>
      <c r="K203" s="224">
        <v>10758</v>
      </c>
    </row>
    <row r="204" spans="1:11" ht="22.9" customHeight="1">
      <c r="A204" s="249" t="s">
        <v>60</v>
      </c>
      <c r="B204" s="250"/>
      <c r="C204" s="269">
        <v>111444</v>
      </c>
      <c r="D204" s="230">
        <v>91106</v>
      </c>
      <c r="E204" s="230">
        <v>202550</v>
      </c>
      <c r="F204" s="230">
        <v>9043</v>
      </c>
      <c r="G204" s="230">
        <v>14891</v>
      </c>
      <c r="H204" s="230">
        <v>23934</v>
      </c>
      <c r="I204" s="230">
        <v>1830916</v>
      </c>
      <c r="J204" s="230">
        <v>2413441</v>
      </c>
      <c r="K204" s="230">
        <v>4244357</v>
      </c>
    </row>
  </sheetData>
  <mergeCells count="23">
    <mergeCell ref="A200:A201"/>
    <mergeCell ref="A78:A82"/>
    <mergeCell ref="A85:A89"/>
    <mergeCell ref="A93:A105"/>
    <mergeCell ref="A185:A197"/>
    <mergeCell ref="A166:A183"/>
    <mergeCell ref="A157:A159"/>
    <mergeCell ref="A108:A119"/>
    <mergeCell ref="A120:A155"/>
    <mergeCell ref="A54:A58"/>
    <mergeCell ref="A61:A63"/>
    <mergeCell ref="A66:A76"/>
    <mergeCell ref="A5:A8"/>
    <mergeCell ref="A1:K1"/>
    <mergeCell ref="A2:B3"/>
    <mergeCell ref="C2:E2"/>
    <mergeCell ref="F2:H2"/>
    <mergeCell ref="I2:K2"/>
    <mergeCell ref="A11:A12"/>
    <mergeCell ref="A17:A18"/>
    <mergeCell ref="A22:A40"/>
    <mergeCell ref="A43:A46"/>
    <mergeCell ref="A49:A52"/>
  </mergeCells>
  <pageMargins left="0.6" right="0.4" top="0.4" bottom="0.4" header="0.31496062992126" footer="0.196850393700787"/>
  <pageSetup paperSize="9" scale="66" firstPageNumber="46" orientation="portrait" useFirstPageNumber="1" r:id="rId1"/>
  <headerFooter>
    <oddFooter>&amp;LAISHE 2019-20&amp;CT-13</oddFooter>
  </headerFooter>
  <rowBreaks count="3" manualBreakCount="3">
    <brk id="65" max="10" man="1"/>
    <brk id="119" max="10" man="1"/>
    <brk id="184" max="10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00B050"/>
  </sheetPr>
  <dimension ref="A1:W44"/>
  <sheetViews>
    <sheetView view="pageBreakPreview" zoomScale="85" zoomScaleSheetLayoutView="85" workbookViewId="0">
      <pane xSplit="2" ySplit="4" topLeftCell="M25" activePane="bottomRight" state="frozen"/>
      <selection activeCell="B4" sqref="B4"/>
      <selection pane="topRight" activeCell="B4" sqref="B4"/>
      <selection pane="bottomLeft" activeCell="B4" sqref="B4"/>
      <selection pane="bottomRight" activeCell="G46" sqref="G46"/>
    </sheetView>
  </sheetViews>
  <sheetFormatPr defaultColWidth="9.140625" defaultRowHeight="14.25"/>
  <cols>
    <col min="1" max="1" width="5.140625" style="283" customWidth="1"/>
    <col min="2" max="2" width="22.5703125" style="283" customWidth="1"/>
    <col min="3" max="5" width="10.85546875" style="283" customWidth="1"/>
    <col min="6" max="13" width="9.85546875" style="283" customWidth="1"/>
    <col min="14" max="14" width="10.5703125" style="283" customWidth="1"/>
    <col min="15" max="23" width="10.42578125" style="283" customWidth="1"/>
    <col min="24" max="16384" width="9.140625" style="283"/>
  </cols>
  <sheetData>
    <row r="1" spans="1:23" s="203" customFormat="1" ht="27" customHeight="1">
      <c r="B1" s="204" t="s">
        <v>135</v>
      </c>
      <c r="C1" s="862" t="s">
        <v>893</v>
      </c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3" t="s">
        <v>894</v>
      </c>
      <c r="P1" s="863"/>
      <c r="Q1" s="863"/>
      <c r="R1" s="863"/>
      <c r="S1" s="863"/>
      <c r="T1" s="863"/>
      <c r="U1" s="863"/>
      <c r="V1" s="863"/>
      <c r="W1" s="863"/>
    </row>
    <row r="2" spans="1:23" s="275" customFormat="1" ht="30" customHeight="1">
      <c r="A2" s="864" t="s">
        <v>165</v>
      </c>
      <c r="B2" s="866" t="s">
        <v>713</v>
      </c>
      <c r="C2" s="867" t="s">
        <v>133</v>
      </c>
      <c r="D2" s="868"/>
      <c r="E2" s="869"/>
      <c r="F2" s="867" t="s">
        <v>811</v>
      </c>
      <c r="G2" s="868"/>
      <c r="H2" s="869"/>
      <c r="I2" s="867" t="s">
        <v>812</v>
      </c>
      <c r="J2" s="868"/>
      <c r="K2" s="869"/>
      <c r="L2" s="867" t="s">
        <v>813</v>
      </c>
      <c r="M2" s="868"/>
      <c r="N2" s="869"/>
      <c r="O2" s="858" t="s">
        <v>107</v>
      </c>
      <c r="P2" s="859"/>
      <c r="Q2" s="860"/>
      <c r="R2" s="858" t="s">
        <v>108</v>
      </c>
      <c r="S2" s="859"/>
      <c r="T2" s="860"/>
      <c r="U2" s="858" t="s">
        <v>109</v>
      </c>
      <c r="V2" s="859"/>
      <c r="W2" s="860"/>
    </row>
    <row r="3" spans="1:23" s="276" customFormat="1" ht="24.75" customHeight="1">
      <c r="A3" s="865"/>
      <c r="B3" s="866"/>
      <c r="C3" s="473" t="s">
        <v>87</v>
      </c>
      <c r="D3" s="473" t="s">
        <v>88</v>
      </c>
      <c r="E3" s="473" t="s">
        <v>12</v>
      </c>
      <c r="F3" s="473" t="s">
        <v>87</v>
      </c>
      <c r="G3" s="473" t="s">
        <v>88</v>
      </c>
      <c r="H3" s="473" t="s">
        <v>12</v>
      </c>
      <c r="I3" s="473" t="s">
        <v>87</v>
      </c>
      <c r="J3" s="473" t="s">
        <v>88</v>
      </c>
      <c r="K3" s="473" t="s">
        <v>12</v>
      </c>
      <c r="L3" s="473" t="s">
        <v>87</v>
      </c>
      <c r="M3" s="473" t="s">
        <v>88</v>
      </c>
      <c r="N3" s="473" t="s">
        <v>12</v>
      </c>
      <c r="O3" s="473" t="s">
        <v>87</v>
      </c>
      <c r="P3" s="473" t="s">
        <v>88</v>
      </c>
      <c r="Q3" s="473" t="s">
        <v>12</v>
      </c>
      <c r="R3" s="473" t="s">
        <v>87</v>
      </c>
      <c r="S3" s="473" t="s">
        <v>88</v>
      </c>
      <c r="T3" s="473" t="s">
        <v>12</v>
      </c>
      <c r="U3" s="473" t="s">
        <v>87</v>
      </c>
      <c r="V3" s="473" t="s">
        <v>88</v>
      </c>
      <c r="W3" s="473" t="s">
        <v>12</v>
      </c>
    </row>
    <row r="4" spans="1:23" s="276" customFormat="1" ht="13.5" customHeight="1">
      <c r="A4" s="277">
        <v>1</v>
      </c>
      <c r="B4" s="277">
        <v>2</v>
      </c>
      <c r="C4" s="277">
        <v>3</v>
      </c>
      <c r="D4" s="277">
        <v>4</v>
      </c>
      <c r="E4" s="277">
        <v>5</v>
      </c>
      <c r="F4" s="277">
        <v>6</v>
      </c>
      <c r="G4" s="277">
        <v>7</v>
      </c>
      <c r="H4" s="277">
        <v>8</v>
      </c>
      <c r="I4" s="277">
        <v>9</v>
      </c>
      <c r="J4" s="277">
        <v>10</v>
      </c>
      <c r="K4" s="277">
        <v>11</v>
      </c>
      <c r="L4" s="277">
        <v>12</v>
      </c>
      <c r="M4" s="277">
        <v>13</v>
      </c>
      <c r="N4" s="277">
        <v>14</v>
      </c>
      <c r="O4" s="277">
        <v>3</v>
      </c>
      <c r="P4" s="277">
        <v>4</v>
      </c>
      <c r="Q4" s="277">
        <v>5</v>
      </c>
      <c r="R4" s="277">
        <v>6</v>
      </c>
      <c r="S4" s="277">
        <v>7</v>
      </c>
      <c r="T4" s="277">
        <v>8</v>
      </c>
      <c r="U4" s="277">
        <v>9</v>
      </c>
      <c r="V4" s="277">
        <v>10</v>
      </c>
      <c r="W4" s="277">
        <v>11</v>
      </c>
    </row>
    <row r="5" spans="1:23" s="276" customFormat="1" ht="34.9" customHeight="1">
      <c r="A5" s="278">
        <v>1</v>
      </c>
      <c r="B5" s="279" t="s">
        <v>154</v>
      </c>
      <c r="C5" s="280">
        <v>4532</v>
      </c>
      <c r="D5" s="280">
        <v>5599</v>
      </c>
      <c r="E5" s="280">
        <v>10131</v>
      </c>
      <c r="F5" s="280">
        <v>42</v>
      </c>
      <c r="G5" s="280">
        <v>11</v>
      </c>
      <c r="H5" s="280">
        <v>53</v>
      </c>
      <c r="I5" s="280">
        <v>151</v>
      </c>
      <c r="J5" s="280">
        <v>286</v>
      </c>
      <c r="K5" s="280">
        <v>437</v>
      </c>
      <c r="L5" s="280">
        <v>1122</v>
      </c>
      <c r="M5" s="280">
        <v>1539</v>
      </c>
      <c r="N5" s="280">
        <v>2661</v>
      </c>
      <c r="O5" s="280">
        <v>18</v>
      </c>
      <c r="P5" s="280">
        <v>44</v>
      </c>
      <c r="Q5" s="280">
        <v>62</v>
      </c>
      <c r="R5" s="280">
        <v>166</v>
      </c>
      <c r="S5" s="280">
        <v>304</v>
      </c>
      <c r="T5" s="280">
        <v>470</v>
      </c>
      <c r="U5" s="280">
        <v>293</v>
      </c>
      <c r="V5" s="280">
        <v>645</v>
      </c>
      <c r="W5" s="280">
        <v>938</v>
      </c>
    </row>
    <row r="6" spans="1:23" s="276" customFormat="1" ht="27" customHeight="1">
      <c r="A6" s="278">
        <v>2</v>
      </c>
      <c r="B6" s="281" t="s">
        <v>15</v>
      </c>
      <c r="C6" s="280">
        <v>1021126</v>
      </c>
      <c r="D6" s="280">
        <v>876023</v>
      </c>
      <c r="E6" s="280">
        <v>1897149</v>
      </c>
      <c r="F6" s="280">
        <v>167358</v>
      </c>
      <c r="G6" s="280">
        <v>149215</v>
      </c>
      <c r="H6" s="280">
        <v>316573</v>
      </c>
      <c r="I6" s="280">
        <v>47292</v>
      </c>
      <c r="J6" s="280">
        <v>40939</v>
      </c>
      <c r="K6" s="280">
        <v>88231</v>
      </c>
      <c r="L6" s="280">
        <v>464389</v>
      </c>
      <c r="M6" s="280">
        <v>373065</v>
      </c>
      <c r="N6" s="280">
        <v>837454</v>
      </c>
      <c r="O6" s="280">
        <v>1683</v>
      </c>
      <c r="P6" s="280">
        <v>982</v>
      </c>
      <c r="Q6" s="280">
        <v>2665</v>
      </c>
      <c r="R6" s="280">
        <v>34050</v>
      </c>
      <c r="S6" s="280">
        <v>27245</v>
      </c>
      <c r="T6" s="280">
        <v>61295</v>
      </c>
      <c r="U6" s="280">
        <v>3884</v>
      </c>
      <c r="V6" s="280">
        <v>3745</v>
      </c>
      <c r="W6" s="280">
        <v>7629</v>
      </c>
    </row>
    <row r="7" spans="1:23" s="276" customFormat="1" ht="27" customHeight="1">
      <c r="A7" s="278">
        <v>3</v>
      </c>
      <c r="B7" s="281" t="s">
        <v>16</v>
      </c>
      <c r="C7" s="280">
        <v>28801</v>
      </c>
      <c r="D7" s="280">
        <v>27015</v>
      </c>
      <c r="E7" s="280">
        <v>55816</v>
      </c>
      <c r="F7" s="280">
        <v>750</v>
      </c>
      <c r="G7" s="280">
        <v>729</v>
      </c>
      <c r="H7" s="280">
        <v>1479</v>
      </c>
      <c r="I7" s="280">
        <v>19078</v>
      </c>
      <c r="J7" s="280">
        <v>19264</v>
      </c>
      <c r="K7" s="280">
        <v>38342</v>
      </c>
      <c r="L7" s="280">
        <v>1141</v>
      </c>
      <c r="M7" s="280">
        <v>772</v>
      </c>
      <c r="N7" s="280">
        <v>1913</v>
      </c>
      <c r="O7" s="280">
        <v>9</v>
      </c>
      <c r="P7" s="280">
        <v>5</v>
      </c>
      <c r="Q7" s="280">
        <v>14</v>
      </c>
      <c r="R7" s="280">
        <v>91</v>
      </c>
      <c r="S7" s="280">
        <v>59</v>
      </c>
      <c r="T7" s="280">
        <v>150</v>
      </c>
      <c r="U7" s="280">
        <v>2519</v>
      </c>
      <c r="V7" s="280">
        <v>2250</v>
      </c>
      <c r="W7" s="280">
        <v>4769</v>
      </c>
    </row>
    <row r="8" spans="1:23" s="276" customFormat="1" ht="27" customHeight="1">
      <c r="A8" s="278">
        <v>4</v>
      </c>
      <c r="B8" s="281" t="s">
        <v>17</v>
      </c>
      <c r="C8" s="280">
        <v>316908</v>
      </c>
      <c r="D8" s="280">
        <v>333693</v>
      </c>
      <c r="E8" s="280">
        <v>650601</v>
      </c>
      <c r="F8" s="280">
        <v>27642</v>
      </c>
      <c r="G8" s="280">
        <v>26519</v>
      </c>
      <c r="H8" s="280">
        <v>54161</v>
      </c>
      <c r="I8" s="280">
        <v>50251</v>
      </c>
      <c r="J8" s="280">
        <v>55109</v>
      </c>
      <c r="K8" s="280">
        <v>105360</v>
      </c>
      <c r="L8" s="280">
        <v>83549</v>
      </c>
      <c r="M8" s="280">
        <v>93431</v>
      </c>
      <c r="N8" s="280">
        <v>176980</v>
      </c>
      <c r="O8" s="280">
        <v>511</v>
      </c>
      <c r="P8" s="280">
        <v>301</v>
      </c>
      <c r="Q8" s="280">
        <v>812</v>
      </c>
      <c r="R8" s="280">
        <v>47608</v>
      </c>
      <c r="S8" s="280">
        <v>45745</v>
      </c>
      <c r="T8" s="280">
        <v>93353</v>
      </c>
      <c r="U8" s="280">
        <v>6796</v>
      </c>
      <c r="V8" s="280">
        <v>7109</v>
      </c>
      <c r="W8" s="280">
        <v>13905</v>
      </c>
    </row>
    <row r="9" spans="1:23" s="276" customFormat="1" ht="27" customHeight="1">
      <c r="A9" s="278">
        <v>5</v>
      </c>
      <c r="B9" s="281" t="s">
        <v>18</v>
      </c>
      <c r="C9" s="280">
        <v>969902</v>
      </c>
      <c r="D9" s="280">
        <v>768530</v>
      </c>
      <c r="E9" s="280">
        <v>1738432</v>
      </c>
      <c r="F9" s="280">
        <v>123647</v>
      </c>
      <c r="G9" s="280">
        <v>74568</v>
      </c>
      <c r="H9" s="280">
        <v>198215</v>
      </c>
      <c r="I9" s="280">
        <v>17236</v>
      </c>
      <c r="J9" s="280">
        <v>13286</v>
      </c>
      <c r="K9" s="280">
        <v>30522</v>
      </c>
      <c r="L9" s="280">
        <v>458383</v>
      </c>
      <c r="M9" s="280">
        <v>356262</v>
      </c>
      <c r="N9" s="280">
        <v>814645</v>
      </c>
      <c r="O9" s="280">
        <v>1879</v>
      </c>
      <c r="P9" s="280">
        <v>737</v>
      </c>
      <c r="Q9" s="280">
        <v>2616</v>
      </c>
      <c r="R9" s="280">
        <v>83382</v>
      </c>
      <c r="S9" s="280">
        <v>80567</v>
      </c>
      <c r="T9" s="280">
        <v>163949</v>
      </c>
      <c r="U9" s="280">
        <v>1111</v>
      </c>
      <c r="V9" s="280">
        <v>840</v>
      </c>
      <c r="W9" s="280">
        <v>1951</v>
      </c>
    </row>
    <row r="10" spans="1:23" s="276" customFormat="1" ht="27" customHeight="1">
      <c r="A10" s="278">
        <v>6</v>
      </c>
      <c r="B10" s="281" t="s">
        <v>19</v>
      </c>
      <c r="C10" s="280">
        <v>53170</v>
      </c>
      <c r="D10" s="280">
        <v>53497</v>
      </c>
      <c r="E10" s="280">
        <v>106667</v>
      </c>
      <c r="F10" s="280">
        <v>6827</v>
      </c>
      <c r="G10" s="280">
        <v>6037</v>
      </c>
      <c r="H10" s="280">
        <v>12864</v>
      </c>
      <c r="I10" s="280">
        <v>961</v>
      </c>
      <c r="J10" s="280">
        <v>829</v>
      </c>
      <c r="K10" s="280">
        <v>1790</v>
      </c>
      <c r="L10" s="280">
        <v>3837</v>
      </c>
      <c r="M10" s="280">
        <v>2373</v>
      </c>
      <c r="N10" s="280">
        <v>6210</v>
      </c>
      <c r="O10" s="280">
        <v>245</v>
      </c>
      <c r="P10" s="280">
        <v>86</v>
      </c>
      <c r="Q10" s="280">
        <v>331</v>
      </c>
      <c r="R10" s="280">
        <v>414</v>
      </c>
      <c r="S10" s="280">
        <v>273</v>
      </c>
      <c r="T10" s="280">
        <v>687</v>
      </c>
      <c r="U10" s="280">
        <v>2140</v>
      </c>
      <c r="V10" s="280">
        <v>2582</v>
      </c>
      <c r="W10" s="280">
        <v>4722</v>
      </c>
    </row>
    <row r="11" spans="1:23" s="276" customFormat="1" ht="27" customHeight="1">
      <c r="A11" s="278">
        <v>7</v>
      </c>
      <c r="B11" s="281" t="s">
        <v>20</v>
      </c>
      <c r="C11" s="280">
        <v>272813</v>
      </c>
      <c r="D11" s="280">
        <v>313582</v>
      </c>
      <c r="E11" s="280">
        <v>586395</v>
      </c>
      <c r="F11" s="280">
        <v>37575</v>
      </c>
      <c r="G11" s="280">
        <v>40055</v>
      </c>
      <c r="H11" s="280">
        <v>77630</v>
      </c>
      <c r="I11" s="280">
        <v>46084</v>
      </c>
      <c r="J11" s="280">
        <v>62803</v>
      </c>
      <c r="K11" s="280">
        <v>108887</v>
      </c>
      <c r="L11" s="280">
        <v>121781</v>
      </c>
      <c r="M11" s="280">
        <v>136814</v>
      </c>
      <c r="N11" s="280">
        <v>258595</v>
      </c>
      <c r="O11" s="280">
        <v>353</v>
      </c>
      <c r="P11" s="280">
        <v>171</v>
      </c>
      <c r="Q11" s="280">
        <v>524</v>
      </c>
      <c r="R11" s="280">
        <v>2427</v>
      </c>
      <c r="S11" s="280">
        <v>2957</v>
      </c>
      <c r="T11" s="280">
        <v>5384</v>
      </c>
      <c r="U11" s="280">
        <v>2134</v>
      </c>
      <c r="V11" s="280">
        <v>3465</v>
      </c>
      <c r="W11" s="280">
        <v>5599</v>
      </c>
    </row>
    <row r="12" spans="1:23" s="276" customFormat="1" ht="29.45" customHeight="1">
      <c r="A12" s="278">
        <v>8</v>
      </c>
      <c r="B12" s="279" t="s">
        <v>155</v>
      </c>
      <c r="C12" s="280">
        <v>3130</v>
      </c>
      <c r="D12" s="280">
        <v>3263</v>
      </c>
      <c r="E12" s="280">
        <v>6393</v>
      </c>
      <c r="F12" s="280">
        <v>107</v>
      </c>
      <c r="G12" s="280">
        <v>98</v>
      </c>
      <c r="H12" s="280">
        <v>205</v>
      </c>
      <c r="I12" s="280">
        <v>587</v>
      </c>
      <c r="J12" s="280">
        <v>735</v>
      </c>
      <c r="K12" s="280">
        <v>1322</v>
      </c>
      <c r="L12" s="280">
        <v>271</v>
      </c>
      <c r="M12" s="280">
        <v>317</v>
      </c>
      <c r="N12" s="280">
        <v>588</v>
      </c>
      <c r="O12" s="280">
        <v>13</v>
      </c>
      <c r="P12" s="280">
        <v>9</v>
      </c>
      <c r="Q12" s="280">
        <v>22</v>
      </c>
      <c r="R12" s="280">
        <v>38</v>
      </c>
      <c r="S12" s="280">
        <v>39</v>
      </c>
      <c r="T12" s="280">
        <v>77</v>
      </c>
      <c r="U12" s="280">
        <v>7</v>
      </c>
      <c r="V12" s="280">
        <v>275</v>
      </c>
      <c r="W12" s="280">
        <v>282</v>
      </c>
    </row>
    <row r="13" spans="1:23" s="276" customFormat="1" ht="27" customHeight="1">
      <c r="A13" s="278">
        <v>9</v>
      </c>
      <c r="B13" s="281" t="s">
        <v>156</v>
      </c>
      <c r="C13" s="280">
        <v>2190</v>
      </c>
      <c r="D13" s="280">
        <v>1742</v>
      </c>
      <c r="E13" s="280">
        <v>3932</v>
      </c>
      <c r="F13" s="280">
        <v>94</v>
      </c>
      <c r="G13" s="280">
        <v>135</v>
      </c>
      <c r="H13" s="280">
        <v>229</v>
      </c>
      <c r="I13" s="280">
        <v>134</v>
      </c>
      <c r="J13" s="280">
        <v>263</v>
      </c>
      <c r="K13" s="280">
        <v>397</v>
      </c>
      <c r="L13" s="280">
        <v>680</v>
      </c>
      <c r="M13" s="280">
        <v>626</v>
      </c>
      <c r="N13" s="280">
        <v>1306</v>
      </c>
      <c r="O13" s="280">
        <v>2</v>
      </c>
      <c r="P13" s="280">
        <v>1</v>
      </c>
      <c r="Q13" s="280">
        <v>3</v>
      </c>
      <c r="R13" s="280">
        <v>91</v>
      </c>
      <c r="S13" s="280">
        <v>63</v>
      </c>
      <c r="T13" s="280">
        <v>154</v>
      </c>
      <c r="U13" s="280">
        <v>5</v>
      </c>
      <c r="V13" s="280">
        <v>27</v>
      </c>
      <c r="W13" s="280">
        <v>32</v>
      </c>
    </row>
    <row r="14" spans="1:23" s="276" customFormat="1" ht="27" customHeight="1">
      <c r="A14" s="278">
        <v>10</v>
      </c>
      <c r="B14" s="281" t="s">
        <v>23</v>
      </c>
      <c r="C14" s="280">
        <v>578747</v>
      </c>
      <c r="D14" s="280">
        <v>554109</v>
      </c>
      <c r="E14" s="280">
        <v>1132856</v>
      </c>
      <c r="F14" s="280">
        <v>80990</v>
      </c>
      <c r="G14" s="280">
        <v>81296</v>
      </c>
      <c r="H14" s="280">
        <v>162286</v>
      </c>
      <c r="I14" s="280">
        <v>8315</v>
      </c>
      <c r="J14" s="280">
        <v>7314</v>
      </c>
      <c r="K14" s="280">
        <v>15629</v>
      </c>
      <c r="L14" s="280">
        <v>108206</v>
      </c>
      <c r="M14" s="280">
        <v>81721</v>
      </c>
      <c r="N14" s="280">
        <v>189927</v>
      </c>
      <c r="O14" s="280">
        <v>4850</v>
      </c>
      <c r="P14" s="280">
        <v>3412</v>
      </c>
      <c r="Q14" s="280">
        <v>8262</v>
      </c>
      <c r="R14" s="280">
        <v>16168</v>
      </c>
      <c r="S14" s="280">
        <v>10307</v>
      </c>
      <c r="T14" s="280">
        <v>26475</v>
      </c>
      <c r="U14" s="280">
        <v>6191</v>
      </c>
      <c r="V14" s="280">
        <v>7797</v>
      </c>
      <c r="W14" s="280">
        <v>13988</v>
      </c>
    </row>
    <row r="15" spans="1:23" s="276" customFormat="1" ht="27" customHeight="1">
      <c r="A15" s="278">
        <v>11</v>
      </c>
      <c r="B15" s="281" t="s">
        <v>24</v>
      </c>
      <c r="C15" s="280">
        <v>25055</v>
      </c>
      <c r="D15" s="280">
        <v>27727</v>
      </c>
      <c r="E15" s="280">
        <v>52782</v>
      </c>
      <c r="F15" s="280">
        <v>555</v>
      </c>
      <c r="G15" s="280">
        <v>540</v>
      </c>
      <c r="H15" s="280">
        <v>1095</v>
      </c>
      <c r="I15" s="280">
        <v>1850</v>
      </c>
      <c r="J15" s="280">
        <v>2652</v>
      </c>
      <c r="K15" s="280">
        <v>4502</v>
      </c>
      <c r="L15" s="280">
        <v>4089</v>
      </c>
      <c r="M15" s="280">
        <v>5499</v>
      </c>
      <c r="N15" s="280">
        <v>9588</v>
      </c>
      <c r="O15" s="280">
        <v>33</v>
      </c>
      <c r="P15" s="280">
        <v>26</v>
      </c>
      <c r="Q15" s="280">
        <v>59</v>
      </c>
      <c r="R15" s="280">
        <v>1291</v>
      </c>
      <c r="S15" s="280">
        <v>1443</v>
      </c>
      <c r="T15" s="280">
        <v>2734</v>
      </c>
      <c r="U15" s="280">
        <v>3412</v>
      </c>
      <c r="V15" s="280">
        <v>5446</v>
      </c>
      <c r="W15" s="280">
        <v>8858</v>
      </c>
    </row>
    <row r="16" spans="1:23" s="276" customFormat="1" ht="27" customHeight="1">
      <c r="A16" s="278">
        <v>12</v>
      </c>
      <c r="B16" s="281" t="s">
        <v>25</v>
      </c>
      <c r="C16" s="280">
        <v>864967</v>
      </c>
      <c r="D16" s="280">
        <v>679873</v>
      </c>
      <c r="E16" s="280">
        <v>1544840</v>
      </c>
      <c r="F16" s="280">
        <v>78255</v>
      </c>
      <c r="G16" s="280">
        <v>63324</v>
      </c>
      <c r="H16" s="280">
        <v>141579</v>
      </c>
      <c r="I16" s="280">
        <v>79347</v>
      </c>
      <c r="J16" s="280">
        <v>81512</v>
      </c>
      <c r="K16" s="280">
        <v>160859</v>
      </c>
      <c r="L16" s="280">
        <v>283069</v>
      </c>
      <c r="M16" s="280">
        <v>203627</v>
      </c>
      <c r="N16" s="280">
        <v>486696</v>
      </c>
      <c r="O16" s="280">
        <v>1207</v>
      </c>
      <c r="P16" s="280">
        <v>1130</v>
      </c>
      <c r="Q16" s="280">
        <v>2337</v>
      </c>
      <c r="R16" s="280">
        <v>24664</v>
      </c>
      <c r="S16" s="280">
        <v>19350</v>
      </c>
      <c r="T16" s="280">
        <v>44014</v>
      </c>
      <c r="U16" s="280">
        <v>6049</v>
      </c>
      <c r="V16" s="280">
        <v>5647</v>
      </c>
      <c r="W16" s="280">
        <v>11696</v>
      </c>
    </row>
    <row r="17" spans="1:23" s="276" customFormat="1" ht="27" customHeight="1">
      <c r="A17" s="278">
        <v>13</v>
      </c>
      <c r="B17" s="281" t="s">
        <v>26</v>
      </c>
      <c r="C17" s="280">
        <v>460487</v>
      </c>
      <c r="D17" s="280">
        <v>473054</v>
      </c>
      <c r="E17" s="280">
        <v>933541</v>
      </c>
      <c r="F17" s="280">
        <v>64017</v>
      </c>
      <c r="G17" s="280">
        <v>65958</v>
      </c>
      <c r="H17" s="280">
        <v>129975</v>
      </c>
      <c r="I17" s="280">
        <v>1795</v>
      </c>
      <c r="J17" s="280">
        <v>1240</v>
      </c>
      <c r="K17" s="280">
        <v>3035</v>
      </c>
      <c r="L17" s="280">
        <v>103486</v>
      </c>
      <c r="M17" s="280">
        <v>104970</v>
      </c>
      <c r="N17" s="280">
        <v>208456</v>
      </c>
      <c r="O17" s="280">
        <v>499</v>
      </c>
      <c r="P17" s="280">
        <v>215</v>
      </c>
      <c r="Q17" s="280">
        <v>714</v>
      </c>
      <c r="R17" s="280">
        <v>9317</v>
      </c>
      <c r="S17" s="280">
        <v>3560</v>
      </c>
      <c r="T17" s="280">
        <v>12877</v>
      </c>
      <c r="U17" s="280">
        <v>5012</v>
      </c>
      <c r="V17" s="280">
        <v>6921</v>
      </c>
      <c r="W17" s="280">
        <v>11933</v>
      </c>
    </row>
    <row r="18" spans="1:23" s="276" customFormat="1" ht="27" customHeight="1">
      <c r="A18" s="278">
        <v>14</v>
      </c>
      <c r="B18" s="281" t="s">
        <v>27</v>
      </c>
      <c r="C18" s="280">
        <v>132231</v>
      </c>
      <c r="D18" s="280">
        <v>157257</v>
      </c>
      <c r="E18" s="280">
        <v>289488</v>
      </c>
      <c r="F18" s="280">
        <v>24422</v>
      </c>
      <c r="G18" s="280">
        <v>30850</v>
      </c>
      <c r="H18" s="280">
        <v>55272</v>
      </c>
      <c r="I18" s="280">
        <v>7555</v>
      </c>
      <c r="J18" s="280">
        <v>9179</v>
      </c>
      <c r="K18" s="280">
        <v>16734</v>
      </c>
      <c r="L18" s="280">
        <v>16277</v>
      </c>
      <c r="M18" s="280">
        <v>22529</v>
      </c>
      <c r="N18" s="280">
        <v>38806</v>
      </c>
      <c r="O18" s="280">
        <v>246</v>
      </c>
      <c r="P18" s="280">
        <v>123</v>
      </c>
      <c r="Q18" s="280">
        <v>369</v>
      </c>
      <c r="R18" s="280">
        <v>1103</v>
      </c>
      <c r="S18" s="280">
        <v>661</v>
      </c>
      <c r="T18" s="280">
        <v>1764</v>
      </c>
      <c r="U18" s="280">
        <v>1753</v>
      </c>
      <c r="V18" s="280">
        <v>1531</v>
      </c>
      <c r="W18" s="280">
        <v>3284</v>
      </c>
    </row>
    <row r="19" spans="1:23" s="276" customFormat="1" ht="27" customHeight="1">
      <c r="A19" s="278">
        <v>15</v>
      </c>
      <c r="B19" s="279" t="s">
        <v>57</v>
      </c>
      <c r="C19" s="280">
        <v>199249</v>
      </c>
      <c r="D19" s="280">
        <v>196167</v>
      </c>
      <c r="E19" s="280">
        <v>395416</v>
      </c>
      <c r="F19" s="280">
        <v>9302</v>
      </c>
      <c r="G19" s="280">
        <v>11703</v>
      </c>
      <c r="H19" s="280">
        <v>21005</v>
      </c>
      <c r="I19" s="280">
        <v>12261</v>
      </c>
      <c r="J19" s="280">
        <v>10081</v>
      </c>
      <c r="K19" s="280">
        <v>22342</v>
      </c>
      <c r="L19" s="280">
        <v>14636</v>
      </c>
      <c r="M19" s="280">
        <v>11364</v>
      </c>
      <c r="N19" s="280">
        <v>26000</v>
      </c>
      <c r="O19" s="280">
        <v>334</v>
      </c>
      <c r="P19" s="280">
        <v>262</v>
      </c>
      <c r="Q19" s="280">
        <v>596</v>
      </c>
      <c r="R19" s="280">
        <v>89608</v>
      </c>
      <c r="S19" s="280">
        <v>89068</v>
      </c>
      <c r="T19" s="280">
        <v>178676</v>
      </c>
      <c r="U19" s="280">
        <v>2447</v>
      </c>
      <c r="V19" s="280">
        <v>3229</v>
      </c>
      <c r="W19" s="280">
        <v>5676</v>
      </c>
    </row>
    <row r="20" spans="1:23" s="276" customFormat="1" ht="27" customHeight="1">
      <c r="A20" s="278">
        <v>16</v>
      </c>
      <c r="B20" s="281" t="s">
        <v>29</v>
      </c>
      <c r="C20" s="280">
        <v>408859</v>
      </c>
      <c r="D20" s="280">
        <v>408701</v>
      </c>
      <c r="E20" s="280">
        <v>817560</v>
      </c>
      <c r="F20" s="280">
        <v>39061</v>
      </c>
      <c r="G20" s="280">
        <v>33841</v>
      </c>
      <c r="H20" s="280">
        <v>72902</v>
      </c>
      <c r="I20" s="280">
        <v>68787</v>
      </c>
      <c r="J20" s="280">
        <v>84739</v>
      </c>
      <c r="K20" s="280">
        <v>153526</v>
      </c>
      <c r="L20" s="280">
        <v>170328</v>
      </c>
      <c r="M20" s="280">
        <v>161304</v>
      </c>
      <c r="N20" s="280">
        <v>331632</v>
      </c>
      <c r="O20" s="280">
        <v>773</v>
      </c>
      <c r="P20" s="280">
        <v>384</v>
      </c>
      <c r="Q20" s="280">
        <v>1157</v>
      </c>
      <c r="R20" s="280">
        <v>21742</v>
      </c>
      <c r="S20" s="280">
        <v>21834</v>
      </c>
      <c r="T20" s="280">
        <v>43576</v>
      </c>
      <c r="U20" s="280">
        <v>6150</v>
      </c>
      <c r="V20" s="280">
        <v>6989</v>
      </c>
      <c r="W20" s="280">
        <v>13139</v>
      </c>
    </row>
    <row r="21" spans="1:23" s="276" customFormat="1" ht="27" customHeight="1">
      <c r="A21" s="278">
        <v>17</v>
      </c>
      <c r="B21" s="281" t="s">
        <v>30</v>
      </c>
      <c r="C21" s="280">
        <v>1088883</v>
      </c>
      <c r="D21" s="280">
        <v>1099009</v>
      </c>
      <c r="E21" s="280">
        <v>2187892</v>
      </c>
      <c r="F21" s="280">
        <v>147206</v>
      </c>
      <c r="G21" s="280">
        <v>142956</v>
      </c>
      <c r="H21" s="280">
        <v>290162</v>
      </c>
      <c r="I21" s="280">
        <v>53814</v>
      </c>
      <c r="J21" s="280">
        <v>51947</v>
      </c>
      <c r="K21" s="280">
        <v>105761</v>
      </c>
      <c r="L21" s="280">
        <v>536146</v>
      </c>
      <c r="M21" s="280">
        <v>564008</v>
      </c>
      <c r="N21" s="280">
        <v>1100154</v>
      </c>
      <c r="O21" s="280">
        <v>2398</v>
      </c>
      <c r="P21" s="280">
        <v>2204</v>
      </c>
      <c r="Q21" s="280">
        <v>4602</v>
      </c>
      <c r="R21" s="280">
        <v>75198</v>
      </c>
      <c r="S21" s="280">
        <v>69313</v>
      </c>
      <c r="T21" s="280">
        <v>144511</v>
      </c>
      <c r="U21" s="280">
        <v>38600</v>
      </c>
      <c r="V21" s="280">
        <v>49170</v>
      </c>
      <c r="W21" s="280">
        <v>87770</v>
      </c>
    </row>
    <row r="22" spans="1:23" s="276" customFormat="1" ht="27" customHeight="1">
      <c r="A22" s="278">
        <v>18</v>
      </c>
      <c r="B22" s="281" t="s">
        <v>31</v>
      </c>
      <c r="C22" s="280">
        <v>484849</v>
      </c>
      <c r="D22" s="280">
        <v>653004</v>
      </c>
      <c r="E22" s="280">
        <v>1137853</v>
      </c>
      <c r="F22" s="280">
        <v>25434</v>
      </c>
      <c r="G22" s="280">
        <v>46838</v>
      </c>
      <c r="H22" s="280">
        <v>72272</v>
      </c>
      <c r="I22" s="280">
        <v>4360</v>
      </c>
      <c r="J22" s="280">
        <v>6877</v>
      </c>
      <c r="K22" s="280">
        <v>11237</v>
      </c>
      <c r="L22" s="280">
        <v>194158</v>
      </c>
      <c r="M22" s="280">
        <v>295290</v>
      </c>
      <c r="N22" s="280">
        <v>489448</v>
      </c>
      <c r="O22" s="280">
        <v>1975</v>
      </c>
      <c r="P22" s="280">
        <v>1735</v>
      </c>
      <c r="Q22" s="280">
        <v>3710</v>
      </c>
      <c r="R22" s="280">
        <v>68848</v>
      </c>
      <c r="S22" s="280">
        <v>97179</v>
      </c>
      <c r="T22" s="280">
        <v>166027</v>
      </c>
      <c r="U22" s="280">
        <v>51070</v>
      </c>
      <c r="V22" s="280">
        <v>66907</v>
      </c>
      <c r="W22" s="280">
        <v>117977</v>
      </c>
    </row>
    <row r="23" spans="1:23" s="276" customFormat="1" ht="27" customHeight="1">
      <c r="A23" s="278">
        <v>19</v>
      </c>
      <c r="B23" s="281" t="s">
        <v>761</v>
      </c>
      <c r="C23" s="280">
        <v>999</v>
      </c>
      <c r="D23" s="280">
        <v>1898</v>
      </c>
      <c r="E23" s="280">
        <v>2897</v>
      </c>
      <c r="F23" s="280">
        <v>0</v>
      </c>
      <c r="G23" s="280">
        <v>0</v>
      </c>
      <c r="H23" s="280">
        <v>0</v>
      </c>
      <c r="I23" s="280">
        <v>923</v>
      </c>
      <c r="J23" s="280">
        <v>1892</v>
      </c>
      <c r="K23" s="280">
        <v>2815</v>
      </c>
      <c r="L23" s="280">
        <v>14</v>
      </c>
      <c r="M23" s="280">
        <v>0</v>
      </c>
      <c r="N23" s="280">
        <v>14</v>
      </c>
      <c r="O23" s="280">
        <v>0</v>
      </c>
      <c r="P23" s="280">
        <v>0</v>
      </c>
      <c r="Q23" s="280">
        <v>0</v>
      </c>
      <c r="R23" s="280">
        <v>652</v>
      </c>
      <c r="S23" s="280">
        <v>1302</v>
      </c>
      <c r="T23" s="280">
        <v>1954</v>
      </c>
      <c r="U23" s="280">
        <v>307</v>
      </c>
      <c r="V23" s="280">
        <v>583</v>
      </c>
      <c r="W23" s="280">
        <v>890</v>
      </c>
    </row>
    <row r="24" spans="1:23" s="276" customFormat="1" ht="27" customHeight="1">
      <c r="A24" s="278">
        <v>20</v>
      </c>
      <c r="B24" s="281" t="s">
        <v>32</v>
      </c>
      <c r="C24" s="280">
        <v>133</v>
      </c>
      <c r="D24" s="280">
        <v>427</v>
      </c>
      <c r="E24" s="280">
        <v>560</v>
      </c>
      <c r="F24" s="280">
        <v>0</v>
      </c>
      <c r="G24" s="280">
        <v>0</v>
      </c>
      <c r="H24" s="280">
        <v>0</v>
      </c>
      <c r="I24" s="280">
        <v>70</v>
      </c>
      <c r="J24" s="280">
        <v>256</v>
      </c>
      <c r="K24" s="280">
        <v>326</v>
      </c>
      <c r="L24" s="280">
        <v>0</v>
      </c>
      <c r="M24" s="280">
        <v>0</v>
      </c>
      <c r="N24" s="280">
        <v>0</v>
      </c>
      <c r="O24" s="280">
        <v>0</v>
      </c>
      <c r="P24" s="280">
        <v>0</v>
      </c>
      <c r="Q24" s="280">
        <v>0</v>
      </c>
      <c r="R24" s="280">
        <v>70</v>
      </c>
      <c r="S24" s="280">
        <v>256</v>
      </c>
      <c r="T24" s="280">
        <v>326</v>
      </c>
      <c r="U24" s="280">
        <v>0</v>
      </c>
      <c r="V24" s="280">
        <v>0</v>
      </c>
      <c r="W24" s="280">
        <v>0</v>
      </c>
    </row>
    <row r="25" spans="1:23" s="276" customFormat="1" ht="27" customHeight="1">
      <c r="A25" s="278">
        <v>21</v>
      </c>
      <c r="B25" s="281" t="s">
        <v>33</v>
      </c>
      <c r="C25" s="280">
        <v>1144576</v>
      </c>
      <c r="D25" s="280">
        <v>1037578</v>
      </c>
      <c r="E25" s="280">
        <v>2182154</v>
      </c>
      <c r="F25" s="280">
        <v>176528</v>
      </c>
      <c r="G25" s="280">
        <v>154691</v>
      </c>
      <c r="H25" s="280">
        <v>331219</v>
      </c>
      <c r="I25" s="280">
        <v>107910</v>
      </c>
      <c r="J25" s="280">
        <v>107489</v>
      </c>
      <c r="K25" s="280">
        <v>215399</v>
      </c>
      <c r="L25" s="280">
        <v>449846</v>
      </c>
      <c r="M25" s="280">
        <v>425197</v>
      </c>
      <c r="N25" s="280">
        <v>875043</v>
      </c>
      <c r="O25" s="280">
        <v>1403</v>
      </c>
      <c r="P25" s="280">
        <v>1039</v>
      </c>
      <c r="Q25" s="280">
        <v>2442</v>
      </c>
      <c r="R25" s="280">
        <v>24366</v>
      </c>
      <c r="S25" s="280">
        <v>19923</v>
      </c>
      <c r="T25" s="280">
        <v>44289</v>
      </c>
      <c r="U25" s="280">
        <v>12788</v>
      </c>
      <c r="V25" s="280">
        <v>12749</v>
      </c>
      <c r="W25" s="280">
        <v>25537</v>
      </c>
    </row>
    <row r="26" spans="1:23" s="276" customFormat="1" ht="27" customHeight="1">
      <c r="A26" s="278">
        <v>22</v>
      </c>
      <c r="B26" s="281" t="s">
        <v>34</v>
      </c>
      <c r="C26" s="280">
        <v>2313862</v>
      </c>
      <c r="D26" s="280">
        <v>1951610</v>
      </c>
      <c r="E26" s="280">
        <v>4265472</v>
      </c>
      <c r="F26" s="280">
        <v>260361</v>
      </c>
      <c r="G26" s="280">
        <v>243253</v>
      </c>
      <c r="H26" s="280">
        <v>503614</v>
      </c>
      <c r="I26" s="280">
        <v>105835</v>
      </c>
      <c r="J26" s="280">
        <v>82907</v>
      </c>
      <c r="K26" s="280">
        <v>188742</v>
      </c>
      <c r="L26" s="280">
        <v>684718</v>
      </c>
      <c r="M26" s="280">
        <v>581699</v>
      </c>
      <c r="N26" s="280">
        <v>1266417</v>
      </c>
      <c r="O26" s="280">
        <v>4714</v>
      </c>
      <c r="P26" s="280">
        <v>3083</v>
      </c>
      <c r="Q26" s="280">
        <v>7797</v>
      </c>
      <c r="R26" s="280">
        <v>83037</v>
      </c>
      <c r="S26" s="280">
        <v>83191</v>
      </c>
      <c r="T26" s="280">
        <v>166228</v>
      </c>
      <c r="U26" s="280">
        <v>46074</v>
      </c>
      <c r="V26" s="280">
        <v>49948</v>
      </c>
      <c r="W26" s="280">
        <v>96022</v>
      </c>
    </row>
    <row r="27" spans="1:23" s="276" customFormat="1" ht="27" customHeight="1">
      <c r="A27" s="278">
        <v>23</v>
      </c>
      <c r="B27" s="281" t="s">
        <v>35</v>
      </c>
      <c r="C27" s="280">
        <v>60918</v>
      </c>
      <c r="D27" s="280">
        <v>63620</v>
      </c>
      <c r="E27" s="280">
        <v>124538</v>
      </c>
      <c r="F27" s="280">
        <v>3353</v>
      </c>
      <c r="G27" s="280">
        <v>3259</v>
      </c>
      <c r="H27" s="280">
        <v>6612</v>
      </c>
      <c r="I27" s="280">
        <v>17660</v>
      </c>
      <c r="J27" s="280">
        <v>18273</v>
      </c>
      <c r="K27" s="280">
        <v>35933</v>
      </c>
      <c r="L27" s="280">
        <v>17875</v>
      </c>
      <c r="M27" s="280">
        <v>22253</v>
      </c>
      <c r="N27" s="280">
        <v>40128</v>
      </c>
      <c r="O27" s="280">
        <v>88</v>
      </c>
      <c r="P27" s="280">
        <v>80</v>
      </c>
      <c r="Q27" s="280">
        <v>168</v>
      </c>
      <c r="R27" s="280">
        <v>3380</v>
      </c>
      <c r="S27" s="280">
        <v>3099</v>
      </c>
      <c r="T27" s="280">
        <v>6479</v>
      </c>
      <c r="U27" s="280">
        <v>1977</v>
      </c>
      <c r="V27" s="280">
        <v>2409</v>
      </c>
      <c r="W27" s="280">
        <v>4386</v>
      </c>
    </row>
    <row r="28" spans="1:23" s="276" customFormat="1" ht="27" customHeight="1">
      <c r="A28" s="278">
        <v>24</v>
      </c>
      <c r="B28" s="281" t="s">
        <v>36</v>
      </c>
      <c r="C28" s="280">
        <v>39844</v>
      </c>
      <c r="D28" s="280">
        <v>47697</v>
      </c>
      <c r="E28" s="280">
        <v>87541</v>
      </c>
      <c r="F28" s="280">
        <v>1124</v>
      </c>
      <c r="G28" s="280">
        <v>824</v>
      </c>
      <c r="H28" s="280">
        <v>1948</v>
      </c>
      <c r="I28" s="280">
        <v>29208</v>
      </c>
      <c r="J28" s="280">
        <v>39413</v>
      </c>
      <c r="K28" s="280">
        <v>68621</v>
      </c>
      <c r="L28" s="280">
        <v>2503</v>
      </c>
      <c r="M28" s="280">
        <v>1460</v>
      </c>
      <c r="N28" s="280">
        <v>3963</v>
      </c>
      <c r="O28" s="280">
        <v>204</v>
      </c>
      <c r="P28" s="280">
        <v>163</v>
      </c>
      <c r="Q28" s="280">
        <v>367</v>
      </c>
      <c r="R28" s="280">
        <v>1177</v>
      </c>
      <c r="S28" s="280">
        <v>901</v>
      </c>
      <c r="T28" s="280">
        <v>2078</v>
      </c>
      <c r="U28" s="280">
        <v>10928</v>
      </c>
      <c r="V28" s="280">
        <v>13402</v>
      </c>
      <c r="W28" s="280">
        <v>24330</v>
      </c>
    </row>
    <row r="29" spans="1:23" s="276" customFormat="1" ht="27" customHeight="1">
      <c r="A29" s="278">
        <v>25</v>
      </c>
      <c r="B29" s="281" t="s">
        <v>37</v>
      </c>
      <c r="C29" s="280">
        <v>17156</v>
      </c>
      <c r="D29" s="280">
        <v>16080</v>
      </c>
      <c r="E29" s="280">
        <v>33236</v>
      </c>
      <c r="F29" s="280">
        <v>161</v>
      </c>
      <c r="G29" s="280">
        <v>61</v>
      </c>
      <c r="H29" s="280">
        <v>222</v>
      </c>
      <c r="I29" s="280">
        <v>15882</v>
      </c>
      <c r="J29" s="280">
        <v>15689</v>
      </c>
      <c r="K29" s="280">
        <v>31571</v>
      </c>
      <c r="L29" s="280">
        <v>380</v>
      </c>
      <c r="M29" s="280">
        <v>181</v>
      </c>
      <c r="N29" s="280">
        <v>561</v>
      </c>
      <c r="O29" s="280">
        <v>15</v>
      </c>
      <c r="P29" s="280">
        <v>8</v>
      </c>
      <c r="Q29" s="280">
        <v>23</v>
      </c>
      <c r="R29" s="280">
        <v>48</v>
      </c>
      <c r="S29" s="280">
        <v>22</v>
      </c>
      <c r="T29" s="280">
        <v>70</v>
      </c>
      <c r="U29" s="280">
        <v>8560</v>
      </c>
      <c r="V29" s="280">
        <v>8270</v>
      </c>
      <c r="W29" s="280">
        <v>16830</v>
      </c>
    </row>
    <row r="30" spans="1:23" s="276" customFormat="1" ht="27" customHeight="1">
      <c r="A30" s="278">
        <v>26</v>
      </c>
      <c r="B30" s="281" t="s">
        <v>38</v>
      </c>
      <c r="C30" s="280">
        <v>20255</v>
      </c>
      <c r="D30" s="280">
        <v>24306</v>
      </c>
      <c r="E30" s="280">
        <v>44561</v>
      </c>
      <c r="F30" s="280">
        <v>191</v>
      </c>
      <c r="G30" s="280">
        <v>145</v>
      </c>
      <c r="H30" s="280">
        <v>336</v>
      </c>
      <c r="I30" s="280">
        <v>18460</v>
      </c>
      <c r="J30" s="280">
        <v>22495</v>
      </c>
      <c r="K30" s="280">
        <v>40955</v>
      </c>
      <c r="L30" s="280">
        <v>454</v>
      </c>
      <c r="M30" s="280">
        <v>389</v>
      </c>
      <c r="N30" s="280">
        <v>843</v>
      </c>
      <c r="O30" s="280">
        <v>17</v>
      </c>
      <c r="P30" s="280">
        <v>19</v>
      </c>
      <c r="Q30" s="280">
        <v>36</v>
      </c>
      <c r="R30" s="280">
        <v>100</v>
      </c>
      <c r="S30" s="280">
        <v>112</v>
      </c>
      <c r="T30" s="280">
        <v>212</v>
      </c>
      <c r="U30" s="280">
        <v>7118</v>
      </c>
      <c r="V30" s="280">
        <v>8878</v>
      </c>
      <c r="W30" s="280">
        <v>15996</v>
      </c>
    </row>
    <row r="31" spans="1:23" s="276" customFormat="1" ht="27" customHeight="1">
      <c r="A31" s="278">
        <v>27</v>
      </c>
      <c r="B31" s="281" t="s">
        <v>39</v>
      </c>
      <c r="C31" s="280">
        <v>529226</v>
      </c>
      <c r="D31" s="280">
        <v>465703</v>
      </c>
      <c r="E31" s="280">
        <v>994929</v>
      </c>
      <c r="F31" s="280">
        <v>88766</v>
      </c>
      <c r="G31" s="280">
        <v>71362</v>
      </c>
      <c r="H31" s="280">
        <v>160128</v>
      </c>
      <c r="I31" s="280">
        <v>70031</v>
      </c>
      <c r="J31" s="280">
        <v>64832</v>
      </c>
      <c r="K31" s="280">
        <v>134863</v>
      </c>
      <c r="L31" s="280">
        <v>110320</v>
      </c>
      <c r="M31" s="280">
        <v>102419</v>
      </c>
      <c r="N31" s="280">
        <v>212739</v>
      </c>
      <c r="O31" s="280">
        <v>1358</v>
      </c>
      <c r="P31" s="280">
        <v>736</v>
      </c>
      <c r="Q31" s="280">
        <v>2094</v>
      </c>
      <c r="R31" s="280">
        <v>5614</v>
      </c>
      <c r="S31" s="280">
        <v>4232</v>
      </c>
      <c r="T31" s="280">
        <v>9846</v>
      </c>
      <c r="U31" s="280">
        <v>1641</v>
      </c>
      <c r="V31" s="280">
        <v>1918</v>
      </c>
      <c r="W31" s="280">
        <v>3559</v>
      </c>
    </row>
    <row r="32" spans="1:23" s="276" customFormat="1" ht="27" customHeight="1">
      <c r="A32" s="278">
        <v>28</v>
      </c>
      <c r="B32" s="281" t="s">
        <v>40</v>
      </c>
      <c r="C32" s="280">
        <v>38156</v>
      </c>
      <c r="D32" s="280">
        <v>41968</v>
      </c>
      <c r="E32" s="280">
        <v>80124</v>
      </c>
      <c r="F32" s="280">
        <v>4892</v>
      </c>
      <c r="G32" s="280">
        <v>5165</v>
      </c>
      <c r="H32" s="280">
        <v>10057</v>
      </c>
      <c r="I32" s="280">
        <v>547</v>
      </c>
      <c r="J32" s="280">
        <v>476</v>
      </c>
      <c r="K32" s="280">
        <v>1023</v>
      </c>
      <c r="L32" s="280">
        <v>22563</v>
      </c>
      <c r="M32" s="280">
        <v>26083</v>
      </c>
      <c r="N32" s="280">
        <v>48646</v>
      </c>
      <c r="O32" s="280">
        <v>131</v>
      </c>
      <c r="P32" s="280">
        <v>154</v>
      </c>
      <c r="Q32" s="280">
        <v>285</v>
      </c>
      <c r="R32" s="280">
        <v>1637</v>
      </c>
      <c r="S32" s="280">
        <v>1489</v>
      </c>
      <c r="T32" s="280">
        <v>3126</v>
      </c>
      <c r="U32" s="280">
        <v>1013</v>
      </c>
      <c r="V32" s="280">
        <v>2025</v>
      </c>
      <c r="W32" s="280">
        <v>3038</v>
      </c>
    </row>
    <row r="33" spans="1:23" s="276" customFormat="1" ht="27" customHeight="1">
      <c r="A33" s="278">
        <v>29</v>
      </c>
      <c r="B33" s="281" t="s">
        <v>41</v>
      </c>
      <c r="C33" s="280">
        <v>425331</v>
      </c>
      <c r="D33" s="280">
        <v>444132</v>
      </c>
      <c r="E33" s="280">
        <v>869463</v>
      </c>
      <c r="F33" s="280">
        <v>90941</v>
      </c>
      <c r="G33" s="280">
        <v>107929</v>
      </c>
      <c r="H33" s="280">
        <v>198870</v>
      </c>
      <c r="I33" s="280">
        <v>3075</v>
      </c>
      <c r="J33" s="280">
        <v>1942</v>
      </c>
      <c r="K33" s="280">
        <v>5017</v>
      </c>
      <c r="L33" s="280">
        <v>55729</v>
      </c>
      <c r="M33" s="280">
        <v>55521</v>
      </c>
      <c r="N33" s="280">
        <v>111250</v>
      </c>
      <c r="O33" s="280">
        <v>427</v>
      </c>
      <c r="P33" s="280">
        <v>311</v>
      </c>
      <c r="Q33" s="280">
        <v>738</v>
      </c>
      <c r="R33" s="280">
        <v>9558</v>
      </c>
      <c r="S33" s="280">
        <v>4226</v>
      </c>
      <c r="T33" s="280">
        <v>13784</v>
      </c>
      <c r="U33" s="280">
        <v>65018</v>
      </c>
      <c r="V33" s="280">
        <v>77450</v>
      </c>
      <c r="W33" s="280">
        <v>142468</v>
      </c>
    </row>
    <row r="34" spans="1:23" s="276" customFormat="1" ht="27" customHeight="1">
      <c r="A34" s="278">
        <v>30</v>
      </c>
      <c r="B34" s="281" t="s">
        <v>42</v>
      </c>
      <c r="C34" s="280">
        <v>1151186</v>
      </c>
      <c r="D34" s="280">
        <v>1055331</v>
      </c>
      <c r="E34" s="280">
        <v>2206517</v>
      </c>
      <c r="F34" s="280">
        <v>186353</v>
      </c>
      <c r="G34" s="280">
        <v>165088</v>
      </c>
      <c r="H34" s="280">
        <v>351441</v>
      </c>
      <c r="I34" s="280">
        <v>128038</v>
      </c>
      <c r="J34" s="280">
        <v>125991</v>
      </c>
      <c r="K34" s="280">
        <v>254029</v>
      </c>
      <c r="L34" s="280">
        <v>453177</v>
      </c>
      <c r="M34" s="280">
        <v>446822</v>
      </c>
      <c r="N34" s="280">
        <v>899999</v>
      </c>
      <c r="O34" s="280">
        <v>3442</v>
      </c>
      <c r="P34" s="280">
        <v>6519</v>
      </c>
      <c r="Q34" s="280">
        <v>9961</v>
      </c>
      <c r="R34" s="280">
        <v>25128</v>
      </c>
      <c r="S34" s="280">
        <v>19055</v>
      </c>
      <c r="T34" s="280">
        <v>44183</v>
      </c>
      <c r="U34" s="280">
        <v>8366</v>
      </c>
      <c r="V34" s="280">
        <v>10998</v>
      </c>
      <c r="W34" s="280">
        <v>19364</v>
      </c>
    </row>
    <row r="35" spans="1:23" s="276" customFormat="1" ht="27" customHeight="1">
      <c r="A35" s="278">
        <v>31</v>
      </c>
      <c r="B35" s="281" t="s">
        <v>43</v>
      </c>
      <c r="C35" s="280">
        <v>33049</v>
      </c>
      <c r="D35" s="280">
        <v>25022</v>
      </c>
      <c r="E35" s="280">
        <v>58071</v>
      </c>
      <c r="F35" s="280">
        <v>681</v>
      </c>
      <c r="G35" s="280">
        <v>621</v>
      </c>
      <c r="H35" s="280">
        <v>1302</v>
      </c>
      <c r="I35" s="280">
        <v>3586</v>
      </c>
      <c r="J35" s="280">
        <v>5423</v>
      </c>
      <c r="K35" s="280">
        <v>9009</v>
      </c>
      <c r="L35" s="280">
        <v>3274</v>
      </c>
      <c r="M35" s="280">
        <v>4187</v>
      </c>
      <c r="N35" s="280">
        <v>7461</v>
      </c>
      <c r="O35" s="280">
        <v>8</v>
      </c>
      <c r="P35" s="280">
        <v>4</v>
      </c>
      <c r="Q35" s="280">
        <v>12</v>
      </c>
      <c r="R35" s="280">
        <v>96</v>
      </c>
      <c r="S35" s="280">
        <v>50</v>
      </c>
      <c r="T35" s="280">
        <v>146</v>
      </c>
      <c r="U35" s="280">
        <v>223</v>
      </c>
      <c r="V35" s="280">
        <v>502</v>
      </c>
      <c r="W35" s="280">
        <v>725</v>
      </c>
    </row>
    <row r="36" spans="1:23" s="276" customFormat="1" ht="27" customHeight="1">
      <c r="A36" s="278">
        <v>32</v>
      </c>
      <c r="B36" s="281" t="s">
        <v>44</v>
      </c>
      <c r="C36" s="280">
        <v>1778186</v>
      </c>
      <c r="D36" s="280">
        <v>1742125</v>
      </c>
      <c r="E36" s="280">
        <v>3520311</v>
      </c>
      <c r="F36" s="280">
        <v>298278</v>
      </c>
      <c r="G36" s="280">
        <v>315606</v>
      </c>
      <c r="H36" s="280">
        <v>613884</v>
      </c>
      <c r="I36" s="280">
        <v>17240</v>
      </c>
      <c r="J36" s="280">
        <v>15526</v>
      </c>
      <c r="K36" s="280">
        <v>32766</v>
      </c>
      <c r="L36" s="280">
        <v>1074844</v>
      </c>
      <c r="M36" s="280">
        <v>1070143</v>
      </c>
      <c r="N36" s="280">
        <v>2144987</v>
      </c>
      <c r="O36" s="280">
        <v>3464</v>
      </c>
      <c r="P36" s="280">
        <v>7437</v>
      </c>
      <c r="Q36" s="280">
        <v>10901</v>
      </c>
      <c r="R36" s="280">
        <v>72794</v>
      </c>
      <c r="S36" s="280">
        <v>56771</v>
      </c>
      <c r="T36" s="280">
        <v>129565</v>
      </c>
      <c r="U36" s="280">
        <v>76670</v>
      </c>
      <c r="V36" s="280">
        <v>87694</v>
      </c>
      <c r="W36" s="280">
        <v>164364</v>
      </c>
    </row>
    <row r="37" spans="1:23" s="276" customFormat="1" ht="27" customHeight="1">
      <c r="A37" s="278">
        <v>33</v>
      </c>
      <c r="B37" s="281" t="s">
        <v>134</v>
      </c>
      <c r="C37" s="280">
        <v>672768</v>
      </c>
      <c r="D37" s="280">
        <v>716840</v>
      </c>
      <c r="E37" s="280">
        <v>1389608</v>
      </c>
      <c r="F37" s="280">
        <v>93804</v>
      </c>
      <c r="G37" s="280">
        <v>115713</v>
      </c>
      <c r="H37" s="280">
        <v>209517</v>
      </c>
      <c r="I37" s="280">
        <v>55494</v>
      </c>
      <c r="J37" s="280">
        <v>53143</v>
      </c>
      <c r="K37" s="280">
        <v>108637</v>
      </c>
      <c r="L37" s="280">
        <v>301585</v>
      </c>
      <c r="M37" s="280">
        <v>325657</v>
      </c>
      <c r="N37" s="280">
        <v>627242</v>
      </c>
      <c r="O37" s="280">
        <v>1468</v>
      </c>
      <c r="P37" s="280">
        <v>1472</v>
      </c>
      <c r="Q37" s="280">
        <v>2940</v>
      </c>
      <c r="R37" s="280">
        <v>62229</v>
      </c>
      <c r="S37" s="280">
        <v>59689</v>
      </c>
      <c r="T37" s="280">
        <v>121918</v>
      </c>
      <c r="U37" s="280">
        <v>3744</v>
      </c>
      <c r="V37" s="280">
        <v>5161</v>
      </c>
      <c r="W37" s="280">
        <v>8905</v>
      </c>
    </row>
    <row r="38" spans="1:23" s="276" customFormat="1" ht="27" customHeight="1">
      <c r="A38" s="278">
        <v>34</v>
      </c>
      <c r="B38" s="281" t="s">
        <v>45</v>
      </c>
      <c r="C38" s="280">
        <v>47031</v>
      </c>
      <c r="D38" s="280">
        <v>39216</v>
      </c>
      <c r="E38" s="280">
        <v>86247</v>
      </c>
      <c r="F38" s="280">
        <v>8074</v>
      </c>
      <c r="G38" s="280">
        <v>6042</v>
      </c>
      <c r="H38" s="280">
        <v>14116</v>
      </c>
      <c r="I38" s="280">
        <v>10290</v>
      </c>
      <c r="J38" s="280">
        <v>7996</v>
      </c>
      <c r="K38" s="280">
        <v>18286</v>
      </c>
      <c r="L38" s="280">
        <v>8592</v>
      </c>
      <c r="M38" s="280">
        <v>6700</v>
      </c>
      <c r="N38" s="280">
        <v>15292</v>
      </c>
      <c r="O38" s="280">
        <v>290</v>
      </c>
      <c r="P38" s="280">
        <v>74</v>
      </c>
      <c r="Q38" s="280">
        <v>364</v>
      </c>
      <c r="R38" s="280">
        <v>1233</v>
      </c>
      <c r="S38" s="280">
        <v>882</v>
      </c>
      <c r="T38" s="280">
        <v>2115</v>
      </c>
      <c r="U38" s="280">
        <v>300</v>
      </c>
      <c r="V38" s="280">
        <v>188</v>
      </c>
      <c r="W38" s="280">
        <v>488</v>
      </c>
    </row>
    <row r="39" spans="1:23" s="276" customFormat="1" ht="27" customHeight="1">
      <c r="A39" s="278">
        <v>35</v>
      </c>
      <c r="B39" s="281" t="s">
        <v>47</v>
      </c>
      <c r="C39" s="280">
        <v>3136650</v>
      </c>
      <c r="D39" s="280">
        <v>3251564</v>
      </c>
      <c r="E39" s="280">
        <v>6388214</v>
      </c>
      <c r="F39" s="280">
        <v>574191</v>
      </c>
      <c r="G39" s="280">
        <v>604607</v>
      </c>
      <c r="H39" s="280">
        <v>1178798</v>
      </c>
      <c r="I39" s="280">
        <v>24177</v>
      </c>
      <c r="J39" s="280">
        <v>25358</v>
      </c>
      <c r="K39" s="280">
        <v>49535</v>
      </c>
      <c r="L39" s="280">
        <v>1235540</v>
      </c>
      <c r="M39" s="280">
        <v>1353980</v>
      </c>
      <c r="N39" s="280">
        <v>2589520</v>
      </c>
      <c r="O39" s="280">
        <v>9356</v>
      </c>
      <c r="P39" s="280">
        <v>8694</v>
      </c>
      <c r="Q39" s="280">
        <v>18050</v>
      </c>
      <c r="R39" s="280">
        <v>158790</v>
      </c>
      <c r="S39" s="280">
        <v>198886</v>
      </c>
      <c r="T39" s="280">
        <v>357676</v>
      </c>
      <c r="U39" s="280">
        <v>13009</v>
      </c>
      <c r="V39" s="280">
        <v>14124</v>
      </c>
      <c r="W39" s="280">
        <v>27133</v>
      </c>
    </row>
    <row r="40" spans="1:23" s="276" customFormat="1" ht="27" customHeight="1">
      <c r="A40" s="278">
        <v>36</v>
      </c>
      <c r="B40" s="281" t="s">
        <v>46</v>
      </c>
      <c r="C40" s="280">
        <v>248893</v>
      </c>
      <c r="D40" s="280">
        <v>244386</v>
      </c>
      <c r="E40" s="280">
        <v>493279</v>
      </c>
      <c r="F40" s="280">
        <v>34825</v>
      </c>
      <c r="G40" s="280">
        <v>35946</v>
      </c>
      <c r="H40" s="280">
        <v>70771</v>
      </c>
      <c r="I40" s="280">
        <v>8678</v>
      </c>
      <c r="J40" s="280">
        <v>8758</v>
      </c>
      <c r="K40" s="280">
        <v>17436</v>
      </c>
      <c r="L40" s="280">
        <v>45352</v>
      </c>
      <c r="M40" s="280">
        <v>39825</v>
      </c>
      <c r="N40" s="280">
        <v>85177</v>
      </c>
      <c r="O40" s="280">
        <v>2009</v>
      </c>
      <c r="P40" s="280">
        <v>2200</v>
      </c>
      <c r="Q40" s="280">
        <v>4209</v>
      </c>
      <c r="R40" s="280">
        <v>8380</v>
      </c>
      <c r="S40" s="280">
        <v>6979</v>
      </c>
      <c r="T40" s="280">
        <v>15359</v>
      </c>
      <c r="U40" s="280">
        <v>1864</v>
      </c>
      <c r="V40" s="280">
        <v>1927</v>
      </c>
      <c r="W40" s="280">
        <v>3791</v>
      </c>
    </row>
    <row r="41" spans="1:23" s="276" customFormat="1" ht="27" customHeight="1">
      <c r="A41" s="278">
        <v>37</v>
      </c>
      <c r="B41" s="281" t="s">
        <v>48</v>
      </c>
      <c r="C41" s="280">
        <v>1069629</v>
      </c>
      <c r="D41" s="280">
        <v>1091264</v>
      </c>
      <c r="E41" s="280">
        <v>2160893</v>
      </c>
      <c r="F41" s="280">
        <v>198506</v>
      </c>
      <c r="G41" s="280">
        <v>198374</v>
      </c>
      <c r="H41" s="280">
        <v>396880</v>
      </c>
      <c r="I41" s="280">
        <v>35684</v>
      </c>
      <c r="J41" s="280">
        <v>36549</v>
      </c>
      <c r="K41" s="280">
        <v>72233</v>
      </c>
      <c r="L41" s="280">
        <v>169795</v>
      </c>
      <c r="M41" s="280">
        <v>168978</v>
      </c>
      <c r="N41" s="280">
        <v>338773</v>
      </c>
      <c r="O41" s="280">
        <v>2408</v>
      </c>
      <c r="P41" s="280">
        <v>1181</v>
      </c>
      <c r="Q41" s="280">
        <v>3589</v>
      </c>
      <c r="R41" s="280">
        <v>111879</v>
      </c>
      <c r="S41" s="280">
        <v>123454</v>
      </c>
      <c r="T41" s="280">
        <v>235333</v>
      </c>
      <c r="U41" s="280">
        <v>5575</v>
      </c>
      <c r="V41" s="280">
        <v>10201</v>
      </c>
      <c r="W41" s="280">
        <v>15776</v>
      </c>
    </row>
    <row r="42" spans="1:23" s="282" customFormat="1" ht="27.75" customHeight="1">
      <c r="A42" s="861" t="s">
        <v>49</v>
      </c>
      <c r="B42" s="861"/>
      <c r="C42" s="745">
        <f>SUM(C5:C41)</f>
        <v>19643747</v>
      </c>
      <c r="D42" s="745">
        <f t="shared" ref="D42:W42" si="0">SUM(D5:D41)</f>
        <v>18892612</v>
      </c>
      <c r="E42" s="745">
        <f t="shared" si="0"/>
        <v>38536359</v>
      </c>
      <c r="F42" s="284">
        <f t="shared" si="0"/>
        <v>2854313</v>
      </c>
      <c r="G42" s="284">
        <f t="shared" si="0"/>
        <v>2803359</v>
      </c>
      <c r="H42" s="284">
        <f t="shared" si="0"/>
        <v>5657672</v>
      </c>
      <c r="I42" s="284">
        <f t="shared" si="0"/>
        <v>1072646</v>
      </c>
      <c r="J42" s="284">
        <f t="shared" si="0"/>
        <v>1083463</v>
      </c>
      <c r="K42" s="284">
        <f t="shared" si="0"/>
        <v>2156109</v>
      </c>
      <c r="L42" s="284">
        <f t="shared" si="0"/>
        <v>7202109</v>
      </c>
      <c r="M42" s="284">
        <f t="shared" si="0"/>
        <v>7047005</v>
      </c>
      <c r="N42" s="284">
        <f t="shared" si="0"/>
        <v>14249114</v>
      </c>
      <c r="O42" s="284">
        <f t="shared" si="0"/>
        <v>47830</v>
      </c>
      <c r="P42" s="284">
        <f t="shared" si="0"/>
        <v>45001</v>
      </c>
      <c r="Q42" s="284">
        <f t="shared" si="0"/>
        <v>92831</v>
      </c>
      <c r="R42" s="284">
        <f t="shared" si="0"/>
        <v>1046374</v>
      </c>
      <c r="S42" s="284">
        <f t="shared" si="0"/>
        <v>1054486</v>
      </c>
      <c r="T42" s="284">
        <f t="shared" si="0"/>
        <v>2100860</v>
      </c>
      <c r="U42" s="284">
        <f t="shared" si="0"/>
        <v>404748</v>
      </c>
      <c r="V42" s="284">
        <f t="shared" si="0"/>
        <v>483002</v>
      </c>
      <c r="W42" s="284">
        <f t="shared" si="0"/>
        <v>887750</v>
      </c>
    </row>
    <row r="44" spans="1:23">
      <c r="H44" s="740">
        <f>H42/E42*100</f>
        <v>14.681386998704262</v>
      </c>
      <c r="K44" s="740">
        <f>K42/E42*100</f>
        <v>5.5949992577139946</v>
      </c>
    </row>
  </sheetData>
  <mergeCells count="12">
    <mergeCell ref="U2:W2"/>
    <mergeCell ref="A42:B42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4" right="0.4" top="0.4" bottom="0.4" header="0.196850393700787" footer="0.15748031496063"/>
  <pageSetup paperSize="9" scale="55" firstPageNumber="21" orientation="portrait" useFirstPageNumber="1" r:id="rId1"/>
  <headerFooter>
    <oddFooter>&amp;LAISHE 2019-20&amp;CT-14</oddFooter>
  </headerFooter>
  <colBreaks count="1" manualBreakCount="1">
    <brk id="14" max="40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rgb="FF00B050"/>
  </sheetPr>
  <dimension ref="A1:AC173"/>
  <sheetViews>
    <sheetView showGridLines="0" showZeros="0" view="pageBreakPreview" zoomScaleSheetLayoutView="100" workbookViewId="0">
      <pane xSplit="2" ySplit="4" topLeftCell="T147" activePane="bottomRight" state="frozen"/>
      <selection activeCell="B4" sqref="B4"/>
      <selection pane="topRight" activeCell="B4" sqref="B4"/>
      <selection pane="bottomLeft" activeCell="B4" sqref="B4"/>
      <selection pane="bottomRight" activeCell="AC155" sqref="AC155:AC172"/>
    </sheetView>
  </sheetViews>
  <sheetFormatPr defaultColWidth="9.140625" defaultRowHeight="14.25"/>
  <cols>
    <col min="1" max="1" width="6" style="286" customWidth="1"/>
    <col min="2" max="2" width="35.5703125" style="293" customWidth="1"/>
    <col min="3" max="29" width="8.28515625" style="286" customWidth="1"/>
    <col min="30" max="16384" width="9.140625" style="286"/>
  </cols>
  <sheetData>
    <row r="1" spans="1:29" s="285" customFormat="1" ht="33.75" customHeight="1">
      <c r="B1" s="150" t="s">
        <v>552</v>
      </c>
      <c r="C1" s="872" t="s">
        <v>858</v>
      </c>
      <c r="D1" s="872"/>
      <c r="E1" s="872"/>
      <c r="F1" s="872"/>
      <c r="G1" s="872"/>
      <c r="H1" s="872"/>
      <c r="I1" s="872"/>
      <c r="J1" s="872"/>
      <c r="K1" s="872"/>
      <c r="L1" s="872" t="str">
        <f>C1</f>
        <v>Country-wise &amp; Level-wise Foreign Students
(Based on actual Response)</v>
      </c>
      <c r="M1" s="872"/>
      <c r="N1" s="872"/>
      <c r="O1" s="872"/>
      <c r="P1" s="872"/>
      <c r="Q1" s="872"/>
      <c r="R1" s="872"/>
      <c r="S1" s="872"/>
      <c r="T1" s="872"/>
      <c r="U1" s="872" t="str">
        <f>L1</f>
        <v>Country-wise &amp; Level-wise Foreign Students
(Based on actual Response)</v>
      </c>
      <c r="V1" s="872"/>
      <c r="W1" s="872"/>
      <c r="X1" s="872"/>
      <c r="Y1" s="872"/>
      <c r="Z1" s="872"/>
      <c r="AA1" s="872"/>
      <c r="AB1" s="872"/>
      <c r="AC1" s="872"/>
    </row>
    <row r="2" spans="1:29" ht="16.899999999999999" customHeight="1">
      <c r="A2" s="871" t="s">
        <v>165</v>
      </c>
      <c r="B2" s="873" t="s">
        <v>782</v>
      </c>
      <c r="C2" s="874" t="s">
        <v>89</v>
      </c>
      <c r="D2" s="874"/>
      <c r="E2" s="874"/>
      <c r="F2" s="874" t="s">
        <v>90</v>
      </c>
      <c r="G2" s="874"/>
      <c r="H2" s="874"/>
      <c r="I2" s="874" t="s">
        <v>85</v>
      </c>
      <c r="J2" s="874"/>
      <c r="K2" s="874"/>
      <c r="L2" s="874" t="s">
        <v>86</v>
      </c>
      <c r="M2" s="874"/>
      <c r="N2" s="874"/>
      <c r="O2" s="874" t="s">
        <v>91</v>
      </c>
      <c r="P2" s="874"/>
      <c r="Q2" s="874"/>
      <c r="R2" s="874" t="s">
        <v>92</v>
      </c>
      <c r="S2" s="874"/>
      <c r="T2" s="874"/>
      <c r="U2" s="874" t="s">
        <v>93</v>
      </c>
      <c r="V2" s="874"/>
      <c r="W2" s="874"/>
      <c r="X2" s="874" t="s">
        <v>94</v>
      </c>
      <c r="Y2" s="874"/>
      <c r="Z2" s="874"/>
      <c r="AA2" s="874" t="s">
        <v>60</v>
      </c>
      <c r="AB2" s="874"/>
      <c r="AC2" s="874"/>
    </row>
    <row r="3" spans="1:29" ht="16.899999999999999" customHeight="1">
      <c r="A3" s="871"/>
      <c r="B3" s="873"/>
      <c r="C3" s="474" t="s">
        <v>87</v>
      </c>
      <c r="D3" s="474" t="s">
        <v>88</v>
      </c>
      <c r="E3" s="474" t="s">
        <v>12</v>
      </c>
      <c r="F3" s="474" t="s">
        <v>87</v>
      </c>
      <c r="G3" s="474" t="s">
        <v>88</v>
      </c>
      <c r="H3" s="474" t="s">
        <v>12</v>
      </c>
      <c r="I3" s="474" t="s">
        <v>87</v>
      </c>
      <c r="J3" s="474" t="s">
        <v>88</v>
      </c>
      <c r="K3" s="474" t="s">
        <v>12</v>
      </c>
      <c r="L3" s="474" t="s">
        <v>87</v>
      </c>
      <c r="M3" s="474" t="s">
        <v>88</v>
      </c>
      <c r="N3" s="474" t="s">
        <v>12</v>
      </c>
      <c r="O3" s="474" t="s">
        <v>87</v>
      </c>
      <c r="P3" s="474" t="s">
        <v>88</v>
      </c>
      <c r="Q3" s="474" t="s">
        <v>12</v>
      </c>
      <c r="R3" s="474" t="s">
        <v>87</v>
      </c>
      <c r="S3" s="474" t="s">
        <v>88</v>
      </c>
      <c r="T3" s="474" t="s">
        <v>12</v>
      </c>
      <c r="U3" s="474" t="s">
        <v>87</v>
      </c>
      <c r="V3" s="474" t="s">
        <v>88</v>
      </c>
      <c r="W3" s="474" t="s">
        <v>12</v>
      </c>
      <c r="X3" s="474" t="s">
        <v>87</v>
      </c>
      <c r="Y3" s="474" t="s">
        <v>88</v>
      </c>
      <c r="Z3" s="474" t="s">
        <v>12</v>
      </c>
      <c r="AA3" s="474" t="s">
        <v>87</v>
      </c>
      <c r="AB3" s="474" t="s">
        <v>88</v>
      </c>
      <c r="AC3" s="474" t="s">
        <v>12</v>
      </c>
    </row>
    <row r="4" spans="1:29" s="288" customFormat="1" ht="10.9" customHeight="1">
      <c r="A4" s="287">
        <v>1</v>
      </c>
      <c r="B4" s="287">
        <v>2</v>
      </c>
      <c r="C4" s="287">
        <v>3</v>
      </c>
      <c r="D4" s="287">
        <v>4</v>
      </c>
      <c r="E4" s="287">
        <v>5</v>
      </c>
      <c r="F4" s="287">
        <v>6</v>
      </c>
      <c r="G4" s="287">
        <v>7</v>
      </c>
      <c r="H4" s="287">
        <v>8</v>
      </c>
      <c r="I4" s="287">
        <v>9</v>
      </c>
      <c r="J4" s="287">
        <v>10</v>
      </c>
      <c r="K4" s="287">
        <v>11</v>
      </c>
      <c r="L4" s="287">
        <v>12</v>
      </c>
      <c r="M4" s="287">
        <v>13</v>
      </c>
      <c r="N4" s="287">
        <v>14</v>
      </c>
      <c r="O4" s="287">
        <v>15</v>
      </c>
      <c r="P4" s="287">
        <v>16</v>
      </c>
      <c r="Q4" s="287">
        <v>17</v>
      </c>
      <c r="R4" s="287">
        <v>18</v>
      </c>
      <c r="S4" s="287">
        <v>19</v>
      </c>
      <c r="T4" s="287">
        <v>20</v>
      </c>
      <c r="U4" s="287">
        <v>21</v>
      </c>
      <c r="V4" s="287">
        <v>22</v>
      </c>
      <c r="W4" s="287">
        <v>23</v>
      </c>
      <c r="X4" s="287">
        <v>24</v>
      </c>
      <c r="Y4" s="287">
        <v>25</v>
      </c>
      <c r="Z4" s="287">
        <v>26</v>
      </c>
      <c r="AA4" s="287">
        <v>27</v>
      </c>
      <c r="AB4" s="287">
        <v>28</v>
      </c>
      <c r="AC4" s="287">
        <v>29</v>
      </c>
    </row>
    <row r="5" spans="1:29" ht="15.75" customHeight="1">
      <c r="A5" s="294">
        <v>1</v>
      </c>
      <c r="B5" s="289" t="s">
        <v>553</v>
      </c>
      <c r="C5" s="290">
        <v>73</v>
      </c>
      <c r="D5" s="290">
        <v>13</v>
      </c>
      <c r="E5" s="290">
        <v>86</v>
      </c>
      <c r="F5" s="290">
        <v>0</v>
      </c>
      <c r="G5" s="290">
        <v>0</v>
      </c>
      <c r="H5" s="290">
        <v>0</v>
      </c>
      <c r="I5" s="290">
        <v>1095</v>
      </c>
      <c r="J5" s="290">
        <v>513</v>
      </c>
      <c r="K5" s="290">
        <v>1608</v>
      </c>
      <c r="L5" s="290">
        <v>7654</v>
      </c>
      <c r="M5" s="290">
        <v>3150</v>
      </c>
      <c r="N5" s="290">
        <v>10804</v>
      </c>
      <c r="O5" s="290">
        <v>8</v>
      </c>
      <c r="P5" s="290">
        <v>4</v>
      </c>
      <c r="Q5" s="290">
        <v>12</v>
      </c>
      <c r="R5" s="290">
        <v>1112</v>
      </c>
      <c r="S5" s="290">
        <v>140</v>
      </c>
      <c r="T5" s="290">
        <v>1252</v>
      </c>
      <c r="U5" s="290">
        <v>3</v>
      </c>
      <c r="V5" s="290">
        <v>0</v>
      </c>
      <c r="W5" s="290">
        <v>3</v>
      </c>
      <c r="X5" s="290">
        <v>62</v>
      </c>
      <c r="Y5" s="290">
        <v>53</v>
      </c>
      <c r="Z5" s="290">
        <v>115</v>
      </c>
      <c r="AA5" s="290">
        <v>10007</v>
      </c>
      <c r="AB5" s="290">
        <v>3873</v>
      </c>
      <c r="AC5" s="646">
        <v>13880</v>
      </c>
    </row>
    <row r="6" spans="1:29" ht="15.75" customHeight="1">
      <c r="A6" s="294">
        <v>2</v>
      </c>
      <c r="B6" s="289" t="s">
        <v>554</v>
      </c>
      <c r="C6" s="290">
        <v>146</v>
      </c>
      <c r="D6" s="290">
        <v>12</v>
      </c>
      <c r="E6" s="290">
        <v>158</v>
      </c>
      <c r="F6" s="290">
        <v>0</v>
      </c>
      <c r="G6" s="290">
        <v>0</v>
      </c>
      <c r="H6" s="290">
        <v>0</v>
      </c>
      <c r="I6" s="290">
        <v>1432</v>
      </c>
      <c r="J6" s="290">
        <v>296</v>
      </c>
      <c r="K6" s="290">
        <v>1728</v>
      </c>
      <c r="L6" s="290">
        <v>2303</v>
      </c>
      <c r="M6" s="290">
        <v>287</v>
      </c>
      <c r="N6" s="290">
        <v>2590</v>
      </c>
      <c r="O6" s="290">
        <v>2</v>
      </c>
      <c r="P6" s="290">
        <v>2</v>
      </c>
      <c r="Q6" s="290">
        <v>4</v>
      </c>
      <c r="R6" s="290">
        <v>3</v>
      </c>
      <c r="S6" s="290">
        <v>8</v>
      </c>
      <c r="T6" s="290">
        <v>11</v>
      </c>
      <c r="U6" s="290">
        <v>0</v>
      </c>
      <c r="V6" s="290">
        <v>0</v>
      </c>
      <c r="W6" s="290">
        <v>0</v>
      </c>
      <c r="X6" s="290">
        <v>10</v>
      </c>
      <c r="Y6" s="290">
        <v>3</v>
      </c>
      <c r="Z6" s="290">
        <v>13</v>
      </c>
      <c r="AA6" s="290">
        <v>3896</v>
      </c>
      <c r="AB6" s="290">
        <v>608</v>
      </c>
      <c r="AC6" s="646">
        <v>4504</v>
      </c>
    </row>
    <row r="7" spans="1:29" ht="15.75" customHeight="1">
      <c r="A7" s="294">
        <v>3</v>
      </c>
      <c r="B7" s="289" t="s">
        <v>561</v>
      </c>
      <c r="C7" s="290">
        <v>42</v>
      </c>
      <c r="D7" s="290">
        <v>24</v>
      </c>
      <c r="E7" s="290">
        <v>66</v>
      </c>
      <c r="F7" s="290">
        <v>1</v>
      </c>
      <c r="G7" s="290">
        <v>5</v>
      </c>
      <c r="H7" s="290">
        <v>6</v>
      </c>
      <c r="I7" s="290">
        <v>185</v>
      </c>
      <c r="J7" s="290">
        <v>128</v>
      </c>
      <c r="K7" s="290">
        <v>313</v>
      </c>
      <c r="L7" s="290">
        <v>1386</v>
      </c>
      <c r="M7" s="290">
        <v>443</v>
      </c>
      <c r="N7" s="290">
        <v>1829</v>
      </c>
      <c r="O7" s="290">
        <v>4</v>
      </c>
      <c r="P7" s="290">
        <v>2</v>
      </c>
      <c r="Q7" s="290">
        <v>6</v>
      </c>
      <c r="R7" s="290">
        <v>14</v>
      </c>
      <c r="S7" s="290">
        <v>8</v>
      </c>
      <c r="T7" s="290">
        <v>22</v>
      </c>
      <c r="U7" s="290">
        <v>1</v>
      </c>
      <c r="V7" s="290">
        <v>1</v>
      </c>
      <c r="W7" s="290">
        <v>2</v>
      </c>
      <c r="X7" s="290">
        <v>10</v>
      </c>
      <c r="Y7" s="290">
        <v>5</v>
      </c>
      <c r="Z7" s="290">
        <v>15</v>
      </c>
      <c r="AA7" s="290">
        <v>1643</v>
      </c>
      <c r="AB7" s="290">
        <v>616</v>
      </c>
      <c r="AC7" s="646">
        <v>2259</v>
      </c>
    </row>
    <row r="8" spans="1:29" ht="15.75" customHeight="1">
      <c r="A8" s="294">
        <v>4</v>
      </c>
      <c r="B8" s="289" t="s">
        <v>558</v>
      </c>
      <c r="C8" s="290">
        <v>2</v>
      </c>
      <c r="D8" s="290">
        <v>0</v>
      </c>
      <c r="E8" s="290">
        <v>2</v>
      </c>
      <c r="F8" s="290">
        <v>0</v>
      </c>
      <c r="G8" s="290">
        <v>0</v>
      </c>
      <c r="H8" s="290">
        <v>0</v>
      </c>
      <c r="I8" s="290">
        <v>56</v>
      </c>
      <c r="J8" s="290">
        <v>40</v>
      </c>
      <c r="K8" s="290">
        <v>96</v>
      </c>
      <c r="L8" s="290">
        <v>896</v>
      </c>
      <c r="M8" s="290">
        <v>777</v>
      </c>
      <c r="N8" s="290">
        <v>1673</v>
      </c>
      <c r="O8" s="290">
        <v>0</v>
      </c>
      <c r="P8" s="290">
        <v>0</v>
      </c>
      <c r="Q8" s="290">
        <v>0</v>
      </c>
      <c r="R8" s="290">
        <v>21</v>
      </c>
      <c r="S8" s="290">
        <v>9</v>
      </c>
      <c r="T8" s="290">
        <v>30</v>
      </c>
      <c r="U8" s="290">
        <v>1</v>
      </c>
      <c r="V8" s="290">
        <v>0</v>
      </c>
      <c r="W8" s="290">
        <v>1</v>
      </c>
      <c r="X8" s="290">
        <v>25</v>
      </c>
      <c r="Y8" s="290">
        <v>24</v>
      </c>
      <c r="Z8" s="290">
        <v>49</v>
      </c>
      <c r="AA8" s="290">
        <v>1001</v>
      </c>
      <c r="AB8" s="290">
        <v>850</v>
      </c>
      <c r="AC8" s="646">
        <v>1851</v>
      </c>
    </row>
    <row r="9" spans="1:29" ht="15.75" customHeight="1">
      <c r="A9" s="294">
        <v>5</v>
      </c>
      <c r="B9" s="289" t="s">
        <v>556</v>
      </c>
      <c r="C9" s="290">
        <v>5</v>
      </c>
      <c r="D9" s="290">
        <v>1</v>
      </c>
      <c r="E9" s="290">
        <v>6</v>
      </c>
      <c r="F9" s="290">
        <v>1</v>
      </c>
      <c r="G9" s="290">
        <v>0</v>
      </c>
      <c r="H9" s="290">
        <v>1</v>
      </c>
      <c r="I9" s="290">
        <v>142</v>
      </c>
      <c r="J9" s="290">
        <v>42</v>
      </c>
      <c r="K9" s="290">
        <v>184</v>
      </c>
      <c r="L9" s="290">
        <v>1388</v>
      </c>
      <c r="M9" s="290">
        <v>157</v>
      </c>
      <c r="N9" s="290">
        <v>1545</v>
      </c>
      <c r="O9" s="290">
        <v>0</v>
      </c>
      <c r="P9" s="290">
        <v>0</v>
      </c>
      <c r="Q9" s="290">
        <v>0</v>
      </c>
      <c r="R9" s="290">
        <v>1</v>
      </c>
      <c r="S9" s="290">
        <v>0</v>
      </c>
      <c r="T9" s="290">
        <v>1</v>
      </c>
      <c r="U9" s="290">
        <v>0</v>
      </c>
      <c r="V9" s="290">
        <v>0</v>
      </c>
      <c r="W9" s="290">
        <v>0</v>
      </c>
      <c r="X9" s="290">
        <v>13</v>
      </c>
      <c r="Y9" s="290">
        <v>8</v>
      </c>
      <c r="Z9" s="290">
        <v>21</v>
      </c>
      <c r="AA9" s="290">
        <v>1550</v>
      </c>
      <c r="AB9" s="290">
        <v>208</v>
      </c>
      <c r="AC9" s="646">
        <v>1758</v>
      </c>
    </row>
    <row r="10" spans="1:29" ht="15.75" customHeight="1">
      <c r="A10" s="294">
        <v>6</v>
      </c>
      <c r="B10" s="289" t="s">
        <v>563</v>
      </c>
      <c r="C10" s="290">
        <v>12</v>
      </c>
      <c r="D10" s="290">
        <v>12</v>
      </c>
      <c r="E10" s="290">
        <v>24</v>
      </c>
      <c r="F10" s="290">
        <v>0</v>
      </c>
      <c r="G10" s="290">
        <v>2</v>
      </c>
      <c r="H10" s="290">
        <v>2</v>
      </c>
      <c r="I10" s="290">
        <v>20</v>
      </c>
      <c r="J10" s="290">
        <v>54</v>
      </c>
      <c r="K10" s="290">
        <v>74</v>
      </c>
      <c r="L10" s="290">
        <v>686</v>
      </c>
      <c r="M10" s="290">
        <v>739</v>
      </c>
      <c r="N10" s="290">
        <v>1425</v>
      </c>
      <c r="O10" s="290">
        <v>0</v>
      </c>
      <c r="P10" s="290">
        <v>2</v>
      </c>
      <c r="Q10" s="290">
        <v>2</v>
      </c>
      <c r="R10" s="290">
        <v>3</v>
      </c>
      <c r="S10" s="290">
        <v>2</v>
      </c>
      <c r="T10" s="290">
        <v>5</v>
      </c>
      <c r="U10" s="290">
        <v>1</v>
      </c>
      <c r="V10" s="290">
        <v>0</v>
      </c>
      <c r="W10" s="290">
        <v>1</v>
      </c>
      <c r="X10" s="290">
        <v>37</v>
      </c>
      <c r="Y10" s="290">
        <v>57</v>
      </c>
      <c r="Z10" s="290">
        <v>94</v>
      </c>
      <c r="AA10" s="290">
        <v>759</v>
      </c>
      <c r="AB10" s="290">
        <v>868</v>
      </c>
      <c r="AC10" s="646">
        <v>1627</v>
      </c>
    </row>
    <row r="11" spans="1:29" ht="15.75" customHeight="1">
      <c r="A11" s="294">
        <v>7</v>
      </c>
      <c r="B11" s="289" t="s">
        <v>559</v>
      </c>
      <c r="C11" s="290">
        <v>69</v>
      </c>
      <c r="D11" s="290">
        <v>8</v>
      </c>
      <c r="E11" s="290">
        <v>77</v>
      </c>
      <c r="F11" s="290">
        <v>0</v>
      </c>
      <c r="G11" s="290">
        <v>0</v>
      </c>
      <c r="H11" s="290">
        <v>0</v>
      </c>
      <c r="I11" s="290">
        <v>330</v>
      </c>
      <c r="J11" s="290">
        <v>106</v>
      </c>
      <c r="K11" s="290">
        <v>436</v>
      </c>
      <c r="L11" s="290">
        <v>693</v>
      </c>
      <c r="M11" s="290">
        <v>296</v>
      </c>
      <c r="N11" s="290">
        <v>989</v>
      </c>
      <c r="O11" s="290">
        <v>1</v>
      </c>
      <c r="P11" s="290">
        <v>2</v>
      </c>
      <c r="Q11" s="290">
        <v>3</v>
      </c>
      <c r="R11" s="290">
        <v>4</v>
      </c>
      <c r="S11" s="290">
        <v>3</v>
      </c>
      <c r="T11" s="290">
        <v>7</v>
      </c>
      <c r="U11" s="290">
        <v>1</v>
      </c>
      <c r="V11" s="290">
        <v>2</v>
      </c>
      <c r="W11" s="290">
        <v>3</v>
      </c>
      <c r="X11" s="290">
        <v>5</v>
      </c>
      <c r="Y11" s="290">
        <v>5</v>
      </c>
      <c r="Z11" s="290">
        <v>10</v>
      </c>
      <c r="AA11" s="290">
        <v>1103</v>
      </c>
      <c r="AB11" s="290">
        <v>422</v>
      </c>
      <c r="AC11" s="646">
        <v>1525</v>
      </c>
    </row>
    <row r="12" spans="1:29" ht="15.75" customHeight="1">
      <c r="A12" s="294">
        <v>8</v>
      </c>
      <c r="B12" s="289" t="s">
        <v>562</v>
      </c>
      <c r="C12" s="290">
        <v>160</v>
      </c>
      <c r="D12" s="290">
        <v>24</v>
      </c>
      <c r="E12" s="290">
        <v>184</v>
      </c>
      <c r="F12" s="290">
        <v>0</v>
      </c>
      <c r="G12" s="290">
        <v>0</v>
      </c>
      <c r="H12" s="290">
        <v>0</v>
      </c>
      <c r="I12" s="290">
        <v>217</v>
      </c>
      <c r="J12" s="290">
        <v>60</v>
      </c>
      <c r="K12" s="290">
        <v>277</v>
      </c>
      <c r="L12" s="290">
        <v>903</v>
      </c>
      <c r="M12" s="290">
        <v>72</v>
      </c>
      <c r="N12" s="290">
        <v>975</v>
      </c>
      <c r="O12" s="290">
        <v>0</v>
      </c>
      <c r="P12" s="290">
        <v>0</v>
      </c>
      <c r="Q12" s="290">
        <v>0</v>
      </c>
      <c r="R12" s="290">
        <v>0</v>
      </c>
      <c r="S12" s="290">
        <v>0</v>
      </c>
      <c r="T12" s="290">
        <v>0</v>
      </c>
      <c r="U12" s="290">
        <v>0</v>
      </c>
      <c r="V12" s="290">
        <v>0</v>
      </c>
      <c r="W12" s="290">
        <v>0</v>
      </c>
      <c r="X12" s="290">
        <v>1</v>
      </c>
      <c r="Y12" s="290">
        <v>0</v>
      </c>
      <c r="Z12" s="290">
        <v>1</v>
      </c>
      <c r="AA12" s="290">
        <v>1281</v>
      </c>
      <c r="AB12" s="290">
        <v>156</v>
      </c>
      <c r="AC12" s="646">
        <v>1437</v>
      </c>
    </row>
    <row r="13" spans="1:29" ht="15.75" customHeight="1">
      <c r="A13" s="294">
        <v>9</v>
      </c>
      <c r="B13" s="289" t="s">
        <v>565</v>
      </c>
      <c r="C13" s="290">
        <v>1</v>
      </c>
      <c r="D13" s="290">
        <v>3</v>
      </c>
      <c r="E13" s="290">
        <v>4</v>
      </c>
      <c r="F13" s="290">
        <v>0</v>
      </c>
      <c r="G13" s="290">
        <v>0</v>
      </c>
      <c r="H13" s="290">
        <v>0</v>
      </c>
      <c r="I13" s="290">
        <v>6</v>
      </c>
      <c r="J13" s="290">
        <v>5</v>
      </c>
      <c r="K13" s="290">
        <v>11</v>
      </c>
      <c r="L13" s="290">
        <v>468</v>
      </c>
      <c r="M13" s="290">
        <v>868</v>
      </c>
      <c r="N13" s="290">
        <v>1336</v>
      </c>
      <c r="O13" s="290">
        <v>0</v>
      </c>
      <c r="P13" s="290">
        <v>0</v>
      </c>
      <c r="Q13" s="290">
        <v>0</v>
      </c>
      <c r="R13" s="290">
        <v>0</v>
      </c>
      <c r="S13" s="290">
        <v>1</v>
      </c>
      <c r="T13" s="290">
        <v>1</v>
      </c>
      <c r="U13" s="290">
        <v>0</v>
      </c>
      <c r="V13" s="290">
        <v>0</v>
      </c>
      <c r="W13" s="290">
        <v>0</v>
      </c>
      <c r="X13" s="290">
        <v>0</v>
      </c>
      <c r="Y13" s="290">
        <v>1</v>
      </c>
      <c r="Z13" s="290">
        <v>1</v>
      </c>
      <c r="AA13" s="290">
        <v>475</v>
      </c>
      <c r="AB13" s="290">
        <v>878</v>
      </c>
      <c r="AC13" s="646">
        <v>1353</v>
      </c>
    </row>
    <row r="14" spans="1:29" ht="15.75" customHeight="1">
      <c r="A14" s="294">
        <v>10</v>
      </c>
      <c r="B14" s="289" t="s">
        <v>567</v>
      </c>
      <c r="C14" s="290">
        <v>3</v>
      </c>
      <c r="D14" s="290">
        <v>1</v>
      </c>
      <c r="E14" s="290">
        <v>4</v>
      </c>
      <c r="F14" s="290">
        <v>0</v>
      </c>
      <c r="G14" s="290">
        <v>0</v>
      </c>
      <c r="H14" s="290">
        <v>0</v>
      </c>
      <c r="I14" s="290">
        <v>43</v>
      </c>
      <c r="J14" s="290">
        <v>54</v>
      </c>
      <c r="K14" s="290">
        <v>97</v>
      </c>
      <c r="L14" s="290">
        <v>701</v>
      </c>
      <c r="M14" s="290">
        <v>534</v>
      </c>
      <c r="N14" s="290">
        <v>1235</v>
      </c>
      <c r="O14" s="290">
        <v>8</v>
      </c>
      <c r="P14" s="290">
        <v>1</v>
      </c>
      <c r="Q14" s="290">
        <v>9</v>
      </c>
      <c r="R14" s="290">
        <v>1</v>
      </c>
      <c r="S14" s="290">
        <v>0</v>
      </c>
      <c r="T14" s="290">
        <v>1</v>
      </c>
      <c r="U14" s="290">
        <v>0</v>
      </c>
      <c r="V14" s="290">
        <v>0</v>
      </c>
      <c r="W14" s="290">
        <v>0</v>
      </c>
      <c r="X14" s="290">
        <v>0</v>
      </c>
      <c r="Y14" s="290">
        <v>1</v>
      </c>
      <c r="Z14" s="290">
        <v>1</v>
      </c>
      <c r="AA14" s="290">
        <v>756</v>
      </c>
      <c r="AB14" s="290">
        <v>591</v>
      </c>
      <c r="AC14" s="646">
        <v>1347</v>
      </c>
    </row>
    <row r="15" spans="1:29" ht="15.75" customHeight="1">
      <c r="A15" s="294">
        <v>11</v>
      </c>
      <c r="B15" s="289" t="s">
        <v>566</v>
      </c>
      <c r="C15" s="290">
        <v>16</v>
      </c>
      <c r="D15" s="290">
        <v>13</v>
      </c>
      <c r="E15" s="290">
        <v>29</v>
      </c>
      <c r="F15" s="290">
        <v>2</v>
      </c>
      <c r="G15" s="290">
        <v>1</v>
      </c>
      <c r="H15" s="290">
        <v>3</v>
      </c>
      <c r="I15" s="290">
        <v>64</v>
      </c>
      <c r="J15" s="290">
        <v>70</v>
      </c>
      <c r="K15" s="290">
        <v>134</v>
      </c>
      <c r="L15" s="290">
        <v>390</v>
      </c>
      <c r="M15" s="290">
        <v>594</v>
      </c>
      <c r="N15" s="290">
        <v>984</v>
      </c>
      <c r="O15" s="290">
        <v>0</v>
      </c>
      <c r="P15" s="290">
        <v>0</v>
      </c>
      <c r="Q15" s="290">
        <v>0</v>
      </c>
      <c r="R15" s="290">
        <v>8</v>
      </c>
      <c r="S15" s="290">
        <v>3</v>
      </c>
      <c r="T15" s="290">
        <v>11</v>
      </c>
      <c r="U15" s="290">
        <v>2</v>
      </c>
      <c r="V15" s="290">
        <v>1</v>
      </c>
      <c r="W15" s="290">
        <v>3</v>
      </c>
      <c r="X15" s="290">
        <v>2</v>
      </c>
      <c r="Y15" s="290">
        <v>2</v>
      </c>
      <c r="Z15" s="290">
        <v>4</v>
      </c>
      <c r="AA15" s="290">
        <v>484</v>
      </c>
      <c r="AB15" s="290">
        <v>684</v>
      </c>
      <c r="AC15" s="646">
        <v>1168</v>
      </c>
    </row>
    <row r="16" spans="1:29" ht="15.75" customHeight="1">
      <c r="A16" s="294">
        <v>12</v>
      </c>
      <c r="B16" s="289" t="s">
        <v>568</v>
      </c>
      <c r="C16" s="290">
        <v>17</v>
      </c>
      <c r="D16" s="290">
        <v>2</v>
      </c>
      <c r="E16" s="290">
        <v>19</v>
      </c>
      <c r="F16" s="290">
        <v>0</v>
      </c>
      <c r="G16" s="290">
        <v>0</v>
      </c>
      <c r="H16" s="290">
        <v>0</v>
      </c>
      <c r="I16" s="290">
        <v>75</v>
      </c>
      <c r="J16" s="290">
        <v>45</v>
      </c>
      <c r="K16" s="290">
        <v>120</v>
      </c>
      <c r="L16" s="290">
        <v>367</v>
      </c>
      <c r="M16" s="290">
        <v>412</v>
      </c>
      <c r="N16" s="290">
        <v>779</v>
      </c>
      <c r="O16" s="290">
        <v>4</v>
      </c>
      <c r="P16" s="290">
        <v>0</v>
      </c>
      <c r="Q16" s="290">
        <v>4</v>
      </c>
      <c r="R16" s="290">
        <v>104</v>
      </c>
      <c r="S16" s="290">
        <v>94</v>
      </c>
      <c r="T16" s="290">
        <v>198</v>
      </c>
      <c r="U16" s="290">
        <v>0</v>
      </c>
      <c r="V16" s="290">
        <v>0</v>
      </c>
      <c r="W16" s="290">
        <v>0</v>
      </c>
      <c r="X16" s="290">
        <v>7</v>
      </c>
      <c r="Y16" s="290">
        <v>25</v>
      </c>
      <c r="Z16" s="290">
        <v>32</v>
      </c>
      <c r="AA16" s="290">
        <v>574</v>
      </c>
      <c r="AB16" s="290">
        <v>578</v>
      </c>
      <c r="AC16" s="646">
        <v>1152</v>
      </c>
    </row>
    <row r="17" spans="1:29" ht="15.75" customHeight="1">
      <c r="A17" s="294">
        <v>13</v>
      </c>
      <c r="B17" s="289" t="s">
        <v>560</v>
      </c>
      <c r="C17" s="290">
        <v>48</v>
      </c>
      <c r="D17" s="290">
        <v>54</v>
      </c>
      <c r="E17" s="290">
        <v>102</v>
      </c>
      <c r="F17" s="290">
        <v>0</v>
      </c>
      <c r="G17" s="290">
        <v>1</v>
      </c>
      <c r="H17" s="290">
        <v>1</v>
      </c>
      <c r="I17" s="290">
        <v>147</v>
      </c>
      <c r="J17" s="290">
        <v>235</v>
      </c>
      <c r="K17" s="290">
        <v>382</v>
      </c>
      <c r="L17" s="290">
        <v>187</v>
      </c>
      <c r="M17" s="290">
        <v>189</v>
      </c>
      <c r="N17" s="290">
        <v>376</v>
      </c>
      <c r="O17" s="290">
        <v>1</v>
      </c>
      <c r="P17" s="290">
        <v>0</v>
      </c>
      <c r="Q17" s="290">
        <v>1</v>
      </c>
      <c r="R17" s="290">
        <v>0</v>
      </c>
      <c r="S17" s="290">
        <v>0</v>
      </c>
      <c r="T17" s="290">
        <v>0</v>
      </c>
      <c r="U17" s="290">
        <v>0</v>
      </c>
      <c r="V17" s="290">
        <v>1</v>
      </c>
      <c r="W17" s="290">
        <v>1</v>
      </c>
      <c r="X17" s="290">
        <v>1</v>
      </c>
      <c r="Y17" s="290">
        <v>0</v>
      </c>
      <c r="Z17" s="290">
        <v>1</v>
      </c>
      <c r="AA17" s="290">
        <v>384</v>
      </c>
      <c r="AB17" s="290">
        <v>480</v>
      </c>
      <c r="AC17" s="646">
        <v>864</v>
      </c>
    </row>
    <row r="18" spans="1:29" ht="15.75" customHeight="1">
      <c r="A18" s="294">
        <v>14</v>
      </c>
      <c r="B18" s="289" t="s">
        <v>569</v>
      </c>
      <c r="C18" s="290">
        <v>197</v>
      </c>
      <c r="D18" s="290">
        <v>25</v>
      </c>
      <c r="E18" s="290">
        <v>222</v>
      </c>
      <c r="F18" s="290">
        <v>0</v>
      </c>
      <c r="G18" s="290">
        <v>0</v>
      </c>
      <c r="H18" s="290">
        <v>0</v>
      </c>
      <c r="I18" s="290">
        <v>102</v>
      </c>
      <c r="J18" s="290">
        <v>22</v>
      </c>
      <c r="K18" s="290">
        <v>124</v>
      </c>
      <c r="L18" s="290">
        <v>236</v>
      </c>
      <c r="M18" s="290">
        <v>109</v>
      </c>
      <c r="N18" s="290">
        <v>345</v>
      </c>
      <c r="O18" s="290">
        <v>1</v>
      </c>
      <c r="P18" s="290">
        <v>0</v>
      </c>
      <c r="Q18" s="290">
        <v>1</v>
      </c>
      <c r="R18" s="290">
        <v>0</v>
      </c>
      <c r="S18" s="290">
        <v>0</v>
      </c>
      <c r="T18" s="290">
        <v>0</v>
      </c>
      <c r="U18" s="290">
        <v>0</v>
      </c>
      <c r="V18" s="290">
        <v>0</v>
      </c>
      <c r="W18" s="290">
        <v>0</v>
      </c>
      <c r="X18" s="290">
        <v>2</v>
      </c>
      <c r="Y18" s="290">
        <v>1</v>
      </c>
      <c r="Z18" s="290">
        <v>3</v>
      </c>
      <c r="AA18" s="290">
        <v>538</v>
      </c>
      <c r="AB18" s="290">
        <v>157</v>
      </c>
      <c r="AC18" s="646">
        <v>695</v>
      </c>
    </row>
    <row r="19" spans="1:29" ht="15.75" customHeight="1">
      <c r="A19" s="294">
        <v>15</v>
      </c>
      <c r="B19" s="289" t="s">
        <v>584</v>
      </c>
      <c r="C19" s="290">
        <v>1</v>
      </c>
      <c r="D19" s="290">
        <v>1</v>
      </c>
      <c r="E19" s="290">
        <v>2</v>
      </c>
      <c r="F19" s="290">
        <v>0</v>
      </c>
      <c r="G19" s="290">
        <v>0</v>
      </c>
      <c r="H19" s="290">
        <v>0</v>
      </c>
      <c r="I19" s="290">
        <v>14</v>
      </c>
      <c r="J19" s="290">
        <v>22</v>
      </c>
      <c r="K19" s="290">
        <v>36</v>
      </c>
      <c r="L19" s="290">
        <v>98</v>
      </c>
      <c r="M19" s="290">
        <v>82</v>
      </c>
      <c r="N19" s="290">
        <v>180</v>
      </c>
      <c r="O19" s="290">
        <v>0</v>
      </c>
      <c r="P19" s="290">
        <v>0</v>
      </c>
      <c r="Q19" s="290">
        <v>0</v>
      </c>
      <c r="R19" s="290">
        <v>9</v>
      </c>
      <c r="S19" s="290">
        <v>20</v>
      </c>
      <c r="T19" s="290">
        <v>29</v>
      </c>
      <c r="U19" s="290">
        <v>56</v>
      </c>
      <c r="V19" s="290">
        <v>371</v>
      </c>
      <c r="W19" s="290">
        <v>427</v>
      </c>
      <c r="X19" s="290">
        <v>3</v>
      </c>
      <c r="Y19" s="290">
        <v>6</v>
      </c>
      <c r="Z19" s="290">
        <v>9</v>
      </c>
      <c r="AA19" s="290">
        <v>181</v>
      </c>
      <c r="AB19" s="290">
        <v>502</v>
      </c>
      <c r="AC19" s="646">
        <v>683</v>
      </c>
    </row>
    <row r="20" spans="1:29" ht="15.75" customHeight="1">
      <c r="A20" s="294">
        <v>16</v>
      </c>
      <c r="B20" s="289" t="s">
        <v>589</v>
      </c>
      <c r="C20" s="290">
        <v>40</v>
      </c>
      <c r="D20" s="290">
        <v>17</v>
      </c>
      <c r="E20" s="290">
        <v>57</v>
      </c>
      <c r="F20" s="290">
        <v>0</v>
      </c>
      <c r="G20" s="290">
        <v>0</v>
      </c>
      <c r="H20" s="290">
        <v>0</v>
      </c>
      <c r="I20" s="290">
        <v>142</v>
      </c>
      <c r="J20" s="290">
        <v>62</v>
      </c>
      <c r="K20" s="290">
        <v>204</v>
      </c>
      <c r="L20" s="290">
        <v>235</v>
      </c>
      <c r="M20" s="290">
        <v>84</v>
      </c>
      <c r="N20" s="290">
        <v>319</v>
      </c>
      <c r="O20" s="290">
        <v>0</v>
      </c>
      <c r="P20" s="290">
        <v>0</v>
      </c>
      <c r="Q20" s="290">
        <v>0</v>
      </c>
      <c r="R20" s="290">
        <v>0</v>
      </c>
      <c r="S20" s="290">
        <v>0</v>
      </c>
      <c r="T20" s="290">
        <v>0</v>
      </c>
      <c r="U20" s="290">
        <v>0</v>
      </c>
      <c r="V20" s="290">
        <v>0</v>
      </c>
      <c r="W20" s="290">
        <v>0</v>
      </c>
      <c r="X20" s="290">
        <v>0</v>
      </c>
      <c r="Y20" s="290">
        <v>0</v>
      </c>
      <c r="Z20" s="290">
        <v>0</v>
      </c>
      <c r="AA20" s="290">
        <v>417</v>
      </c>
      <c r="AB20" s="290">
        <v>163</v>
      </c>
      <c r="AC20" s="646">
        <v>580</v>
      </c>
    </row>
    <row r="21" spans="1:29" ht="15.75" customHeight="1">
      <c r="A21" s="294">
        <v>17</v>
      </c>
      <c r="B21" s="289" t="s">
        <v>575</v>
      </c>
      <c r="C21" s="290">
        <v>0</v>
      </c>
      <c r="D21" s="290">
        <v>1</v>
      </c>
      <c r="E21" s="290">
        <v>1</v>
      </c>
      <c r="F21" s="290">
        <v>0</v>
      </c>
      <c r="G21" s="290">
        <v>0</v>
      </c>
      <c r="H21" s="290">
        <v>0</v>
      </c>
      <c r="I21" s="290">
        <v>92</v>
      </c>
      <c r="J21" s="290">
        <v>39</v>
      </c>
      <c r="K21" s="290">
        <v>131</v>
      </c>
      <c r="L21" s="290">
        <v>362</v>
      </c>
      <c r="M21" s="290">
        <v>82</v>
      </c>
      <c r="N21" s="290">
        <v>444</v>
      </c>
      <c r="O21" s="290">
        <v>0</v>
      </c>
      <c r="P21" s="290">
        <v>0</v>
      </c>
      <c r="Q21" s="290">
        <v>0</v>
      </c>
      <c r="R21" s="290">
        <v>0</v>
      </c>
      <c r="S21" s="290">
        <v>0</v>
      </c>
      <c r="T21" s="290">
        <v>0</v>
      </c>
      <c r="U21" s="290">
        <v>0</v>
      </c>
      <c r="V21" s="290">
        <v>0</v>
      </c>
      <c r="W21" s="290">
        <v>0</v>
      </c>
      <c r="X21" s="290">
        <v>0</v>
      </c>
      <c r="Y21" s="290">
        <v>0</v>
      </c>
      <c r="Z21" s="290">
        <v>0</v>
      </c>
      <c r="AA21" s="290">
        <v>454</v>
      </c>
      <c r="AB21" s="290">
        <v>122</v>
      </c>
      <c r="AC21" s="646">
        <v>576</v>
      </c>
    </row>
    <row r="22" spans="1:29" ht="15.75" customHeight="1">
      <c r="A22" s="294">
        <v>18</v>
      </c>
      <c r="B22" s="289" t="s">
        <v>574</v>
      </c>
      <c r="C22" s="290">
        <v>0</v>
      </c>
      <c r="D22" s="290">
        <v>1</v>
      </c>
      <c r="E22" s="290">
        <v>1</v>
      </c>
      <c r="F22" s="290">
        <v>0</v>
      </c>
      <c r="G22" s="290">
        <v>0</v>
      </c>
      <c r="H22" s="290">
        <v>0</v>
      </c>
      <c r="I22" s="290">
        <v>12</v>
      </c>
      <c r="J22" s="290">
        <v>13</v>
      </c>
      <c r="K22" s="290">
        <v>25</v>
      </c>
      <c r="L22" s="290">
        <v>266</v>
      </c>
      <c r="M22" s="290">
        <v>259</v>
      </c>
      <c r="N22" s="290">
        <v>525</v>
      </c>
      <c r="O22" s="290">
        <v>0</v>
      </c>
      <c r="P22" s="290">
        <v>1</v>
      </c>
      <c r="Q22" s="290">
        <v>1</v>
      </c>
      <c r="R22" s="290">
        <v>2</v>
      </c>
      <c r="S22" s="290">
        <v>1</v>
      </c>
      <c r="T22" s="290">
        <v>3</v>
      </c>
      <c r="U22" s="290">
        <v>0</v>
      </c>
      <c r="V22" s="290">
        <v>0</v>
      </c>
      <c r="W22" s="290">
        <v>0</v>
      </c>
      <c r="X22" s="290">
        <v>4</v>
      </c>
      <c r="Y22" s="290">
        <v>5</v>
      </c>
      <c r="Z22" s="290">
        <v>9</v>
      </c>
      <c r="AA22" s="290">
        <v>284</v>
      </c>
      <c r="AB22" s="290">
        <v>280</v>
      </c>
      <c r="AC22" s="646">
        <v>564</v>
      </c>
    </row>
    <row r="23" spans="1:29" ht="15.75" customHeight="1">
      <c r="A23" s="294">
        <v>19</v>
      </c>
      <c r="B23" s="289" t="s">
        <v>581</v>
      </c>
      <c r="C23" s="290">
        <v>11</v>
      </c>
      <c r="D23" s="290">
        <v>1</v>
      </c>
      <c r="E23" s="290">
        <v>12</v>
      </c>
      <c r="F23" s="290">
        <v>0</v>
      </c>
      <c r="G23" s="290">
        <v>0</v>
      </c>
      <c r="H23" s="290">
        <v>0</v>
      </c>
      <c r="I23" s="290">
        <v>26</v>
      </c>
      <c r="J23" s="290">
        <v>19</v>
      </c>
      <c r="K23" s="290">
        <v>45</v>
      </c>
      <c r="L23" s="290">
        <v>250</v>
      </c>
      <c r="M23" s="290">
        <v>199</v>
      </c>
      <c r="N23" s="290">
        <v>449</v>
      </c>
      <c r="O23" s="290">
        <v>0</v>
      </c>
      <c r="P23" s="290">
        <v>0</v>
      </c>
      <c r="Q23" s="290">
        <v>0</v>
      </c>
      <c r="R23" s="290">
        <v>11</v>
      </c>
      <c r="S23" s="290">
        <v>8</v>
      </c>
      <c r="T23" s="290">
        <v>19</v>
      </c>
      <c r="U23" s="290">
        <v>0</v>
      </c>
      <c r="V23" s="290">
        <v>0</v>
      </c>
      <c r="W23" s="290">
        <v>0</v>
      </c>
      <c r="X23" s="290">
        <v>16</v>
      </c>
      <c r="Y23" s="290">
        <v>16</v>
      </c>
      <c r="Z23" s="290">
        <v>32</v>
      </c>
      <c r="AA23" s="290">
        <v>314</v>
      </c>
      <c r="AB23" s="290">
        <v>243</v>
      </c>
      <c r="AC23" s="646">
        <v>557</v>
      </c>
    </row>
    <row r="24" spans="1:29" ht="15.75" customHeight="1">
      <c r="A24" s="294">
        <v>20</v>
      </c>
      <c r="B24" s="289" t="s">
        <v>577</v>
      </c>
      <c r="C24" s="290">
        <v>7</v>
      </c>
      <c r="D24" s="290">
        <v>0</v>
      </c>
      <c r="E24" s="290">
        <v>7</v>
      </c>
      <c r="F24" s="290">
        <v>0</v>
      </c>
      <c r="G24" s="290">
        <v>2</v>
      </c>
      <c r="H24" s="290">
        <v>2</v>
      </c>
      <c r="I24" s="290">
        <v>16</v>
      </c>
      <c r="J24" s="290">
        <v>17</v>
      </c>
      <c r="K24" s="290">
        <v>33</v>
      </c>
      <c r="L24" s="290">
        <v>327</v>
      </c>
      <c r="M24" s="290">
        <v>178</v>
      </c>
      <c r="N24" s="290">
        <v>505</v>
      </c>
      <c r="O24" s="290">
        <v>2</v>
      </c>
      <c r="P24" s="290">
        <v>2</v>
      </c>
      <c r="Q24" s="290">
        <v>4</v>
      </c>
      <c r="R24" s="290">
        <v>0</v>
      </c>
      <c r="S24" s="290">
        <v>1</v>
      </c>
      <c r="T24" s="290">
        <v>1</v>
      </c>
      <c r="U24" s="290">
        <v>0</v>
      </c>
      <c r="V24" s="290">
        <v>0</v>
      </c>
      <c r="W24" s="290">
        <v>0</v>
      </c>
      <c r="X24" s="290">
        <v>0</v>
      </c>
      <c r="Y24" s="290">
        <v>0</v>
      </c>
      <c r="Z24" s="290">
        <v>0</v>
      </c>
      <c r="AA24" s="290">
        <v>352</v>
      </c>
      <c r="AB24" s="290">
        <v>200</v>
      </c>
      <c r="AC24" s="646">
        <v>552</v>
      </c>
    </row>
    <row r="25" spans="1:29" ht="15.75" customHeight="1">
      <c r="A25" s="294">
        <v>21</v>
      </c>
      <c r="B25" s="289" t="s">
        <v>580</v>
      </c>
      <c r="C25" s="290">
        <v>0</v>
      </c>
      <c r="D25" s="290">
        <v>0</v>
      </c>
      <c r="E25" s="290">
        <v>0</v>
      </c>
      <c r="F25" s="290">
        <v>0</v>
      </c>
      <c r="G25" s="290">
        <v>0</v>
      </c>
      <c r="H25" s="290">
        <v>0</v>
      </c>
      <c r="I25" s="290">
        <v>20</v>
      </c>
      <c r="J25" s="290">
        <v>11</v>
      </c>
      <c r="K25" s="290">
        <v>31</v>
      </c>
      <c r="L25" s="290">
        <v>286</v>
      </c>
      <c r="M25" s="290">
        <v>132</v>
      </c>
      <c r="N25" s="290">
        <v>418</v>
      </c>
      <c r="O25" s="290">
        <v>0</v>
      </c>
      <c r="P25" s="290">
        <v>0</v>
      </c>
      <c r="Q25" s="290">
        <v>0</v>
      </c>
      <c r="R25" s="290">
        <v>0</v>
      </c>
      <c r="S25" s="290">
        <v>1</v>
      </c>
      <c r="T25" s="290">
        <v>1</v>
      </c>
      <c r="U25" s="290">
        <v>0</v>
      </c>
      <c r="V25" s="290">
        <v>0</v>
      </c>
      <c r="W25" s="290">
        <v>0</v>
      </c>
      <c r="X25" s="290">
        <v>0</v>
      </c>
      <c r="Y25" s="290">
        <v>0</v>
      </c>
      <c r="Z25" s="290">
        <v>0</v>
      </c>
      <c r="AA25" s="290">
        <v>306</v>
      </c>
      <c r="AB25" s="290">
        <v>144</v>
      </c>
      <c r="AC25" s="646">
        <v>450</v>
      </c>
    </row>
    <row r="26" spans="1:29" ht="15">
      <c r="A26" s="294">
        <v>22</v>
      </c>
      <c r="B26" s="289" t="s">
        <v>583</v>
      </c>
      <c r="C26" s="290">
        <v>0</v>
      </c>
      <c r="D26" s="290">
        <v>2</v>
      </c>
      <c r="E26" s="290">
        <v>2</v>
      </c>
      <c r="F26" s="290">
        <v>0</v>
      </c>
      <c r="G26" s="290">
        <v>1</v>
      </c>
      <c r="H26" s="290">
        <v>1</v>
      </c>
      <c r="I26" s="290">
        <v>26</v>
      </c>
      <c r="J26" s="290">
        <v>12</v>
      </c>
      <c r="K26" s="290">
        <v>38</v>
      </c>
      <c r="L26" s="290">
        <v>235</v>
      </c>
      <c r="M26" s="290">
        <v>172</v>
      </c>
      <c r="N26" s="290">
        <v>407</v>
      </c>
      <c r="O26" s="290">
        <v>0</v>
      </c>
      <c r="P26" s="290">
        <v>0</v>
      </c>
      <c r="Q26" s="290">
        <v>0</v>
      </c>
      <c r="R26" s="290">
        <v>0</v>
      </c>
      <c r="S26" s="290">
        <v>0</v>
      </c>
      <c r="T26" s="290">
        <v>0</v>
      </c>
      <c r="U26" s="290">
        <v>0</v>
      </c>
      <c r="V26" s="290">
        <v>0</v>
      </c>
      <c r="W26" s="290">
        <v>0</v>
      </c>
      <c r="X26" s="290">
        <v>0</v>
      </c>
      <c r="Y26" s="290">
        <v>0</v>
      </c>
      <c r="Z26" s="290">
        <v>0</v>
      </c>
      <c r="AA26" s="290">
        <v>261</v>
      </c>
      <c r="AB26" s="290">
        <v>187</v>
      </c>
      <c r="AC26" s="646">
        <v>448</v>
      </c>
    </row>
    <row r="27" spans="1:29" ht="15">
      <c r="A27" s="294">
        <v>23</v>
      </c>
      <c r="B27" s="289" t="s">
        <v>579</v>
      </c>
      <c r="C27" s="290">
        <v>0</v>
      </c>
      <c r="D27" s="290">
        <v>1</v>
      </c>
      <c r="E27" s="290">
        <v>1</v>
      </c>
      <c r="F27" s="290">
        <v>0</v>
      </c>
      <c r="G27" s="290">
        <v>0</v>
      </c>
      <c r="H27" s="290">
        <v>0</v>
      </c>
      <c r="I27" s="290">
        <v>11</v>
      </c>
      <c r="J27" s="290">
        <v>12</v>
      </c>
      <c r="K27" s="290">
        <v>23</v>
      </c>
      <c r="L27" s="290">
        <v>219</v>
      </c>
      <c r="M27" s="290">
        <v>184</v>
      </c>
      <c r="N27" s="290">
        <v>403</v>
      </c>
      <c r="O27" s="290">
        <v>3</v>
      </c>
      <c r="P27" s="290">
        <v>1</v>
      </c>
      <c r="Q27" s="290">
        <v>4</v>
      </c>
      <c r="R27" s="290">
        <v>0</v>
      </c>
      <c r="S27" s="290">
        <v>1</v>
      </c>
      <c r="T27" s="290">
        <v>1</v>
      </c>
      <c r="U27" s="290">
        <v>0</v>
      </c>
      <c r="V27" s="290">
        <v>0</v>
      </c>
      <c r="W27" s="290">
        <v>0</v>
      </c>
      <c r="X27" s="290">
        <v>0</v>
      </c>
      <c r="Y27" s="290">
        <v>2</v>
      </c>
      <c r="Z27" s="290">
        <v>2</v>
      </c>
      <c r="AA27" s="290">
        <v>233</v>
      </c>
      <c r="AB27" s="290">
        <v>201</v>
      </c>
      <c r="AC27" s="646">
        <v>434</v>
      </c>
    </row>
    <row r="28" spans="1:29" ht="15">
      <c r="A28" s="294">
        <v>24</v>
      </c>
      <c r="B28" s="289" t="s">
        <v>572</v>
      </c>
      <c r="C28" s="290">
        <v>46</v>
      </c>
      <c r="D28" s="290">
        <v>9</v>
      </c>
      <c r="E28" s="290">
        <v>55</v>
      </c>
      <c r="F28" s="290">
        <v>0</v>
      </c>
      <c r="G28" s="290">
        <v>0</v>
      </c>
      <c r="H28" s="290">
        <v>0</v>
      </c>
      <c r="I28" s="290">
        <v>158</v>
      </c>
      <c r="J28" s="290">
        <v>51</v>
      </c>
      <c r="K28" s="290">
        <v>209</v>
      </c>
      <c r="L28" s="290">
        <v>128</v>
      </c>
      <c r="M28" s="290">
        <v>38</v>
      </c>
      <c r="N28" s="290">
        <v>166</v>
      </c>
      <c r="O28" s="290">
        <v>0</v>
      </c>
      <c r="P28" s="290">
        <v>0</v>
      </c>
      <c r="Q28" s="290">
        <v>0</v>
      </c>
      <c r="R28" s="290">
        <v>0</v>
      </c>
      <c r="S28" s="290">
        <v>0</v>
      </c>
      <c r="T28" s="290">
        <v>0</v>
      </c>
      <c r="U28" s="290">
        <v>0</v>
      </c>
      <c r="V28" s="290">
        <v>0</v>
      </c>
      <c r="W28" s="290">
        <v>0</v>
      </c>
      <c r="X28" s="290">
        <v>0</v>
      </c>
      <c r="Y28" s="290">
        <v>1</v>
      </c>
      <c r="Z28" s="290">
        <v>1</v>
      </c>
      <c r="AA28" s="290">
        <v>332</v>
      </c>
      <c r="AB28" s="290">
        <v>99</v>
      </c>
      <c r="AC28" s="646">
        <v>431</v>
      </c>
    </row>
    <row r="29" spans="1:29" ht="15">
      <c r="A29" s="294">
        <v>25</v>
      </c>
      <c r="B29" s="289" t="s">
        <v>573</v>
      </c>
      <c r="C29" s="290">
        <v>12</v>
      </c>
      <c r="D29" s="290">
        <v>4</v>
      </c>
      <c r="E29" s="290">
        <v>16</v>
      </c>
      <c r="F29" s="290">
        <v>0</v>
      </c>
      <c r="G29" s="290">
        <v>0</v>
      </c>
      <c r="H29" s="290">
        <v>0</v>
      </c>
      <c r="I29" s="290">
        <v>57</v>
      </c>
      <c r="J29" s="290">
        <v>28</v>
      </c>
      <c r="K29" s="290">
        <v>85</v>
      </c>
      <c r="L29" s="290">
        <v>207</v>
      </c>
      <c r="M29" s="290">
        <v>93</v>
      </c>
      <c r="N29" s="290">
        <v>300</v>
      </c>
      <c r="O29" s="290">
        <v>0</v>
      </c>
      <c r="P29" s="290">
        <v>0</v>
      </c>
      <c r="Q29" s="290">
        <v>0</v>
      </c>
      <c r="R29" s="290">
        <v>4</v>
      </c>
      <c r="S29" s="290">
        <v>3</v>
      </c>
      <c r="T29" s="290">
        <v>7</v>
      </c>
      <c r="U29" s="290">
        <v>0</v>
      </c>
      <c r="V29" s="290">
        <v>0</v>
      </c>
      <c r="W29" s="290">
        <v>0</v>
      </c>
      <c r="X29" s="290">
        <v>4</v>
      </c>
      <c r="Y29" s="290">
        <v>1</v>
      </c>
      <c r="Z29" s="290">
        <v>5</v>
      </c>
      <c r="AA29" s="290">
        <v>284</v>
      </c>
      <c r="AB29" s="290">
        <v>129</v>
      </c>
      <c r="AC29" s="646">
        <v>413</v>
      </c>
    </row>
    <row r="30" spans="1:29" ht="15">
      <c r="A30" s="294">
        <v>26</v>
      </c>
      <c r="B30" s="289" t="s">
        <v>588</v>
      </c>
      <c r="C30" s="290">
        <v>0</v>
      </c>
      <c r="D30" s="290">
        <v>0</v>
      </c>
      <c r="E30" s="290">
        <v>0</v>
      </c>
      <c r="F30" s="290">
        <v>0</v>
      </c>
      <c r="G30" s="290">
        <v>0</v>
      </c>
      <c r="H30" s="290">
        <v>0</v>
      </c>
      <c r="I30" s="290">
        <v>5</v>
      </c>
      <c r="J30" s="290">
        <v>5</v>
      </c>
      <c r="K30" s="290">
        <v>10</v>
      </c>
      <c r="L30" s="290">
        <v>230</v>
      </c>
      <c r="M30" s="290">
        <v>153</v>
      </c>
      <c r="N30" s="290">
        <v>383</v>
      </c>
      <c r="O30" s="290">
        <v>1</v>
      </c>
      <c r="P30" s="290">
        <v>0</v>
      </c>
      <c r="Q30" s="290">
        <v>1</v>
      </c>
      <c r="R30" s="290">
        <v>0</v>
      </c>
      <c r="S30" s="290">
        <v>0</v>
      </c>
      <c r="T30" s="290">
        <v>0</v>
      </c>
      <c r="U30" s="290">
        <v>0</v>
      </c>
      <c r="V30" s="290">
        <v>0</v>
      </c>
      <c r="W30" s="290">
        <v>0</v>
      </c>
      <c r="X30" s="290">
        <v>0</v>
      </c>
      <c r="Y30" s="290">
        <v>0</v>
      </c>
      <c r="Z30" s="290">
        <v>0</v>
      </c>
      <c r="AA30" s="290">
        <v>236</v>
      </c>
      <c r="AB30" s="290">
        <v>158</v>
      </c>
      <c r="AC30" s="646">
        <v>394</v>
      </c>
    </row>
    <row r="31" spans="1:29" ht="15">
      <c r="A31" s="294">
        <v>27</v>
      </c>
      <c r="B31" s="289" t="s">
        <v>607</v>
      </c>
      <c r="C31" s="290">
        <v>3</v>
      </c>
      <c r="D31" s="290">
        <v>1</v>
      </c>
      <c r="E31" s="290">
        <v>4</v>
      </c>
      <c r="F31" s="290">
        <v>0</v>
      </c>
      <c r="G31" s="290">
        <v>0</v>
      </c>
      <c r="H31" s="290">
        <v>0</v>
      </c>
      <c r="I31" s="290">
        <v>9</v>
      </c>
      <c r="J31" s="290">
        <v>14</v>
      </c>
      <c r="K31" s="290">
        <v>23</v>
      </c>
      <c r="L31" s="290">
        <v>110</v>
      </c>
      <c r="M31" s="290">
        <v>243</v>
      </c>
      <c r="N31" s="290">
        <v>353</v>
      </c>
      <c r="O31" s="290">
        <v>0</v>
      </c>
      <c r="P31" s="290">
        <v>1</v>
      </c>
      <c r="Q31" s="290">
        <v>1</v>
      </c>
      <c r="R31" s="290">
        <v>0</v>
      </c>
      <c r="S31" s="290">
        <v>0</v>
      </c>
      <c r="T31" s="290">
        <v>0</v>
      </c>
      <c r="U31" s="290">
        <v>0</v>
      </c>
      <c r="V31" s="290">
        <v>0</v>
      </c>
      <c r="W31" s="290">
        <v>0</v>
      </c>
      <c r="X31" s="290">
        <v>1</v>
      </c>
      <c r="Y31" s="290">
        <v>2</v>
      </c>
      <c r="Z31" s="290">
        <v>3</v>
      </c>
      <c r="AA31" s="290">
        <v>123</v>
      </c>
      <c r="AB31" s="290">
        <v>261</v>
      </c>
      <c r="AC31" s="646">
        <v>384</v>
      </c>
    </row>
    <row r="32" spans="1:29" ht="15">
      <c r="A32" s="294">
        <v>28</v>
      </c>
      <c r="B32" s="289" t="s">
        <v>571</v>
      </c>
      <c r="C32" s="290">
        <v>0</v>
      </c>
      <c r="D32" s="290">
        <v>2</v>
      </c>
      <c r="E32" s="290">
        <v>2</v>
      </c>
      <c r="F32" s="290">
        <v>5</v>
      </c>
      <c r="G32" s="290">
        <v>4</v>
      </c>
      <c r="H32" s="290">
        <v>9</v>
      </c>
      <c r="I32" s="290">
        <v>35</v>
      </c>
      <c r="J32" s="290">
        <v>50</v>
      </c>
      <c r="K32" s="290">
        <v>85</v>
      </c>
      <c r="L32" s="290">
        <v>117</v>
      </c>
      <c r="M32" s="290">
        <v>158</v>
      </c>
      <c r="N32" s="290">
        <v>275</v>
      </c>
      <c r="O32" s="290">
        <v>0</v>
      </c>
      <c r="P32" s="290">
        <v>1</v>
      </c>
      <c r="Q32" s="290">
        <v>1</v>
      </c>
      <c r="R32" s="290">
        <v>3</v>
      </c>
      <c r="S32" s="290">
        <v>6</v>
      </c>
      <c r="T32" s="290">
        <v>9</v>
      </c>
      <c r="U32" s="290">
        <v>0</v>
      </c>
      <c r="V32" s="290">
        <v>0</v>
      </c>
      <c r="W32" s="290">
        <v>0</v>
      </c>
      <c r="X32" s="290">
        <v>1</v>
      </c>
      <c r="Y32" s="290">
        <v>2</v>
      </c>
      <c r="Z32" s="290">
        <v>3</v>
      </c>
      <c r="AA32" s="290">
        <v>161</v>
      </c>
      <c r="AB32" s="290">
        <v>223</v>
      </c>
      <c r="AC32" s="646">
        <v>384</v>
      </c>
    </row>
    <row r="33" spans="1:29" ht="15">
      <c r="A33" s="294">
        <v>29</v>
      </c>
      <c r="B33" s="289" t="s">
        <v>582</v>
      </c>
      <c r="C33" s="290">
        <v>91</v>
      </c>
      <c r="D33" s="290">
        <v>4</v>
      </c>
      <c r="E33" s="290">
        <v>95</v>
      </c>
      <c r="F33" s="290">
        <v>10</v>
      </c>
      <c r="G33" s="290">
        <v>0</v>
      </c>
      <c r="H33" s="290">
        <v>10</v>
      </c>
      <c r="I33" s="290">
        <v>85</v>
      </c>
      <c r="J33" s="290">
        <v>10</v>
      </c>
      <c r="K33" s="290">
        <v>95</v>
      </c>
      <c r="L33" s="290">
        <v>108</v>
      </c>
      <c r="M33" s="290">
        <v>17</v>
      </c>
      <c r="N33" s="290">
        <v>125</v>
      </c>
      <c r="O33" s="290">
        <v>0</v>
      </c>
      <c r="P33" s="290">
        <v>0</v>
      </c>
      <c r="Q33" s="290">
        <v>0</v>
      </c>
      <c r="R33" s="290">
        <v>40</v>
      </c>
      <c r="S33" s="290">
        <v>0</v>
      </c>
      <c r="T33" s="290">
        <v>40</v>
      </c>
      <c r="U33" s="290">
        <v>2</v>
      </c>
      <c r="V33" s="290">
        <v>0</v>
      </c>
      <c r="W33" s="290">
        <v>2</v>
      </c>
      <c r="X33" s="290">
        <v>0</v>
      </c>
      <c r="Y33" s="290">
        <v>0</v>
      </c>
      <c r="Z33" s="290">
        <v>0</v>
      </c>
      <c r="AA33" s="290">
        <v>336</v>
      </c>
      <c r="AB33" s="290">
        <v>31</v>
      </c>
      <c r="AC33" s="646">
        <v>367</v>
      </c>
    </row>
    <row r="34" spans="1:29" ht="15">
      <c r="A34" s="294">
        <v>30</v>
      </c>
      <c r="B34" s="289" t="s">
        <v>600</v>
      </c>
      <c r="C34" s="290">
        <v>21</v>
      </c>
      <c r="D34" s="290">
        <v>5</v>
      </c>
      <c r="E34" s="290">
        <v>26</v>
      </c>
      <c r="F34" s="290">
        <v>0</v>
      </c>
      <c r="G34" s="290">
        <v>0</v>
      </c>
      <c r="H34" s="290">
        <v>0</v>
      </c>
      <c r="I34" s="290">
        <v>76</v>
      </c>
      <c r="J34" s="290">
        <v>11</v>
      </c>
      <c r="K34" s="290">
        <v>87</v>
      </c>
      <c r="L34" s="290">
        <v>169</v>
      </c>
      <c r="M34" s="290">
        <v>63</v>
      </c>
      <c r="N34" s="290">
        <v>232</v>
      </c>
      <c r="O34" s="290">
        <v>0</v>
      </c>
      <c r="P34" s="290">
        <v>0</v>
      </c>
      <c r="Q34" s="290">
        <v>0</v>
      </c>
      <c r="R34" s="290">
        <v>0</v>
      </c>
      <c r="S34" s="290">
        <v>2</v>
      </c>
      <c r="T34" s="290">
        <v>2</v>
      </c>
      <c r="U34" s="290">
        <v>0</v>
      </c>
      <c r="V34" s="290">
        <v>0</v>
      </c>
      <c r="W34" s="290">
        <v>0</v>
      </c>
      <c r="X34" s="290">
        <v>3</v>
      </c>
      <c r="Y34" s="290">
        <v>9</v>
      </c>
      <c r="Z34" s="290">
        <v>12</v>
      </c>
      <c r="AA34" s="290">
        <v>269</v>
      </c>
      <c r="AB34" s="290">
        <v>90</v>
      </c>
      <c r="AC34" s="646">
        <v>359</v>
      </c>
    </row>
    <row r="35" spans="1:29" ht="15">
      <c r="A35" s="294">
        <v>31</v>
      </c>
      <c r="B35" s="289" t="s">
        <v>576</v>
      </c>
      <c r="C35" s="290">
        <v>28</v>
      </c>
      <c r="D35" s="290">
        <v>9</v>
      </c>
      <c r="E35" s="290">
        <v>37</v>
      </c>
      <c r="F35" s="290">
        <v>3</v>
      </c>
      <c r="G35" s="290">
        <v>0</v>
      </c>
      <c r="H35" s="290">
        <v>3</v>
      </c>
      <c r="I35" s="290">
        <v>36</v>
      </c>
      <c r="J35" s="290">
        <v>29</v>
      </c>
      <c r="K35" s="290">
        <v>65</v>
      </c>
      <c r="L35" s="290">
        <v>135</v>
      </c>
      <c r="M35" s="290">
        <v>88</v>
      </c>
      <c r="N35" s="290">
        <v>223</v>
      </c>
      <c r="O35" s="290">
        <v>0</v>
      </c>
      <c r="P35" s="290">
        <v>0</v>
      </c>
      <c r="Q35" s="290">
        <v>0</v>
      </c>
      <c r="R35" s="290">
        <v>6</v>
      </c>
      <c r="S35" s="290">
        <v>5</v>
      </c>
      <c r="T35" s="290">
        <v>11</v>
      </c>
      <c r="U35" s="290">
        <v>3</v>
      </c>
      <c r="V35" s="290">
        <v>0</v>
      </c>
      <c r="W35" s="290">
        <v>3</v>
      </c>
      <c r="X35" s="290">
        <v>0</v>
      </c>
      <c r="Y35" s="290">
        <v>0</v>
      </c>
      <c r="Z35" s="290">
        <v>0</v>
      </c>
      <c r="AA35" s="290">
        <v>211</v>
      </c>
      <c r="AB35" s="290">
        <v>131</v>
      </c>
      <c r="AC35" s="646">
        <v>342</v>
      </c>
    </row>
    <row r="36" spans="1:29" ht="15">
      <c r="A36" s="294">
        <v>32</v>
      </c>
      <c r="B36" s="289" t="s">
        <v>587</v>
      </c>
      <c r="C36" s="290">
        <v>2</v>
      </c>
      <c r="D36" s="290">
        <v>1</v>
      </c>
      <c r="E36" s="290">
        <v>3</v>
      </c>
      <c r="F36" s="290">
        <v>0</v>
      </c>
      <c r="G36" s="290">
        <v>0</v>
      </c>
      <c r="H36" s="290">
        <v>0</v>
      </c>
      <c r="I36" s="290">
        <v>42</v>
      </c>
      <c r="J36" s="290">
        <v>25</v>
      </c>
      <c r="K36" s="290">
        <v>67</v>
      </c>
      <c r="L36" s="290">
        <v>166</v>
      </c>
      <c r="M36" s="290">
        <v>82</v>
      </c>
      <c r="N36" s="290">
        <v>248</v>
      </c>
      <c r="O36" s="290">
        <v>0</v>
      </c>
      <c r="P36" s="290">
        <v>0</v>
      </c>
      <c r="Q36" s="290">
        <v>0</v>
      </c>
      <c r="R36" s="290">
        <v>4</v>
      </c>
      <c r="S36" s="290">
        <v>1</v>
      </c>
      <c r="T36" s="290">
        <v>5</v>
      </c>
      <c r="U36" s="290">
        <v>0</v>
      </c>
      <c r="V36" s="290">
        <v>0</v>
      </c>
      <c r="W36" s="290">
        <v>0</v>
      </c>
      <c r="X36" s="290">
        <v>2</v>
      </c>
      <c r="Y36" s="290">
        <v>1</v>
      </c>
      <c r="Z36" s="290">
        <v>3</v>
      </c>
      <c r="AA36" s="290">
        <v>216</v>
      </c>
      <c r="AB36" s="290">
        <v>110</v>
      </c>
      <c r="AC36" s="646">
        <v>326</v>
      </c>
    </row>
    <row r="37" spans="1:29" ht="15">
      <c r="A37" s="294">
        <v>33</v>
      </c>
      <c r="B37" s="289" t="s">
        <v>608</v>
      </c>
      <c r="C37" s="290">
        <v>3</v>
      </c>
      <c r="D37" s="290">
        <v>2</v>
      </c>
      <c r="E37" s="290">
        <v>5</v>
      </c>
      <c r="F37" s="290">
        <v>0</v>
      </c>
      <c r="G37" s="290">
        <v>0</v>
      </c>
      <c r="H37" s="290">
        <v>0</v>
      </c>
      <c r="I37" s="290">
        <v>53</v>
      </c>
      <c r="J37" s="290">
        <v>37</v>
      </c>
      <c r="K37" s="290">
        <v>90</v>
      </c>
      <c r="L37" s="290">
        <v>111</v>
      </c>
      <c r="M37" s="290">
        <v>77</v>
      </c>
      <c r="N37" s="290">
        <v>188</v>
      </c>
      <c r="O37" s="290">
        <v>0</v>
      </c>
      <c r="P37" s="290">
        <v>0</v>
      </c>
      <c r="Q37" s="290">
        <v>0</v>
      </c>
      <c r="R37" s="290">
        <v>0</v>
      </c>
      <c r="S37" s="290">
        <v>2</v>
      </c>
      <c r="T37" s="290">
        <v>2</v>
      </c>
      <c r="U37" s="290">
        <v>0</v>
      </c>
      <c r="V37" s="290">
        <v>0</v>
      </c>
      <c r="W37" s="290">
        <v>0</v>
      </c>
      <c r="X37" s="290">
        <v>6</v>
      </c>
      <c r="Y37" s="290">
        <v>9</v>
      </c>
      <c r="Z37" s="290">
        <v>15</v>
      </c>
      <c r="AA37" s="290">
        <v>173</v>
      </c>
      <c r="AB37" s="290">
        <v>127</v>
      </c>
      <c r="AC37" s="646">
        <v>300</v>
      </c>
    </row>
    <row r="38" spans="1:29" ht="15">
      <c r="A38" s="294">
        <v>34</v>
      </c>
      <c r="B38" s="289" t="s">
        <v>591</v>
      </c>
      <c r="C38" s="290">
        <v>3</v>
      </c>
      <c r="D38" s="290">
        <v>4</v>
      </c>
      <c r="E38" s="290">
        <v>7</v>
      </c>
      <c r="F38" s="290">
        <v>0</v>
      </c>
      <c r="G38" s="290">
        <v>0</v>
      </c>
      <c r="H38" s="290">
        <v>0</v>
      </c>
      <c r="I38" s="290">
        <v>17</v>
      </c>
      <c r="J38" s="290">
        <v>19</v>
      </c>
      <c r="K38" s="290">
        <v>36</v>
      </c>
      <c r="L38" s="290">
        <v>86</v>
      </c>
      <c r="M38" s="290">
        <v>103</v>
      </c>
      <c r="N38" s="290">
        <v>189</v>
      </c>
      <c r="O38" s="290">
        <v>0</v>
      </c>
      <c r="P38" s="290">
        <v>2</v>
      </c>
      <c r="Q38" s="290">
        <v>2</v>
      </c>
      <c r="R38" s="290">
        <v>5</v>
      </c>
      <c r="S38" s="290">
        <v>0</v>
      </c>
      <c r="T38" s="290">
        <v>5</v>
      </c>
      <c r="U38" s="290">
        <v>0</v>
      </c>
      <c r="V38" s="290">
        <v>0</v>
      </c>
      <c r="W38" s="290">
        <v>0</v>
      </c>
      <c r="X38" s="290">
        <v>0</v>
      </c>
      <c r="Y38" s="290">
        <v>2</v>
      </c>
      <c r="Z38" s="290">
        <v>2</v>
      </c>
      <c r="AA38" s="290">
        <v>111</v>
      </c>
      <c r="AB38" s="290">
        <v>130</v>
      </c>
      <c r="AC38" s="646">
        <v>241</v>
      </c>
    </row>
    <row r="39" spans="1:29" ht="15">
      <c r="A39" s="294">
        <v>35</v>
      </c>
      <c r="B39" s="289" t="s">
        <v>557</v>
      </c>
      <c r="C39" s="290">
        <v>4</v>
      </c>
      <c r="D39" s="290">
        <v>1</v>
      </c>
      <c r="E39" s="290">
        <v>5</v>
      </c>
      <c r="F39" s="290">
        <v>0</v>
      </c>
      <c r="G39" s="290">
        <v>0</v>
      </c>
      <c r="H39" s="290">
        <v>0</v>
      </c>
      <c r="I39" s="290">
        <v>41</v>
      </c>
      <c r="J39" s="290">
        <v>20</v>
      </c>
      <c r="K39" s="290">
        <v>61</v>
      </c>
      <c r="L39" s="290">
        <v>92</v>
      </c>
      <c r="M39" s="290">
        <v>73</v>
      </c>
      <c r="N39" s="290">
        <v>165</v>
      </c>
      <c r="O39" s="290">
        <v>1</v>
      </c>
      <c r="P39" s="290">
        <v>0</v>
      </c>
      <c r="Q39" s="290">
        <v>1</v>
      </c>
      <c r="R39" s="290">
        <v>0</v>
      </c>
      <c r="S39" s="290">
        <v>0</v>
      </c>
      <c r="T39" s="290">
        <v>0</v>
      </c>
      <c r="U39" s="290">
        <v>5</v>
      </c>
      <c r="V39" s="290">
        <v>0</v>
      </c>
      <c r="W39" s="290">
        <v>5</v>
      </c>
      <c r="X39" s="290">
        <v>1</v>
      </c>
      <c r="Y39" s="290">
        <v>0</v>
      </c>
      <c r="Z39" s="290">
        <v>1</v>
      </c>
      <c r="AA39" s="290">
        <v>144</v>
      </c>
      <c r="AB39" s="290">
        <v>94</v>
      </c>
      <c r="AC39" s="646">
        <v>238</v>
      </c>
    </row>
    <row r="40" spans="1:29" ht="15">
      <c r="A40" s="294">
        <v>36</v>
      </c>
      <c r="B40" s="289" t="s">
        <v>601</v>
      </c>
      <c r="C40" s="290">
        <v>2</v>
      </c>
      <c r="D40" s="290">
        <v>0</v>
      </c>
      <c r="E40" s="290">
        <v>2</v>
      </c>
      <c r="F40" s="290">
        <v>0</v>
      </c>
      <c r="G40" s="290">
        <v>0</v>
      </c>
      <c r="H40" s="290">
        <v>0</v>
      </c>
      <c r="I40" s="290">
        <v>38</v>
      </c>
      <c r="J40" s="290">
        <v>12</v>
      </c>
      <c r="K40" s="290">
        <v>50</v>
      </c>
      <c r="L40" s="290">
        <v>136</v>
      </c>
      <c r="M40" s="290">
        <v>34</v>
      </c>
      <c r="N40" s="290">
        <v>170</v>
      </c>
      <c r="O40" s="290">
        <v>1</v>
      </c>
      <c r="P40" s="290">
        <v>0</v>
      </c>
      <c r="Q40" s="290">
        <v>1</v>
      </c>
      <c r="R40" s="290">
        <v>0</v>
      </c>
      <c r="S40" s="290">
        <v>0</v>
      </c>
      <c r="T40" s="290">
        <v>0</v>
      </c>
      <c r="U40" s="290">
        <v>0</v>
      </c>
      <c r="V40" s="290">
        <v>0</v>
      </c>
      <c r="W40" s="290">
        <v>0</v>
      </c>
      <c r="X40" s="290">
        <v>2</v>
      </c>
      <c r="Y40" s="290">
        <v>0</v>
      </c>
      <c r="Z40" s="290">
        <v>2</v>
      </c>
      <c r="AA40" s="290">
        <v>179</v>
      </c>
      <c r="AB40" s="290">
        <v>46</v>
      </c>
      <c r="AC40" s="646">
        <v>225</v>
      </c>
    </row>
    <row r="41" spans="1:29" ht="15">
      <c r="A41" s="294">
        <v>37</v>
      </c>
      <c r="B41" s="289" t="s">
        <v>596</v>
      </c>
      <c r="C41" s="290">
        <v>1</v>
      </c>
      <c r="D41" s="290">
        <v>0</v>
      </c>
      <c r="E41" s="290">
        <v>1</v>
      </c>
      <c r="F41" s="290">
        <v>0</v>
      </c>
      <c r="G41" s="290">
        <v>0</v>
      </c>
      <c r="H41" s="290">
        <v>0</v>
      </c>
      <c r="I41" s="290">
        <v>1</v>
      </c>
      <c r="J41" s="290">
        <v>8</v>
      </c>
      <c r="K41" s="290">
        <v>9</v>
      </c>
      <c r="L41" s="290">
        <v>139</v>
      </c>
      <c r="M41" s="290">
        <v>56</v>
      </c>
      <c r="N41" s="290">
        <v>195</v>
      </c>
      <c r="O41" s="290">
        <v>0</v>
      </c>
      <c r="P41" s="290">
        <v>0</v>
      </c>
      <c r="Q41" s="290">
        <v>0</v>
      </c>
      <c r="R41" s="290">
        <v>0</v>
      </c>
      <c r="S41" s="290">
        <v>0</v>
      </c>
      <c r="T41" s="290">
        <v>0</v>
      </c>
      <c r="U41" s="290">
        <v>0</v>
      </c>
      <c r="V41" s="290">
        <v>0</v>
      </c>
      <c r="W41" s="290">
        <v>0</v>
      </c>
      <c r="X41" s="290">
        <v>0</v>
      </c>
      <c r="Y41" s="290">
        <v>0</v>
      </c>
      <c r="Z41" s="290">
        <v>0</v>
      </c>
      <c r="AA41" s="290">
        <v>141</v>
      </c>
      <c r="AB41" s="290">
        <v>64</v>
      </c>
      <c r="AC41" s="646">
        <v>205</v>
      </c>
    </row>
    <row r="42" spans="1:29" ht="15">
      <c r="A42" s="294">
        <v>38</v>
      </c>
      <c r="B42" s="289" t="s">
        <v>597</v>
      </c>
      <c r="C42" s="290">
        <v>5</v>
      </c>
      <c r="D42" s="290">
        <v>4</v>
      </c>
      <c r="E42" s="290">
        <v>9</v>
      </c>
      <c r="F42" s="290">
        <v>0</v>
      </c>
      <c r="G42" s="290">
        <v>0</v>
      </c>
      <c r="H42" s="290">
        <v>0</v>
      </c>
      <c r="I42" s="290">
        <v>5</v>
      </c>
      <c r="J42" s="290">
        <v>3</v>
      </c>
      <c r="K42" s="290">
        <v>8</v>
      </c>
      <c r="L42" s="290">
        <v>67</v>
      </c>
      <c r="M42" s="290">
        <v>71</v>
      </c>
      <c r="N42" s="290">
        <v>138</v>
      </c>
      <c r="O42" s="290">
        <v>0</v>
      </c>
      <c r="P42" s="290">
        <v>1</v>
      </c>
      <c r="Q42" s="290">
        <v>1</v>
      </c>
      <c r="R42" s="290">
        <v>0</v>
      </c>
      <c r="S42" s="290">
        <v>1</v>
      </c>
      <c r="T42" s="290">
        <v>1</v>
      </c>
      <c r="U42" s="290">
        <v>0</v>
      </c>
      <c r="V42" s="290">
        <v>0</v>
      </c>
      <c r="W42" s="290">
        <v>0</v>
      </c>
      <c r="X42" s="290">
        <v>8</v>
      </c>
      <c r="Y42" s="290">
        <v>8</v>
      </c>
      <c r="Z42" s="290">
        <v>16</v>
      </c>
      <c r="AA42" s="290">
        <v>85</v>
      </c>
      <c r="AB42" s="290">
        <v>88</v>
      </c>
      <c r="AC42" s="646">
        <v>173</v>
      </c>
    </row>
    <row r="43" spans="1:29" ht="15">
      <c r="A43" s="294">
        <v>39</v>
      </c>
      <c r="B43" s="289" t="s">
        <v>598</v>
      </c>
      <c r="C43" s="290">
        <v>6</v>
      </c>
      <c r="D43" s="290">
        <v>1</v>
      </c>
      <c r="E43" s="290">
        <v>7</v>
      </c>
      <c r="F43" s="290">
        <v>1</v>
      </c>
      <c r="G43" s="290">
        <v>0</v>
      </c>
      <c r="H43" s="290">
        <v>1</v>
      </c>
      <c r="I43" s="290">
        <v>12</v>
      </c>
      <c r="J43" s="290">
        <v>5</v>
      </c>
      <c r="K43" s="290">
        <v>17</v>
      </c>
      <c r="L43" s="290">
        <v>74</v>
      </c>
      <c r="M43" s="290">
        <v>60</v>
      </c>
      <c r="N43" s="290">
        <v>134</v>
      </c>
      <c r="O43" s="290">
        <v>0</v>
      </c>
      <c r="P43" s="290">
        <v>0</v>
      </c>
      <c r="Q43" s="290">
        <v>0</v>
      </c>
      <c r="R43" s="290">
        <v>0</v>
      </c>
      <c r="S43" s="290">
        <v>2</v>
      </c>
      <c r="T43" s="290">
        <v>2</v>
      </c>
      <c r="U43" s="290">
        <v>1</v>
      </c>
      <c r="V43" s="290">
        <v>6</v>
      </c>
      <c r="W43" s="290">
        <v>7</v>
      </c>
      <c r="X43" s="290">
        <v>2</v>
      </c>
      <c r="Y43" s="290">
        <v>1</v>
      </c>
      <c r="Z43" s="290">
        <v>3</v>
      </c>
      <c r="AA43" s="290">
        <v>96</v>
      </c>
      <c r="AB43" s="290">
        <v>75</v>
      </c>
      <c r="AC43" s="646">
        <v>171</v>
      </c>
    </row>
    <row r="44" spans="1:29" ht="15">
      <c r="A44" s="294">
        <v>40</v>
      </c>
      <c r="B44" s="289" t="s">
        <v>570</v>
      </c>
      <c r="C44" s="290">
        <v>1</v>
      </c>
      <c r="D44" s="290">
        <v>0</v>
      </c>
      <c r="E44" s="290">
        <v>1</v>
      </c>
      <c r="F44" s="290">
        <v>0</v>
      </c>
      <c r="G44" s="290">
        <v>0</v>
      </c>
      <c r="H44" s="290">
        <v>0</v>
      </c>
      <c r="I44" s="290">
        <v>18</v>
      </c>
      <c r="J44" s="290">
        <v>5</v>
      </c>
      <c r="K44" s="290">
        <v>23</v>
      </c>
      <c r="L44" s="290">
        <v>105</v>
      </c>
      <c r="M44" s="290">
        <v>35</v>
      </c>
      <c r="N44" s="290">
        <v>140</v>
      </c>
      <c r="O44" s="290">
        <v>0</v>
      </c>
      <c r="P44" s="290">
        <v>1</v>
      </c>
      <c r="Q44" s="290">
        <v>1</v>
      </c>
      <c r="R44" s="290">
        <v>0</v>
      </c>
      <c r="S44" s="290">
        <v>0</v>
      </c>
      <c r="T44" s="290">
        <v>0</v>
      </c>
      <c r="U44" s="290">
        <v>1</v>
      </c>
      <c r="V44" s="290">
        <v>0</v>
      </c>
      <c r="W44" s="290">
        <v>1</v>
      </c>
      <c r="X44" s="290">
        <v>2</v>
      </c>
      <c r="Y44" s="290">
        <v>1</v>
      </c>
      <c r="Z44" s="290">
        <v>3</v>
      </c>
      <c r="AA44" s="290">
        <v>127</v>
      </c>
      <c r="AB44" s="290">
        <v>42</v>
      </c>
      <c r="AC44" s="646">
        <v>169</v>
      </c>
    </row>
    <row r="45" spans="1:29" ht="15">
      <c r="A45" s="294">
        <v>41</v>
      </c>
      <c r="B45" s="289" t="s">
        <v>592</v>
      </c>
      <c r="C45" s="290">
        <v>1</v>
      </c>
      <c r="D45" s="290">
        <v>1</v>
      </c>
      <c r="E45" s="290">
        <v>2</v>
      </c>
      <c r="F45" s="290">
        <v>0</v>
      </c>
      <c r="G45" s="290">
        <v>0</v>
      </c>
      <c r="H45" s="290">
        <v>0</v>
      </c>
      <c r="I45" s="290">
        <v>21</v>
      </c>
      <c r="J45" s="290">
        <v>12</v>
      </c>
      <c r="K45" s="290">
        <v>33</v>
      </c>
      <c r="L45" s="290">
        <v>55</v>
      </c>
      <c r="M45" s="290">
        <v>69</v>
      </c>
      <c r="N45" s="290">
        <v>124</v>
      </c>
      <c r="O45" s="290">
        <v>0</v>
      </c>
      <c r="P45" s="290">
        <v>2</v>
      </c>
      <c r="Q45" s="290">
        <v>2</v>
      </c>
      <c r="R45" s="290">
        <v>0</v>
      </c>
      <c r="S45" s="290">
        <v>0</v>
      </c>
      <c r="T45" s="290">
        <v>0</v>
      </c>
      <c r="U45" s="290">
        <v>0</v>
      </c>
      <c r="V45" s="290">
        <v>0</v>
      </c>
      <c r="W45" s="290">
        <v>0</v>
      </c>
      <c r="X45" s="290">
        <v>0</v>
      </c>
      <c r="Y45" s="290">
        <v>0</v>
      </c>
      <c r="Z45" s="290">
        <v>0</v>
      </c>
      <c r="AA45" s="290">
        <v>77</v>
      </c>
      <c r="AB45" s="290">
        <v>84</v>
      </c>
      <c r="AC45" s="646">
        <v>161</v>
      </c>
    </row>
    <row r="46" spans="1:29" ht="15">
      <c r="A46" s="294">
        <v>42</v>
      </c>
      <c r="B46" s="289" t="s">
        <v>593</v>
      </c>
      <c r="C46" s="290">
        <v>0</v>
      </c>
      <c r="D46" s="290">
        <v>0</v>
      </c>
      <c r="E46" s="290">
        <v>0</v>
      </c>
      <c r="F46" s="290">
        <v>0</v>
      </c>
      <c r="G46" s="290">
        <v>0</v>
      </c>
      <c r="H46" s="290">
        <v>0</v>
      </c>
      <c r="I46" s="290">
        <v>8</v>
      </c>
      <c r="J46" s="290">
        <v>15</v>
      </c>
      <c r="K46" s="290">
        <v>23</v>
      </c>
      <c r="L46" s="290">
        <v>65</v>
      </c>
      <c r="M46" s="290">
        <v>66</v>
      </c>
      <c r="N46" s="290">
        <v>131</v>
      </c>
      <c r="O46" s="290">
        <v>0</v>
      </c>
      <c r="P46" s="290">
        <v>0</v>
      </c>
      <c r="Q46" s="290">
        <v>0</v>
      </c>
      <c r="R46" s="290">
        <v>4</v>
      </c>
      <c r="S46" s="290">
        <v>0</v>
      </c>
      <c r="T46" s="290">
        <v>4</v>
      </c>
      <c r="U46" s="290">
        <v>0</v>
      </c>
      <c r="V46" s="290">
        <v>0</v>
      </c>
      <c r="W46" s="290">
        <v>0</v>
      </c>
      <c r="X46" s="290">
        <v>0</v>
      </c>
      <c r="Y46" s="290">
        <v>1</v>
      </c>
      <c r="Z46" s="290">
        <v>1</v>
      </c>
      <c r="AA46" s="290">
        <v>77</v>
      </c>
      <c r="AB46" s="290">
        <v>82</v>
      </c>
      <c r="AC46" s="646">
        <v>159</v>
      </c>
    </row>
    <row r="47" spans="1:29" ht="15">
      <c r="A47" s="294">
        <v>43</v>
      </c>
      <c r="B47" s="289" t="s">
        <v>602</v>
      </c>
      <c r="C47" s="290">
        <v>0</v>
      </c>
      <c r="D47" s="290">
        <v>0</v>
      </c>
      <c r="E47" s="290">
        <v>0</v>
      </c>
      <c r="F47" s="290">
        <v>0</v>
      </c>
      <c r="G47" s="290">
        <v>0</v>
      </c>
      <c r="H47" s="290">
        <v>0</v>
      </c>
      <c r="I47" s="290">
        <v>7</v>
      </c>
      <c r="J47" s="290">
        <v>8</v>
      </c>
      <c r="K47" s="290">
        <v>15</v>
      </c>
      <c r="L47" s="290">
        <v>45</v>
      </c>
      <c r="M47" s="290">
        <v>81</v>
      </c>
      <c r="N47" s="290">
        <v>126</v>
      </c>
      <c r="O47" s="290">
        <v>0</v>
      </c>
      <c r="P47" s="290">
        <v>0</v>
      </c>
      <c r="Q47" s="290">
        <v>0</v>
      </c>
      <c r="R47" s="290">
        <v>0</v>
      </c>
      <c r="S47" s="290">
        <v>0</v>
      </c>
      <c r="T47" s="290">
        <v>0</v>
      </c>
      <c r="U47" s="290">
        <v>0</v>
      </c>
      <c r="V47" s="290">
        <v>0</v>
      </c>
      <c r="W47" s="290">
        <v>0</v>
      </c>
      <c r="X47" s="290">
        <v>0</v>
      </c>
      <c r="Y47" s="290">
        <v>0</v>
      </c>
      <c r="Z47" s="290">
        <v>0</v>
      </c>
      <c r="AA47" s="290">
        <v>52</v>
      </c>
      <c r="AB47" s="290">
        <v>89</v>
      </c>
      <c r="AC47" s="646">
        <v>141</v>
      </c>
    </row>
    <row r="48" spans="1:29" ht="15">
      <c r="A48" s="294">
        <v>44</v>
      </c>
      <c r="B48" s="289" t="s">
        <v>586</v>
      </c>
      <c r="C48" s="290">
        <v>14</v>
      </c>
      <c r="D48" s="290">
        <v>20</v>
      </c>
      <c r="E48" s="290">
        <v>34</v>
      </c>
      <c r="F48" s="290">
        <v>0</v>
      </c>
      <c r="G48" s="290">
        <v>0</v>
      </c>
      <c r="H48" s="290">
        <v>0</v>
      </c>
      <c r="I48" s="290">
        <v>11</v>
      </c>
      <c r="J48" s="290">
        <v>35</v>
      </c>
      <c r="K48" s="290">
        <v>46</v>
      </c>
      <c r="L48" s="290">
        <v>26</v>
      </c>
      <c r="M48" s="290">
        <v>21</v>
      </c>
      <c r="N48" s="290">
        <v>47</v>
      </c>
      <c r="O48" s="290">
        <v>1</v>
      </c>
      <c r="P48" s="290">
        <v>0</v>
      </c>
      <c r="Q48" s="290">
        <v>1</v>
      </c>
      <c r="R48" s="290">
        <v>0</v>
      </c>
      <c r="S48" s="290">
        <v>1</v>
      </c>
      <c r="T48" s="290">
        <v>1</v>
      </c>
      <c r="U48" s="290">
        <v>1</v>
      </c>
      <c r="V48" s="290">
        <v>1</v>
      </c>
      <c r="W48" s="290">
        <v>2</v>
      </c>
      <c r="X48" s="290">
        <v>0</v>
      </c>
      <c r="Y48" s="290">
        <v>0</v>
      </c>
      <c r="Z48" s="290">
        <v>0</v>
      </c>
      <c r="AA48" s="290">
        <v>53</v>
      </c>
      <c r="AB48" s="290">
        <v>78</v>
      </c>
      <c r="AC48" s="646">
        <v>131</v>
      </c>
    </row>
    <row r="49" spans="1:29" ht="15">
      <c r="A49" s="294">
        <v>45</v>
      </c>
      <c r="B49" s="289" t="s">
        <v>585</v>
      </c>
      <c r="C49" s="290">
        <v>3</v>
      </c>
      <c r="D49" s="290">
        <v>3</v>
      </c>
      <c r="E49" s="290">
        <v>6</v>
      </c>
      <c r="F49" s="290">
        <v>0</v>
      </c>
      <c r="G49" s="290">
        <v>0</v>
      </c>
      <c r="H49" s="290">
        <v>0</v>
      </c>
      <c r="I49" s="290">
        <v>16</v>
      </c>
      <c r="J49" s="290">
        <v>9</v>
      </c>
      <c r="K49" s="290">
        <v>25</v>
      </c>
      <c r="L49" s="290">
        <v>53</v>
      </c>
      <c r="M49" s="290">
        <v>46</v>
      </c>
      <c r="N49" s="290">
        <v>99</v>
      </c>
      <c r="O49" s="290">
        <v>0</v>
      </c>
      <c r="P49" s="290">
        <v>0</v>
      </c>
      <c r="Q49" s="290">
        <v>0</v>
      </c>
      <c r="R49" s="290">
        <v>0</v>
      </c>
      <c r="S49" s="290">
        <v>0</v>
      </c>
      <c r="T49" s="290">
        <v>0</v>
      </c>
      <c r="U49" s="290">
        <v>0</v>
      </c>
      <c r="V49" s="290">
        <v>0</v>
      </c>
      <c r="W49" s="290">
        <v>0</v>
      </c>
      <c r="X49" s="290">
        <v>0</v>
      </c>
      <c r="Y49" s="290">
        <v>0</v>
      </c>
      <c r="Z49" s="290">
        <v>0</v>
      </c>
      <c r="AA49" s="290">
        <v>72</v>
      </c>
      <c r="AB49" s="290">
        <v>58</v>
      </c>
      <c r="AC49" s="646">
        <v>130</v>
      </c>
    </row>
    <row r="50" spans="1:29" ht="15">
      <c r="A50" s="294">
        <v>46</v>
      </c>
      <c r="B50" s="289" t="s">
        <v>595</v>
      </c>
      <c r="C50" s="290">
        <v>5</v>
      </c>
      <c r="D50" s="290">
        <v>8</v>
      </c>
      <c r="E50" s="290">
        <v>13</v>
      </c>
      <c r="F50" s="290">
        <v>0</v>
      </c>
      <c r="G50" s="290">
        <v>0</v>
      </c>
      <c r="H50" s="290">
        <v>0</v>
      </c>
      <c r="I50" s="290">
        <v>43</v>
      </c>
      <c r="J50" s="290">
        <v>25</v>
      </c>
      <c r="K50" s="290">
        <v>68</v>
      </c>
      <c r="L50" s="290">
        <v>29</v>
      </c>
      <c r="M50" s="290">
        <v>11</v>
      </c>
      <c r="N50" s="290">
        <v>40</v>
      </c>
      <c r="O50" s="290">
        <v>0</v>
      </c>
      <c r="P50" s="290">
        <v>0</v>
      </c>
      <c r="Q50" s="290">
        <v>0</v>
      </c>
      <c r="R50" s="290">
        <v>1</v>
      </c>
      <c r="S50" s="290">
        <v>0</v>
      </c>
      <c r="T50" s="290">
        <v>1</v>
      </c>
      <c r="U50" s="290">
        <v>0</v>
      </c>
      <c r="V50" s="290">
        <v>0</v>
      </c>
      <c r="W50" s="290">
        <v>0</v>
      </c>
      <c r="X50" s="290">
        <v>0</v>
      </c>
      <c r="Y50" s="290">
        <v>0</v>
      </c>
      <c r="Z50" s="290">
        <v>0</v>
      </c>
      <c r="AA50" s="290">
        <v>78</v>
      </c>
      <c r="AB50" s="290">
        <v>44</v>
      </c>
      <c r="AC50" s="646">
        <v>122</v>
      </c>
    </row>
    <row r="51" spans="1:29" ht="15">
      <c r="A51" s="294">
        <v>47</v>
      </c>
      <c r="B51" s="289" t="s">
        <v>604</v>
      </c>
      <c r="C51" s="290">
        <v>3</v>
      </c>
      <c r="D51" s="290">
        <v>0</v>
      </c>
      <c r="E51" s="290">
        <v>3</v>
      </c>
      <c r="F51" s="290">
        <v>0</v>
      </c>
      <c r="G51" s="290">
        <v>0</v>
      </c>
      <c r="H51" s="290">
        <v>0</v>
      </c>
      <c r="I51" s="290">
        <v>17</v>
      </c>
      <c r="J51" s="290">
        <v>11</v>
      </c>
      <c r="K51" s="290">
        <v>28</v>
      </c>
      <c r="L51" s="290">
        <v>67</v>
      </c>
      <c r="M51" s="290">
        <v>19</v>
      </c>
      <c r="N51" s="290">
        <v>86</v>
      </c>
      <c r="O51" s="290">
        <v>0</v>
      </c>
      <c r="P51" s="290">
        <v>1</v>
      </c>
      <c r="Q51" s="290">
        <v>1</v>
      </c>
      <c r="R51" s="290">
        <v>0</v>
      </c>
      <c r="S51" s="290">
        <v>0</v>
      </c>
      <c r="T51" s="290">
        <v>0</v>
      </c>
      <c r="U51" s="290">
        <v>0</v>
      </c>
      <c r="V51" s="290">
        <v>0</v>
      </c>
      <c r="W51" s="290">
        <v>0</v>
      </c>
      <c r="X51" s="290">
        <v>0</v>
      </c>
      <c r="Y51" s="290">
        <v>1</v>
      </c>
      <c r="Z51" s="290">
        <v>1</v>
      </c>
      <c r="AA51" s="290">
        <v>87</v>
      </c>
      <c r="AB51" s="290">
        <v>32</v>
      </c>
      <c r="AC51" s="646">
        <v>119</v>
      </c>
    </row>
    <row r="52" spans="1:29" ht="15">
      <c r="A52" s="294">
        <v>48</v>
      </c>
      <c r="B52" s="289" t="s">
        <v>610</v>
      </c>
      <c r="C52" s="290">
        <v>13</v>
      </c>
      <c r="D52" s="290">
        <v>4</v>
      </c>
      <c r="E52" s="290">
        <v>17</v>
      </c>
      <c r="F52" s="290">
        <v>0</v>
      </c>
      <c r="G52" s="290">
        <v>0</v>
      </c>
      <c r="H52" s="290">
        <v>0</v>
      </c>
      <c r="I52" s="290">
        <v>7</v>
      </c>
      <c r="J52" s="290">
        <v>7</v>
      </c>
      <c r="K52" s="290">
        <v>14</v>
      </c>
      <c r="L52" s="290">
        <v>74</v>
      </c>
      <c r="M52" s="290">
        <v>13</v>
      </c>
      <c r="N52" s="290">
        <v>87</v>
      </c>
      <c r="O52" s="290">
        <v>0</v>
      </c>
      <c r="P52" s="290">
        <v>0</v>
      </c>
      <c r="Q52" s="290">
        <v>0</v>
      </c>
      <c r="R52" s="290">
        <v>0</v>
      </c>
      <c r="S52" s="290">
        <v>0</v>
      </c>
      <c r="T52" s="290">
        <v>0</v>
      </c>
      <c r="U52" s="290">
        <v>0</v>
      </c>
      <c r="V52" s="290">
        <v>0</v>
      </c>
      <c r="W52" s="290">
        <v>0</v>
      </c>
      <c r="X52" s="290">
        <v>0</v>
      </c>
      <c r="Y52" s="290">
        <v>0</v>
      </c>
      <c r="Z52" s="290">
        <v>0</v>
      </c>
      <c r="AA52" s="290">
        <v>94</v>
      </c>
      <c r="AB52" s="290">
        <v>24</v>
      </c>
      <c r="AC52" s="646">
        <v>118</v>
      </c>
    </row>
    <row r="53" spans="1:29" ht="15">
      <c r="A53" s="294">
        <v>49</v>
      </c>
      <c r="B53" s="289" t="s">
        <v>624</v>
      </c>
      <c r="C53" s="290">
        <v>0</v>
      </c>
      <c r="D53" s="290">
        <v>2</v>
      </c>
      <c r="E53" s="290">
        <v>2</v>
      </c>
      <c r="F53" s="290">
        <v>0</v>
      </c>
      <c r="G53" s="290">
        <v>0</v>
      </c>
      <c r="H53" s="290">
        <v>0</v>
      </c>
      <c r="I53" s="290">
        <v>69</v>
      </c>
      <c r="J53" s="290">
        <v>18</v>
      </c>
      <c r="K53" s="290">
        <v>87</v>
      </c>
      <c r="L53" s="290">
        <v>12</v>
      </c>
      <c r="M53" s="290">
        <v>7</v>
      </c>
      <c r="N53" s="290">
        <v>19</v>
      </c>
      <c r="O53" s="290">
        <v>0</v>
      </c>
      <c r="P53" s="290">
        <v>0</v>
      </c>
      <c r="Q53" s="290">
        <v>0</v>
      </c>
      <c r="R53" s="290">
        <v>2</v>
      </c>
      <c r="S53" s="290">
        <v>5</v>
      </c>
      <c r="T53" s="290">
        <v>7</v>
      </c>
      <c r="U53" s="290">
        <v>1</v>
      </c>
      <c r="V53" s="290">
        <v>2</v>
      </c>
      <c r="W53" s="290">
        <v>3</v>
      </c>
      <c r="X53" s="290">
        <v>0</v>
      </c>
      <c r="Y53" s="290">
        <v>0</v>
      </c>
      <c r="Z53" s="290">
        <v>0</v>
      </c>
      <c r="AA53" s="290">
        <v>84</v>
      </c>
      <c r="AB53" s="290">
        <v>34</v>
      </c>
      <c r="AC53" s="646">
        <v>118</v>
      </c>
    </row>
    <row r="54" spans="1:29" ht="15">
      <c r="A54" s="294">
        <v>50</v>
      </c>
      <c r="B54" s="289" t="s">
        <v>603</v>
      </c>
      <c r="C54" s="290">
        <v>0</v>
      </c>
      <c r="D54" s="290">
        <v>0</v>
      </c>
      <c r="E54" s="290">
        <v>0</v>
      </c>
      <c r="F54" s="290">
        <v>0</v>
      </c>
      <c r="G54" s="290">
        <v>0</v>
      </c>
      <c r="H54" s="290">
        <v>0</v>
      </c>
      <c r="I54" s="290">
        <v>11</v>
      </c>
      <c r="J54" s="290">
        <v>12</v>
      </c>
      <c r="K54" s="290">
        <v>23</v>
      </c>
      <c r="L54" s="290">
        <v>60</v>
      </c>
      <c r="M54" s="290">
        <v>35</v>
      </c>
      <c r="N54" s="290">
        <v>95</v>
      </c>
      <c r="O54" s="290">
        <v>0</v>
      </c>
      <c r="P54" s="290">
        <v>0</v>
      </c>
      <c r="Q54" s="290">
        <v>0</v>
      </c>
      <c r="R54" s="290">
        <v>0</v>
      </c>
      <c r="S54" s="290">
        <v>0</v>
      </c>
      <c r="T54" s="290">
        <v>0</v>
      </c>
      <c r="U54" s="290">
        <v>0</v>
      </c>
      <c r="V54" s="290">
        <v>0</v>
      </c>
      <c r="W54" s="290">
        <v>0</v>
      </c>
      <c r="X54" s="290">
        <v>0</v>
      </c>
      <c r="Y54" s="290">
        <v>0</v>
      </c>
      <c r="Z54" s="290">
        <v>0</v>
      </c>
      <c r="AA54" s="290">
        <v>71</v>
      </c>
      <c r="AB54" s="290">
        <v>47</v>
      </c>
      <c r="AC54" s="646">
        <v>118</v>
      </c>
    </row>
    <row r="55" spans="1:29" ht="31.5" customHeight="1">
      <c r="A55" s="294">
        <v>51</v>
      </c>
      <c r="B55" s="289" t="s">
        <v>590</v>
      </c>
      <c r="C55" s="290">
        <v>3</v>
      </c>
      <c r="D55" s="290">
        <v>0</v>
      </c>
      <c r="E55" s="290">
        <v>3</v>
      </c>
      <c r="F55" s="290">
        <v>0</v>
      </c>
      <c r="G55" s="290">
        <v>0</v>
      </c>
      <c r="H55" s="290">
        <v>0</v>
      </c>
      <c r="I55" s="290">
        <v>8</v>
      </c>
      <c r="J55" s="290">
        <v>2</v>
      </c>
      <c r="K55" s="290">
        <v>10</v>
      </c>
      <c r="L55" s="290">
        <v>60</v>
      </c>
      <c r="M55" s="290">
        <v>32</v>
      </c>
      <c r="N55" s="290">
        <v>92</v>
      </c>
      <c r="O55" s="290">
        <v>0</v>
      </c>
      <c r="P55" s="290">
        <v>0</v>
      </c>
      <c r="Q55" s="290">
        <v>0</v>
      </c>
      <c r="R55" s="290">
        <v>1</v>
      </c>
      <c r="S55" s="290">
        <v>0</v>
      </c>
      <c r="T55" s="290">
        <v>1</v>
      </c>
      <c r="U55" s="290">
        <v>0</v>
      </c>
      <c r="V55" s="290">
        <v>0</v>
      </c>
      <c r="W55" s="290">
        <v>0</v>
      </c>
      <c r="X55" s="290">
        <v>0</v>
      </c>
      <c r="Y55" s="290">
        <v>1</v>
      </c>
      <c r="Z55" s="290">
        <v>1</v>
      </c>
      <c r="AA55" s="290">
        <v>72</v>
      </c>
      <c r="AB55" s="290">
        <v>35</v>
      </c>
      <c r="AC55" s="646">
        <v>107</v>
      </c>
    </row>
    <row r="56" spans="1:29" ht="15">
      <c r="A56" s="294">
        <v>52</v>
      </c>
      <c r="B56" s="289" t="s">
        <v>555</v>
      </c>
      <c r="C56" s="290">
        <v>1</v>
      </c>
      <c r="D56" s="290">
        <v>2</v>
      </c>
      <c r="E56" s="290">
        <v>3</v>
      </c>
      <c r="F56" s="290">
        <v>0</v>
      </c>
      <c r="G56" s="290">
        <v>0</v>
      </c>
      <c r="H56" s="290">
        <v>0</v>
      </c>
      <c r="I56" s="290">
        <v>13</v>
      </c>
      <c r="J56" s="290">
        <v>29</v>
      </c>
      <c r="K56" s="290">
        <v>42</v>
      </c>
      <c r="L56" s="290">
        <v>23</v>
      </c>
      <c r="M56" s="290">
        <v>25</v>
      </c>
      <c r="N56" s="290">
        <v>48</v>
      </c>
      <c r="O56" s="290">
        <v>0</v>
      </c>
      <c r="P56" s="290">
        <v>0</v>
      </c>
      <c r="Q56" s="290">
        <v>0</v>
      </c>
      <c r="R56" s="290">
        <v>0</v>
      </c>
      <c r="S56" s="290">
        <v>0</v>
      </c>
      <c r="T56" s="290">
        <v>0</v>
      </c>
      <c r="U56" s="290">
        <v>0</v>
      </c>
      <c r="V56" s="290">
        <v>0</v>
      </c>
      <c r="W56" s="290">
        <v>0</v>
      </c>
      <c r="X56" s="290">
        <v>2</v>
      </c>
      <c r="Y56" s="290">
        <v>3</v>
      </c>
      <c r="Z56" s="290">
        <v>5</v>
      </c>
      <c r="AA56" s="290">
        <v>39</v>
      </c>
      <c r="AB56" s="290">
        <v>59</v>
      </c>
      <c r="AC56" s="646">
        <v>98</v>
      </c>
    </row>
    <row r="57" spans="1:29" ht="15">
      <c r="A57" s="294">
        <v>53</v>
      </c>
      <c r="B57" s="289" t="s">
        <v>564</v>
      </c>
      <c r="C57" s="290">
        <v>0</v>
      </c>
      <c r="D57" s="290">
        <v>0</v>
      </c>
      <c r="E57" s="290">
        <v>0</v>
      </c>
      <c r="F57" s="290">
        <v>0</v>
      </c>
      <c r="G57" s="290">
        <v>0</v>
      </c>
      <c r="H57" s="290">
        <v>0</v>
      </c>
      <c r="I57" s="290">
        <v>7</v>
      </c>
      <c r="J57" s="290">
        <v>1</v>
      </c>
      <c r="K57" s="290">
        <v>8</v>
      </c>
      <c r="L57" s="290">
        <v>65</v>
      </c>
      <c r="M57" s="290">
        <v>22</v>
      </c>
      <c r="N57" s="290">
        <v>87</v>
      </c>
      <c r="O57" s="290">
        <v>0</v>
      </c>
      <c r="P57" s="290">
        <v>0</v>
      </c>
      <c r="Q57" s="290">
        <v>0</v>
      </c>
      <c r="R57" s="290">
        <v>0</v>
      </c>
      <c r="S57" s="290">
        <v>0</v>
      </c>
      <c r="T57" s="290">
        <v>0</v>
      </c>
      <c r="U57" s="290">
        <v>0</v>
      </c>
      <c r="V57" s="290">
        <v>0</v>
      </c>
      <c r="W57" s="290">
        <v>0</v>
      </c>
      <c r="X57" s="290">
        <v>0</v>
      </c>
      <c r="Y57" s="290">
        <v>0</v>
      </c>
      <c r="Z57" s="290">
        <v>0</v>
      </c>
      <c r="AA57" s="290">
        <v>72</v>
      </c>
      <c r="AB57" s="290">
        <v>23</v>
      </c>
      <c r="AC57" s="646">
        <v>95</v>
      </c>
    </row>
    <row r="58" spans="1:29" ht="15">
      <c r="A58" s="294">
        <v>54</v>
      </c>
      <c r="B58" s="289" t="s">
        <v>618</v>
      </c>
      <c r="C58" s="290">
        <v>1</v>
      </c>
      <c r="D58" s="290">
        <v>0</v>
      </c>
      <c r="E58" s="290">
        <v>1</v>
      </c>
      <c r="F58" s="290">
        <v>0</v>
      </c>
      <c r="G58" s="290">
        <v>0</v>
      </c>
      <c r="H58" s="290">
        <v>0</v>
      </c>
      <c r="I58" s="290">
        <v>8</v>
      </c>
      <c r="J58" s="290">
        <v>1</v>
      </c>
      <c r="K58" s="290">
        <v>9</v>
      </c>
      <c r="L58" s="290">
        <v>57</v>
      </c>
      <c r="M58" s="290">
        <v>25</v>
      </c>
      <c r="N58" s="290">
        <v>82</v>
      </c>
      <c r="O58" s="290">
        <v>0</v>
      </c>
      <c r="P58" s="290">
        <v>0</v>
      </c>
      <c r="Q58" s="290">
        <v>0</v>
      </c>
      <c r="R58" s="290">
        <v>0</v>
      </c>
      <c r="S58" s="290">
        <v>1</v>
      </c>
      <c r="T58" s="290">
        <v>1</v>
      </c>
      <c r="U58" s="290">
        <v>0</v>
      </c>
      <c r="V58" s="290">
        <v>0</v>
      </c>
      <c r="W58" s="290">
        <v>0</v>
      </c>
      <c r="X58" s="290">
        <v>1</v>
      </c>
      <c r="Y58" s="290">
        <v>0</v>
      </c>
      <c r="Z58" s="290">
        <v>1</v>
      </c>
      <c r="AA58" s="290">
        <v>67</v>
      </c>
      <c r="AB58" s="290">
        <v>27</v>
      </c>
      <c r="AC58" s="646">
        <v>94</v>
      </c>
    </row>
    <row r="59" spans="1:29" ht="15">
      <c r="A59" s="294">
        <v>55</v>
      </c>
      <c r="B59" s="289" t="s">
        <v>613</v>
      </c>
      <c r="C59" s="290">
        <v>1</v>
      </c>
      <c r="D59" s="290">
        <v>2</v>
      </c>
      <c r="E59" s="290">
        <v>3</v>
      </c>
      <c r="F59" s="290">
        <v>0</v>
      </c>
      <c r="G59" s="290">
        <v>0</v>
      </c>
      <c r="H59" s="290">
        <v>0</v>
      </c>
      <c r="I59" s="290">
        <v>12</v>
      </c>
      <c r="J59" s="290">
        <v>14</v>
      </c>
      <c r="K59" s="290">
        <v>26</v>
      </c>
      <c r="L59" s="290">
        <v>28</v>
      </c>
      <c r="M59" s="290">
        <v>31</v>
      </c>
      <c r="N59" s="290">
        <v>59</v>
      </c>
      <c r="O59" s="290">
        <v>1</v>
      </c>
      <c r="P59" s="290">
        <v>0</v>
      </c>
      <c r="Q59" s="290">
        <v>1</v>
      </c>
      <c r="R59" s="290">
        <v>2</v>
      </c>
      <c r="S59" s="290">
        <v>3</v>
      </c>
      <c r="T59" s="290">
        <v>5</v>
      </c>
      <c r="U59" s="290">
        <v>0</v>
      </c>
      <c r="V59" s="290">
        <v>0</v>
      </c>
      <c r="W59" s="290">
        <v>0</v>
      </c>
      <c r="X59" s="290">
        <v>0</v>
      </c>
      <c r="Y59" s="290">
        <v>0</v>
      </c>
      <c r="Z59" s="290">
        <v>0</v>
      </c>
      <c r="AA59" s="290">
        <v>44</v>
      </c>
      <c r="AB59" s="290">
        <v>50</v>
      </c>
      <c r="AC59" s="646">
        <v>94</v>
      </c>
    </row>
    <row r="60" spans="1:29" ht="15">
      <c r="A60" s="294">
        <v>56</v>
      </c>
      <c r="B60" s="289" t="s">
        <v>620</v>
      </c>
      <c r="C60" s="290">
        <v>0</v>
      </c>
      <c r="D60" s="290">
        <v>0</v>
      </c>
      <c r="E60" s="290">
        <v>0</v>
      </c>
      <c r="F60" s="290">
        <v>0</v>
      </c>
      <c r="G60" s="290">
        <v>0</v>
      </c>
      <c r="H60" s="290">
        <v>0</v>
      </c>
      <c r="I60" s="290">
        <v>10</v>
      </c>
      <c r="J60" s="290">
        <v>8</v>
      </c>
      <c r="K60" s="290">
        <v>18</v>
      </c>
      <c r="L60" s="290">
        <v>35</v>
      </c>
      <c r="M60" s="290">
        <v>36</v>
      </c>
      <c r="N60" s="290">
        <v>71</v>
      </c>
      <c r="O60" s="290">
        <v>0</v>
      </c>
      <c r="P60" s="290">
        <v>0</v>
      </c>
      <c r="Q60" s="290">
        <v>0</v>
      </c>
      <c r="R60" s="290">
        <v>0</v>
      </c>
      <c r="S60" s="290">
        <v>0</v>
      </c>
      <c r="T60" s="290">
        <v>0</v>
      </c>
      <c r="U60" s="290">
        <v>0</v>
      </c>
      <c r="V60" s="290">
        <v>0</v>
      </c>
      <c r="W60" s="290">
        <v>0</v>
      </c>
      <c r="X60" s="290">
        <v>0</v>
      </c>
      <c r="Y60" s="290">
        <v>1</v>
      </c>
      <c r="Z60" s="290">
        <v>1</v>
      </c>
      <c r="AA60" s="290">
        <v>45</v>
      </c>
      <c r="AB60" s="290">
        <v>45</v>
      </c>
      <c r="AC60" s="646">
        <v>90</v>
      </c>
    </row>
    <row r="61" spans="1:29" ht="15">
      <c r="A61" s="294">
        <v>57</v>
      </c>
      <c r="B61" s="289" t="s">
        <v>609</v>
      </c>
      <c r="C61" s="290">
        <v>48</v>
      </c>
      <c r="D61" s="290">
        <v>6</v>
      </c>
      <c r="E61" s="290">
        <v>54</v>
      </c>
      <c r="F61" s="290">
        <v>0</v>
      </c>
      <c r="G61" s="290">
        <v>0</v>
      </c>
      <c r="H61" s="290">
        <v>0</v>
      </c>
      <c r="I61" s="290">
        <v>11</v>
      </c>
      <c r="J61" s="290">
        <v>1</v>
      </c>
      <c r="K61" s="290">
        <v>12</v>
      </c>
      <c r="L61" s="290">
        <v>19</v>
      </c>
      <c r="M61" s="290">
        <v>1</v>
      </c>
      <c r="N61" s="290">
        <v>20</v>
      </c>
      <c r="O61" s="290">
        <v>0</v>
      </c>
      <c r="P61" s="290">
        <v>0</v>
      </c>
      <c r="Q61" s="290">
        <v>0</v>
      </c>
      <c r="R61" s="290">
        <v>0</v>
      </c>
      <c r="S61" s="290">
        <v>0</v>
      </c>
      <c r="T61" s="290">
        <v>0</v>
      </c>
      <c r="U61" s="290">
        <v>0</v>
      </c>
      <c r="V61" s="290">
        <v>0</v>
      </c>
      <c r="W61" s="290">
        <v>0</v>
      </c>
      <c r="X61" s="290">
        <v>0</v>
      </c>
      <c r="Y61" s="290">
        <v>0</v>
      </c>
      <c r="Z61" s="290">
        <v>0</v>
      </c>
      <c r="AA61" s="290">
        <v>78</v>
      </c>
      <c r="AB61" s="290">
        <v>8</v>
      </c>
      <c r="AC61" s="646">
        <v>86</v>
      </c>
    </row>
    <row r="62" spans="1:29" ht="15">
      <c r="A62" s="294">
        <v>58</v>
      </c>
      <c r="B62" s="289" t="s">
        <v>619</v>
      </c>
      <c r="C62" s="290">
        <v>2</v>
      </c>
      <c r="D62" s="290">
        <v>0</v>
      </c>
      <c r="E62" s="290">
        <v>2</v>
      </c>
      <c r="F62" s="290">
        <v>0</v>
      </c>
      <c r="G62" s="290">
        <v>0</v>
      </c>
      <c r="H62" s="290">
        <v>0</v>
      </c>
      <c r="I62" s="290">
        <v>11</v>
      </c>
      <c r="J62" s="290">
        <v>7</v>
      </c>
      <c r="K62" s="290">
        <v>18</v>
      </c>
      <c r="L62" s="290">
        <v>45</v>
      </c>
      <c r="M62" s="290">
        <v>11</v>
      </c>
      <c r="N62" s="290">
        <v>56</v>
      </c>
      <c r="O62" s="290">
        <v>0</v>
      </c>
      <c r="P62" s="290">
        <v>0</v>
      </c>
      <c r="Q62" s="290">
        <v>0</v>
      </c>
      <c r="R62" s="290">
        <v>0</v>
      </c>
      <c r="S62" s="290">
        <v>0</v>
      </c>
      <c r="T62" s="290">
        <v>0</v>
      </c>
      <c r="U62" s="290">
        <v>0</v>
      </c>
      <c r="V62" s="290">
        <v>0</v>
      </c>
      <c r="W62" s="290">
        <v>0</v>
      </c>
      <c r="X62" s="290">
        <v>9</v>
      </c>
      <c r="Y62" s="290">
        <v>0</v>
      </c>
      <c r="Z62" s="290">
        <v>9</v>
      </c>
      <c r="AA62" s="290">
        <v>67</v>
      </c>
      <c r="AB62" s="290">
        <v>18</v>
      </c>
      <c r="AC62" s="646">
        <v>85</v>
      </c>
    </row>
    <row r="63" spans="1:29" ht="15">
      <c r="A63" s="294">
        <v>59</v>
      </c>
      <c r="B63" s="289" t="s">
        <v>605</v>
      </c>
      <c r="C63" s="290">
        <v>0</v>
      </c>
      <c r="D63" s="290">
        <v>1</v>
      </c>
      <c r="E63" s="290">
        <v>1</v>
      </c>
      <c r="F63" s="290">
        <v>0</v>
      </c>
      <c r="G63" s="290">
        <v>0</v>
      </c>
      <c r="H63" s="290">
        <v>0</v>
      </c>
      <c r="I63" s="290">
        <v>22</v>
      </c>
      <c r="J63" s="290">
        <v>15</v>
      </c>
      <c r="K63" s="290">
        <v>37</v>
      </c>
      <c r="L63" s="290">
        <v>24</v>
      </c>
      <c r="M63" s="290">
        <v>19</v>
      </c>
      <c r="N63" s="290">
        <v>43</v>
      </c>
      <c r="O63" s="290">
        <v>0</v>
      </c>
      <c r="P63" s="290">
        <v>0</v>
      </c>
      <c r="Q63" s="290">
        <v>0</v>
      </c>
      <c r="R63" s="290">
        <v>0</v>
      </c>
      <c r="S63" s="290">
        <v>0</v>
      </c>
      <c r="T63" s="290">
        <v>0</v>
      </c>
      <c r="U63" s="290">
        <v>0</v>
      </c>
      <c r="V63" s="290">
        <v>3</v>
      </c>
      <c r="W63" s="290">
        <v>3</v>
      </c>
      <c r="X63" s="290">
        <v>0</v>
      </c>
      <c r="Y63" s="290">
        <v>0</v>
      </c>
      <c r="Z63" s="290">
        <v>0</v>
      </c>
      <c r="AA63" s="290">
        <v>46</v>
      </c>
      <c r="AB63" s="290">
        <v>38</v>
      </c>
      <c r="AC63" s="646">
        <v>84</v>
      </c>
    </row>
    <row r="64" spans="1:29" ht="15.75" customHeight="1">
      <c r="A64" s="294">
        <v>60</v>
      </c>
      <c r="B64" s="289" t="s">
        <v>599</v>
      </c>
      <c r="C64" s="290">
        <v>46</v>
      </c>
      <c r="D64" s="290">
        <v>14</v>
      </c>
      <c r="E64" s="290">
        <v>60</v>
      </c>
      <c r="F64" s="290">
        <v>0</v>
      </c>
      <c r="G64" s="290">
        <v>0</v>
      </c>
      <c r="H64" s="290">
        <v>0</v>
      </c>
      <c r="I64" s="290">
        <v>13</v>
      </c>
      <c r="J64" s="290">
        <v>3</v>
      </c>
      <c r="K64" s="290">
        <v>16</v>
      </c>
      <c r="L64" s="290">
        <v>5</v>
      </c>
      <c r="M64" s="290">
        <v>0</v>
      </c>
      <c r="N64" s="290">
        <v>5</v>
      </c>
      <c r="O64" s="290">
        <v>0</v>
      </c>
      <c r="P64" s="290">
        <v>0</v>
      </c>
      <c r="Q64" s="290">
        <v>0</v>
      </c>
      <c r="R64" s="290">
        <v>0</v>
      </c>
      <c r="S64" s="290">
        <v>0</v>
      </c>
      <c r="T64" s="290">
        <v>0</v>
      </c>
      <c r="U64" s="290">
        <v>0</v>
      </c>
      <c r="V64" s="290">
        <v>0</v>
      </c>
      <c r="W64" s="290">
        <v>0</v>
      </c>
      <c r="X64" s="290">
        <v>0</v>
      </c>
      <c r="Y64" s="290">
        <v>0</v>
      </c>
      <c r="Z64" s="290">
        <v>0</v>
      </c>
      <c r="AA64" s="290">
        <v>64</v>
      </c>
      <c r="AB64" s="290">
        <v>17</v>
      </c>
      <c r="AC64" s="646">
        <v>81</v>
      </c>
    </row>
    <row r="65" spans="1:29" ht="15">
      <c r="A65" s="294">
        <v>61</v>
      </c>
      <c r="B65" s="289" t="s">
        <v>611</v>
      </c>
      <c r="C65" s="290">
        <v>3</v>
      </c>
      <c r="D65" s="290">
        <v>0</v>
      </c>
      <c r="E65" s="290">
        <v>3</v>
      </c>
      <c r="F65" s="290">
        <v>1</v>
      </c>
      <c r="G65" s="290">
        <v>1</v>
      </c>
      <c r="H65" s="290">
        <v>2</v>
      </c>
      <c r="I65" s="290">
        <v>18</v>
      </c>
      <c r="J65" s="290">
        <v>9</v>
      </c>
      <c r="K65" s="290">
        <v>27</v>
      </c>
      <c r="L65" s="290">
        <v>23</v>
      </c>
      <c r="M65" s="290">
        <v>24</v>
      </c>
      <c r="N65" s="290">
        <v>47</v>
      </c>
      <c r="O65" s="290">
        <v>0</v>
      </c>
      <c r="P65" s="290">
        <v>0</v>
      </c>
      <c r="Q65" s="290">
        <v>0</v>
      </c>
      <c r="R65" s="290">
        <v>0</v>
      </c>
      <c r="S65" s="290">
        <v>0</v>
      </c>
      <c r="T65" s="290">
        <v>0</v>
      </c>
      <c r="U65" s="290">
        <v>0</v>
      </c>
      <c r="V65" s="290">
        <v>0</v>
      </c>
      <c r="W65" s="290">
        <v>0</v>
      </c>
      <c r="X65" s="290">
        <v>0</v>
      </c>
      <c r="Y65" s="290">
        <v>0</v>
      </c>
      <c r="Z65" s="290">
        <v>0</v>
      </c>
      <c r="AA65" s="290">
        <v>45</v>
      </c>
      <c r="AB65" s="290">
        <v>34</v>
      </c>
      <c r="AC65" s="646">
        <v>79</v>
      </c>
    </row>
    <row r="66" spans="1:29" ht="15">
      <c r="A66" s="294">
        <v>62</v>
      </c>
      <c r="B66" s="289" t="s">
        <v>634</v>
      </c>
      <c r="C66" s="290">
        <v>0</v>
      </c>
      <c r="D66" s="290">
        <v>0</v>
      </c>
      <c r="E66" s="290">
        <v>0</v>
      </c>
      <c r="F66" s="290">
        <v>0</v>
      </c>
      <c r="G66" s="290">
        <v>0</v>
      </c>
      <c r="H66" s="290">
        <v>0</v>
      </c>
      <c r="I66" s="290">
        <v>10</v>
      </c>
      <c r="J66" s="290">
        <v>6</v>
      </c>
      <c r="K66" s="290">
        <v>16</v>
      </c>
      <c r="L66" s="290">
        <v>38</v>
      </c>
      <c r="M66" s="290">
        <v>18</v>
      </c>
      <c r="N66" s="290">
        <v>56</v>
      </c>
      <c r="O66" s="290">
        <v>0</v>
      </c>
      <c r="P66" s="290">
        <v>0</v>
      </c>
      <c r="Q66" s="290">
        <v>0</v>
      </c>
      <c r="R66" s="290">
        <v>0</v>
      </c>
      <c r="S66" s="290">
        <v>0</v>
      </c>
      <c r="T66" s="290">
        <v>0</v>
      </c>
      <c r="U66" s="290">
        <v>0</v>
      </c>
      <c r="V66" s="290">
        <v>0</v>
      </c>
      <c r="W66" s="290">
        <v>0</v>
      </c>
      <c r="X66" s="290">
        <v>0</v>
      </c>
      <c r="Y66" s="290">
        <v>1</v>
      </c>
      <c r="Z66" s="290">
        <v>1</v>
      </c>
      <c r="AA66" s="290">
        <v>48</v>
      </c>
      <c r="AB66" s="290">
        <v>25</v>
      </c>
      <c r="AC66" s="646">
        <v>73</v>
      </c>
    </row>
    <row r="67" spans="1:29" ht="15">
      <c r="A67" s="294">
        <v>63</v>
      </c>
      <c r="B67" s="289" t="s">
        <v>616</v>
      </c>
      <c r="C67" s="290">
        <v>0</v>
      </c>
      <c r="D67" s="290">
        <v>0</v>
      </c>
      <c r="E67" s="290">
        <v>0</v>
      </c>
      <c r="F67" s="290">
        <v>0</v>
      </c>
      <c r="G67" s="290">
        <v>0</v>
      </c>
      <c r="H67" s="290">
        <v>0</v>
      </c>
      <c r="I67" s="290">
        <v>14</v>
      </c>
      <c r="J67" s="290">
        <v>7</v>
      </c>
      <c r="K67" s="290">
        <v>21</v>
      </c>
      <c r="L67" s="290">
        <v>34</v>
      </c>
      <c r="M67" s="290">
        <v>18</v>
      </c>
      <c r="N67" s="290">
        <v>52</v>
      </c>
      <c r="O67" s="290">
        <v>0</v>
      </c>
      <c r="P67" s="290">
        <v>0</v>
      </c>
      <c r="Q67" s="290">
        <v>0</v>
      </c>
      <c r="R67" s="290">
        <v>0</v>
      </c>
      <c r="S67" s="290">
        <v>0</v>
      </c>
      <c r="T67" s="290">
        <v>0</v>
      </c>
      <c r="U67" s="290">
        <v>0</v>
      </c>
      <c r="V67" s="290">
        <v>0</v>
      </c>
      <c r="W67" s="290">
        <v>0</v>
      </c>
      <c r="X67" s="290">
        <v>0</v>
      </c>
      <c r="Y67" s="290">
        <v>0</v>
      </c>
      <c r="Z67" s="290">
        <v>0</v>
      </c>
      <c r="AA67" s="290">
        <v>48</v>
      </c>
      <c r="AB67" s="290">
        <v>25</v>
      </c>
      <c r="AC67" s="646">
        <v>73</v>
      </c>
    </row>
    <row r="68" spans="1:29" ht="15">
      <c r="A68" s="294">
        <v>64</v>
      </c>
      <c r="B68" s="289" t="s">
        <v>630</v>
      </c>
      <c r="C68" s="290">
        <v>0</v>
      </c>
      <c r="D68" s="290">
        <v>0</v>
      </c>
      <c r="E68" s="290">
        <v>0</v>
      </c>
      <c r="F68" s="290">
        <v>0</v>
      </c>
      <c r="G68" s="290">
        <v>0</v>
      </c>
      <c r="H68" s="290">
        <v>0</v>
      </c>
      <c r="I68" s="290">
        <v>11</v>
      </c>
      <c r="J68" s="290">
        <v>12</v>
      </c>
      <c r="K68" s="290">
        <v>23</v>
      </c>
      <c r="L68" s="290">
        <v>31</v>
      </c>
      <c r="M68" s="290">
        <v>18</v>
      </c>
      <c r="N68" s="290">
        <v>49</v>
      </c>
      <c r="O68" s="290">
        <v>0</v>
      </c>
      <c r="P68" s="290">
        <v>0</v>
      </c>
      <c r="Q68" s="290">
        <v>0</v>
      </c>
      <c r="R68" s="290">
        <v>0</v>
      </c>
      <c r="S68" s="290">
        <v>0</v>
      </c>
      <c r="T68" s="290">
        <v>0</v>
      </c>
      <c r="U68" s="290">
        <v>0</v>
      </c>
      <c r="V68" s="290">
        <v>0</v>
      </c>
      <c r="W68" s="290">
        <v>0</v>
      </c>
      <c r="X68" s="290">
        <v>1</v>
      </c>
      <c r="Y68" s="290">
        <v>0</v>
      </c>
      <c r="Z68" s="290">
        <v>1</v>
      </c>
      <c r="AA68" s="290">
        <v>43</v>
      </c>
      <c r="AB68" s="290">
        <v>30</v>
      </c>
      <c r="AC68" s="646">
        <v>73</v>
      </c>
    </row>
    <row r="69" spans="1:29" ht="30">
      <c r="A69" s="294">
        <v>65</v>
      </c>
      <c r="B69" s="289" t="s">
        <v>621</v>
      </c>
      <c r="C69" s="290">
        <v>12</v>
      </c>
      <c r="D69" s="290">
        <v>3</v>
      </c>
      <c r="E69" s="290">
        <v>15</v>
      </c>
      <c r="F69" s="290">
        <v>0</v>
      </c>
      <c r="G69" s="290">
        <v>0</v>
      </c>
      <c r="H69" s="290">
        <v>0</v>
      </c>
      <c r="I69" s="290">
        <v>18</v>
      </c>
      <c r="J69" s="290">
        <v>6</v>
      </c>
      <c r="K69" s="290">
        <v>24</v>
      </c>
      <c r="L69" s="290">
        <v>32</v>
      </c>
      <c r="M69" s="290">
        <v>1</v>
      </c>
      <c r="N69" s="290">
        <v>33</v>
      </c>
      <c r="O69" s="290">
        <v>0</v>
      </c>
      <c r="P69" s="290">
        <v>0</v>
      </c>
      <c r="Q69" s="290">
        <v>0</v>
      </c>
      <c r="R69" s="290">
        <v>0</v>
      </c>
      <c r="S69" s="290">
        <v>0</v>
      </c>
      <c r="T69" s="290">
        <v>0</v>
      </c>
      <c r="U69" s="290">
        <v>0</v>
      </c>
      <c r="V69" s="290">
        <v>0</v>
      </c>
      <c r="W69" s="290">
        <v>0</v>
      </c>
      <c r="X69" s="290">
        <v>0</v>
      </c>
      <c r="Y69" s="290">
        <v>0</v>
      </c>
      <c r="Z69" s="290">
        <v>0</v>
      </c>
      <c r="AA69" s="290">
        <v>62</v>
      </c>
      <c r="AB69" s="290">
        <v>10</v>
      </c>
      <c r="AC69" s="646">
        <v>72</v>
      </c>
    </row>
    <row r="70" spans="1:29" ht="15">
      <c r="A70" s="294">
        <v>66</v>
      </c>
      <c r="B70" s="289" t="s">
        <v>672</v>
      </c>
      <c r="C70" s="290">
        <v>0</v>
      </c>
      <c r="D70" s="290">
        <v>0</v>
      </c>
      <c r="E70" s="290">
        <v>0</v>
      </c>
      <c r="F70" s="290">
        <v>0</v>
      </c>
      <c r="G70" s="290">
        <v>0</v>
      </c>
      <c r="H70" s="290">
        <v>0</v>
      </c>
      <c r="I70" s="290">
        <v>3</v>
      </c>
      <c r="J70" s="290">
        <v>1</v>
      </c>
      <c r="K70" s="290">
        <v>4</v>
      </c>
      <c r="L70" s="290">
        <v>5</v>
      </c>
      <c r="M70" s="290">
        <v>50</v>
      </c>
      <c r="N70" s="290">
        <v>55</v>
      </c>
      <c r="O70" s="290">
        <v>0</v>
      </c>
      <c r="P70" s="290">
        <v>0</v>
      </c>
      <c r="Q70" s="290">
        <v>0</v>
      </c>
      <c r="R70" s="290">
        <v>0</v>
      </c>
      <c r="S70" s="290">
        <v>0</v>
      </c>
      <c r="T70" s="290">
        <v>0</v>
      </c>
      <c r="U70" s="290">
        <v>0</v>
      </c>
      <c r="V70" s="290">
        <v>0</v>
      </c>
      <c r="W70" s="290">
        <v>0</v>
      </c>
      <c r="X70" s="290">
        <v>0</v>
      </c>
      <c r="Y70" s="290">
        <v>0</v>
      </c>
      <c r="Z70" s="290">
        <v>0</v>
      </c>
      <c r="AA70" s="290">
        <v>8</v>
      </c>
      <c r="AB70" s="290">
        <v>51</v>
      </c>
      <c r="AC70" s="646">
        <v>59</v>
      </c>
    </row>
    <row r="71" spans="1:29" ht="15">
      <c r="A71" s="294">
        <v>67</v>
      </c>
      <c r="B71" s="289" t="s">
        <v>612</v>
      </c>
      <c r="C71" s="290">
        <v>0</v>
      </c>
      <c r="D71" s="290">
        <v>0</v>
      </c>
      <c r="E71" s="290">
        <v>0</v>
      </c>
      <c r="F71" s="290">
        <v>0</v>
      </c>
      <c r="G71" s="290">
        <v>0</v>
      </c>
      <c r="H71" s="290">
        <v>0</v>
      </c>
      <c r="I71" s="290">
        <v>15</v>
      </c>
      <c r="J71" s="290">
        <v>9</v>
      </c>
      <c r="K71" s="290">
        <v>24</v>
      </c>
      <c r="L71" s="290">
        <v>14</v>
      </c>
      <c r="M71" s="290">
        <v>18</v>
      </c>
      <c r="N71" s="290">
        <v>32</v>
      </c>
      <c r="O71" s="290">
        <v>0</v>
      </c>
      <c r="P71" s="290">
        <v>0</v>
      </c>
      <c r="Q71" s="290">
        <v>0</v>
      </c>
      <c r="R71" s="290">
        <v>0</v>
      </c>
      <c r="S71" s="290">
        <v>0</v>
      </c>
      <c r="T71" s="290">
        <v>0</v>
      </c>
      <c r="U71" s="290">
        <v>0</v>
      </c>
      <c r="V71" s="290">
        <v>0</v>
      </c>
      <c r="W71" s="290">
        <v>0</v>
      </c>
      <c r="X71" s="290">
        <v>0</v>
      </c>
      <c r="Y71" s="290">
        <v>0</v>
      </c>
      <c r="Z71" s="290">
        <v>0</v>
      </c>
      <c r="AA71" s="290">
        <v>29</v>
      </c>
      <c r="AB71" s="290">
        <v>27</v>
      </c>
      <c r="AC71" s="646">
        <v>56</v>
      </c>
    </row>
    <row r="72" spans="1:29" ht="15">
      <c r="A72" s="294">
        <v>68</v>
      </c>
      <c r="B72" s="289" t="s">
        <v>626</v>
      </c>
      <c r="C72" s="290">
        <v>1</v>
      </c>
      <c r="D72" s="290">
        <v>0</v>
      </c>
      <c r="E72" s="290">
        <v>1</v>
      </c>
      <c r="F72" s="290">
        <v>0</v>
      </c>
      <c r="G72" s="290">
        <v>0</v>
      </c>
      <c r="H72" s="290">
        <v>0</v>
      </c>
      <c r="I72" s="290">
        <v>17</v>
      </c>
      <c r="J72" s="290">
        <v>2</v>
      </c>
      <c r="K72" s="290">
        <v>19</v>
      </c>
      <c r="L72" s="290">
        <v>28</v>
      </c>
      <c r="M72" s="290">
        <v>5</v>
      </c>
      <c r="N72" s="290">
        <v>33</v>
      </c>
      <c r="O72" s="290">
        <v>0</v>
      </c>
      <c r="P72" s="290">
        <v>0</v>
      </c>
      <c r="Q72" s="290">
        <v>0</v>
      </c>
      <c r="R72" s="290">
        <v>0</v>
      </c>
      <c r="S72" s="290">
        <v>0</v>
      </c>
      <c r="T72" s="290">
        <v>0</v>
      </c>
      <c r="U72" s="290">
        <v>0</v>
      </c>
      <c r="V72" s="290">
        <v>0</v>
      </c>
      <c r="W72" s="290">
        <v>0</v>
      </c>
      <c r="X72" s="290">
        <v>0</v>
      </c>
      <c r="Y72" s="290">
        <v>0</v>
      </c>
      <c r="Z72" s="290">
        <v>0</v>
      </c>
      <c r="AA72" s="290">
        <v>46</v>
      </c>
      <c r="AB72" s="290">
        <v>7</v>
      </c>
      <c r="AC72" s="646">
        <v>53</v>
      </c>
    </row>
    <row r="73" spans="1:29" ht="15">
      <c r="A73" s="294">
        <v>69</v>
      </c>
      <c r="B73" s="289" t="s">
        <v>627</v>
      </c>
      <c r="C73" s="290">
        <v>1</v>
      </c>
      <c r="D73" s="290">
        <v>0</v>
      </c>
      <c r="E73" s="290">
        <v>1</v>
      </c>
      <c r="F73" s="290">
        <v>0</v>
      </c>
      <c r="G73" s="290">
        <v>0</v>
      </c>
      <c r="H73" s="290">
        <v>0</v>
      </c>
      <c r="I73" s="290">
        <v>7</v>
      </c>
      <c r="J73" s="290">
        <v>5</v>
      </c>
      <c r="K73" s="290">
        <v>12</v>
      </c>
      <c r="L73" s="290">
        <v>19</v>
      </c>
      <c r="M73" s="290">
        <v>14</v>
      </c>
      <c r="N73" s="290">
        <v>33</v>
      </c>
      <c r="O73" s="290">
        <v>0</v>
      </c>
      <c r="P73" s="290">
        <v>1</v>
      </c>
      <c r="Q73" s="290">
        <v>1</v>
      </c>
      <c r="R73" s="290">
        <v>0</v>
      </c>
      <c r="S73" s="290">
        <v>0</v>
      </c>
      <c r="T73" s="290">
        <v>0</v>
      </c>
      <c r="U73" s="290">
        <v>0</v>
      </c>
      <c r="V73" s="290">
        <v>0</v>
      </c>
      <c r="W73" s="290">
        <v>0</v>
      </c>
      <c r="X73" s="290">
        <v>1</v>
      </c>
      <c r="Y73" s="290">
        <v>0</v>
      </c>
      <c r="Z73" s="290">
        <v>1</v>
      </c>
      <c r="AA73" s="290">
        <v>28</v>
      </c>
      <c r="AB73" s="290">
        <v>20</v>
      </c>
      <c r="AC73" s="646">
        <v>48</v>
      </c>
    </row>
    <row r="74" spans="1:29" ht="15">
      <c r="A74" s="294">
        <v>70</v>
      </c>
      <c r="B74" s="289" t="s">
        <v>673</v>
      </c>
      <c r="C74" s="290">
        <v>1</v>
      </c>
      <c r="D74" s="290">
        <v>1</v>
      </c>
      <c r="E74" s="290">
        <v>2</v>
      </c>
      <c r="F74" s="290">
        <v>0</v>
      </c>
      <c r="G74" s="290">
        <v>0</v>
      </c>
      <c r="H74" s="290">
        <v>0</v>
      </c>
      <c r="I74" s="290">
        <v>2</v>
      </c>
      <c r="J74" s="290">
        <v>0</v>
      </c>
      <c r="K74" s="290">
        <v>2</v>
      </c>
      <c r="L74" s="290">
        <v>1</v>
      </c>
      <c r="M74" s="290">
        <v>0</v>
      </c>
      <c r="N74" s="290">
        <v>1</v>
      </c>
      <c r="O74" s="290">
        <v>0</v>
      </c>
      <c r="P74" s="290">
        <v>0</v>
      </c>
      <c r="Q74" s="290">
        <v>0</v>
      </c>
      <c r="R74" s="290">
        <v>10</v>
      </c>
      <c r="S74" s="290">
        <v>32</v>
      </c>
      <c r="T74" s="290">
        <v>42</v>
      </c>
      <c r="U74" s="290">
        <v>0</v>
      </c>
      <c r="V74" s="290">
        <v>0</v>
      </c>
      <c r="W74" s="290">
        <v>0</v>
      </c>
      <c r="X74" s="290">
        <v>0</v>
      </c>
      <c r="Y74" s="290">
        <v>0</v>
      </c>
      <c r="Z74" s="290">
        <v>0</v>
      </c>
      <c r="AA74" s="290">
        <v>14</v>
      </c>
      <c r="AB74" s="290">
        <v>33</v>
      </c>
      <c r="AC74" s="646">
        <v>47</v>
      </c>
    </row>
    <row r="75" spans="1:29" ht="15">
      <c r="A75" s="294">
        <v>71</v>
      </c>
      <c r="B75" s="289" t="s">
        <v>615</v>
      </c>
      <c r="C75" s="290">
        <v>1</v>
      </c>
      <c r="D75" s="290">
        <v>0</v>
      </c>
      <c r="E75" s="290">
        <v>1</v>
      </c>
      <c r="F75" s="290">
        <v>0</v>
      </c>
      <c r="G75" s="290">
        <v>0</v>
      </c>
      <c r="H75" s="290">
        <v>0</v>
      </c>
      <c r="I75" s="290">
        <v>11</v>
      </c>
      <c r="J75" s="290">
        <v>1</v>
      </c>
      <c r="K75" s="290">
        <v>12</v>
      </c>
      <c r="L75" s="290">
        <v>29</v>
      </c>
      <c r="M75" s="290">
        <v>4</v>
      </c>
      <c r="N75" s="290">
        <v>33</v>
      </c>
      <c r="O75" s="290">
        <v>0</v>
      </c>
      <c r="P75" s="290">
        <v>0</v>
      </c>
      <c r="Q75" s="290">
        <v>0</v>
      </c>
      <c r="R75" s="290">
        <v>0</v>
      </c>
      <c r="S75" s="290">
        <v>0</v>
      </c>
      <c r="T75" s="290">
        <v>0</v>
      </c>
      <c r="U75" s="290">
        <v>0</v>
      </c>
      <c r="V75" s="290">
        <v>0</v>
      </c>
      <c r="W75" s="290">
        <v>0</v>
      </c>
      <c r="X75" s="290">
        <v>0</v>
      </c>
      <c r="Y75" s="290">
        <v>0</v>
      </c>
      <c r="Z75" s="290">
        <v>0</v>
      </c>
      <c r="AA75" s="290">
        <v>41</v>
      </c>
      <c r="AB75" s="290">
        <v>5</v>
      </c>
      <c r="AC75" s="646">
        <v>46</v>
      </c>
    </row>
    <row r="76" spans="1:29" ht="15">
      <c r="A76" s="294">
        <v>72</v>
      </c>
      <c r="B76" s="289" t="s">
        <v>636</v>
      </c>
      <c r="C76" s="290">
        <v>3</v>
      </c>
      <c r="D76" s="290">
        <v>1</v>
      </c>
      <c r="E76" s="290">
        <v>4</v>
      </c>
      <c r="F76" s="290">
        <v>0</v>
      </c>
      <c r="G76" s="290">
        <v>0</v>
      </c>
      <c r="H76" s="290">
        <v>0</v>
      </c>
      <c r="I76" s="290">
        <v>11</v>
      </c>
      <c r="J76" s="290">
        <v>16</v>
      </c>
      <c r="K76" s="290">
        <v>27</v>
      </c>
      <c r="L76" s="290">
        <v>6</v>
      </c>
      <c r="M76" s="290">
        <v>6</v>
      </c>
      <c r="N76" s="290">
        <v>12</v>
      </c>
      <c r="O76" s="290">
        <v>1</v>
      </c>
      <c r="P76" s="290">
        <v>0</v>
      </c>
      <c r="Q76" s="290">
        <v>1</v>
      </c>
      <c r="R76" s="290">
        <v>0</v>
      </c>
      <c r="S76" s="290">
        <v>0</v>
      </c>
      <c r="T76" s="290">
        <v>0</v>
      </c>
      <c r="U76" s="290">
        <v>0</v>
      </c>
      <c r="V76" s="290">
        <v>0</v>
      </c>
      <c r="W76" s="290">
        <v>0</v>
      </c>
      <c r="X76" s="290">
        <v>1</v>
      </c>
      <c r="Y76" s="290">
        <v>0</v>
      </c>
      <c r="Z76" s="290">
        <v>1</v>
      </c>
      <c r="AA76" s="290">
        <v>22</v>
      </c>
      <c r="AB76" s="290">
        <v>23</v>
      </c>
      <c r="AC76" s="646">
        <v>45</v>
      </c>
    </row>
    <row r="77" spans="1:29" ht="15">
      <c r="A77" s="294">
        <v>73</v>
      </c>
      <c r="B77" s="289" t="s">
        <v>671</v>
      </c>
      <c r="C77" s="290">
        <v>0</v>
      </c>
      <c r="D77" s="290">
        <v>0</v>
      </c>
      <c r="E77" s="290">
        <v>0</v>
      </c>
      <c r="F77" s="290">
        <v>0</v>
      </c>
      <c r="G77" s="290">
        <v>0</v>
      </c>
      <c r="H77" s="290">
        <v>0</v>
      </c>
      <c r="I77" s="290">
        <v>0</v>
      </c>
      <c r="J77" s="290">
        <v>0</v>
      </c>
      <c r="K77" s="290">
        <v>0</v>
      </c>
      <c r="L77" s="290">
        <v>26</v>
      </c>
      <c r="M77" s="290">
        <v>12</v>
      </c>
      <c r="N77" s="290">
        <v>38</v>
      </c>
      <c r="O77" s="290">
        <v>0</v>
      </c>
      <c r="P77" s="290">
        <v>0</v>
      </c>
      <c r="Q77" s="290">
        <v>0</v>
      </c>
      <c r="R77" s="290">
        <v>0</v>
      </c>
      <c r="S77" s="290">
        <v>0</v>
      </c>
      <c r="T77" s="290">
        <v>0</v>
      </c>
      <c r="U77" s="290">
        <v>0</v>
      </c>
      <c r="V77" s="290">
        <v>0</v>
      </c>
      <c r="W77" s="290">
        <v>0</v>
      </c>
      <c r="X77" s="290">
        <v>0</v>
      </c>
      <c r="Y77" s="290">
        <v>0</v>
      </c>
      <c r="Z77" s="290">
        <v>0</v>
      </c>
      <c r="AA77" s="290">
        <v>26</v>
      </c>
      <c r="AB77" s="290">
        <v>12</v>
      </c>
      <c r="AC77" s="646">
        <v>38</v>
      </c>
    </row>
    <row r="78" spans="1:29" ht="15">
      <c r="A78" s="294">
        <v>74</v>
      </c>
      <c r="B78" s="289" t="s">
        <v>635</v>
      </c>
      <c r="C78" s="290">
        <v>0</v>
      </c>
      <c r="D78" s="290">
        <v>0</v>
      </c>
      <c r="E78" s="290">
        <v>0</v>
      </c>
      <c r="F78" s="290">
        <v>0</v>
      </c>
      <c r="G78" s="290">
        <v>0</v>
      </c>
      <c r="H78" s="290">
        <v>0</v>
      </c>
      <c r="I78" s="290">
        <v>4</v>
      </c>
      <c r="J78" s="290">
        <v>3</v>
      </c>
      <c r="K78" s="290">
        <v>7</v>
      </c>
      <c r="L78" s="290">
        <v>17</v>
      </c>
      <c r="M78" s="290">
        <v>12</v>
      </c>
      <c r="N78" s="290">
        <v>29</v>
      </c>
      <c r="O78" s="290">
        <v>0</v>
      </c>
      <c r="P78" s="290">
        <v>1</v>
      </c>
      <c r="Q78" s="290">
        <v>1</v>
      </c>
      <c r="R78" s="290">
        <v>0</v>
      </c>
      <c r="S78" s="290">
        <v>0</v>
      </c>
      <c r="T78" s="290">
        <v>0</v>
      </c>
      <c r="U78" s="290">
        <v>0</v>
      </c>
      <c r="V78" s="290">
        <v>0</v>
      </c>
      <c r="W78" s="290">
        <v>0</v>
      </c>
      <c r="X78" s="290">
        <v>0</v>
      </c>
      <c r="Y78" s="290">
        <v>1</v>
      </c>
      <c r="Z78" s="290">
        <v>1</v>
      </c>
      <c r="AA78" s="290">
        <v>21</v>
      </c>
      <c r="AB78" s="290">
        <v>17</v>
      </c>
      <c r="AC78" s="646">
        <v>38</v>
      </c>
    </row>
    <row r="79" spans="1:29" ht="15">
      <c r="A79" s="294">
        <v>75</v>
      </c>
      <c r="B79" s="289" t="s">
        <v>628</v>
      </c>
      <c r="C79" s="290">
        <v>0</v>
      </c>
      <c r="D79" s="290">
        <v>1</v>
      </c>
      <c r="E79" s="290">
        <v>1</v>
      </c>
      <c r="F79" s="290">
        <v>0</v>
      </c>
      <c r="G79" s="290">
        <v>0</v>
      </c>
      <c r="H79" s="290">
        <v>0</v>
      </c>
      <c r="I79" s="290">
        <v>1</v>
      </c>
      <c r="J79" s="290">
        <v>7</v>
      </c>
      <c r="K79" s="290">
        <v>8</v>
      </c>
      <c r="L79" s="290">
        <v>10</v>
      </c>
      <c r="M79" s="290">
        <v>10</v>
      </c>
      <c r="N79" s="290">
        <v>20</v>
      </c>
      <c r="O79" s="290">
        <v>0</v>
      </c>
      <c r="P79" s="290">
        <v>2</v>
      </c>
      <c r="Q79" s="290">
        <v>2</v>
      </c>
      <c r="R79" s="290">
        <v>0</v>
      </c>
      <c r="S79" s="290">
        <v>0</v>
      </c>
      <c r="T79" s="290">
        <v>0</v>
      </c>
      <c r="U79" s="290">
        <v>1</v>
      </c>
      <c r="V79" s="290">
        <v>1</v>
      </c>
      <c r="W79" s="290">
        <v>2</v>
      </c>
      <c r="X79" s="290">
        <v>2</v>
      </c>
      <c r="Y79" s="290">
        <v>1</v>
      </c>
      <c r="Z79" s="290">
        <v>3</v>
      </c>
      <c r="AA79" s="290">
        <v>14</v>
      </c>
      <c r="AB79" s="290">
        <v>22</v>
      </c>
      <c r="AC79" s="646">
        <v>36</v>
      </c>
    </row>
    <row r="80" spans="1:29" ht="15">
      <c r="A80" s="294">
        <v>76</v>
      </c>
      <c r="B80" s="289" t="s">
        <v>641</v>
      </c>
      <c r="C80" s="290">
        <v>11</v>
      </c>
      <c r="D80" s="290">
        <v>0</v>
      </c>
      <c r="E80" s="290">
        <v>11</v>
      </c>
      <c r="F80" s="290">
        <v>0</v>
      </c>
      <c r="G80" s="290">
        <v>0</v>
      </c>
      <c r="H80" s="290">
        <v>0</v>
      </c>
      <c r="I80" s="290">
        <v>5</v>
      </c>
      <c r="J80" s="290">
        <v>10</v>
      </c>
      <c r="K80" s="290">
        <v>15</v>
      </c>
      <c r="L80" s="290">
        <v>3</v>
      </c>
      <c r="M80" s="290">
        <v>4</v>
      </c>
      <c r="N80" s="290">
        <v>7</v>
      </c>
      <c r="O80" s="290">
        <v>0</v>
      </c>
      <c r="P80" s="290">
        <v>1</v>
      </c>
      <c r="Q80" s="290">
        <v>1</v>
      </c>
      <c r="R80" s="290">
        <v>0</v>
      </c>
      <c r="S80" s="290">
        <v>1</v>
      </c>
      <c r="T80" s="290">
        <v>1</v>
      </c>
      <c r="U80" s="290">
        <v>0</v>
      </c>
      <c r="V80" s="290">
        <v>0</v>
      </c>
      <c r="W80" s="290">
        <v>0</v>
      </c>
      <c r="X80" s="290">
        <v>0</v>
      </c>
      <c r="Y80" s="290">
        <v>0</v>
      </c>
      <c r="Z80" s="290">
        <v>0</v>
      </c>
      <c r="AA80" s="290">
        <v>19</v>
      </c>
      <c r="AB80" s="290">
        <v>16</v>
      </c>
      <c r="AC80" s="646">
        <v>35</v>
      </c>
    </row>
    <row r="81" spans="1:29" ht="15">
      <c r="A81" s="294">
        <v>77</v>
      </c>
      <c r="B81" s="289" t="s">
        <v>622</v>
      </c>
      <c r="C81" s="290">
        <v>1</v>
      </c>
      <c r="D81" s="290">
        <v>2</v>
      </c>
      <c r="E81" s="290">
        <v>3</v>
      </c>
      <c r="F81" s="290">
        <v>2</v>
      </c>
      <c r="G81" s="290">
        <v>0</v>
      </c>
      <c r="H81" s="290">
        <v>2</v>
      </c>
      <c r="I81" s="290">
        <v>2</v>
      </c>
      <c r="J81" s="290">
        <v>2</v>
      </c>
      <c r="K81" s="290">
        <v>4</v>
      </c>
      <c r="L81" s="290">
        <v>17</v>
      </c>
      <c r="M81" s="290">
        <v>7</v>
      </c>
      <c r="N81" s="290">
        <v>24</v>
      </c>
      <c r="O81" s="290">
        <v>0</v>
      </c>
      <c r="P81" s="290">
        <v>1</v>
      </c>
      <c r="Q81" s="290">
        <v>1</v>
      </c>
      <c r="R81" s="290">
        <v>0</v>
      </c>
      <c r="S81" s="290">
        <v>0</v>
      </c>
      <c r="T81" s="290">
        <v>0</v>
      </c>
      <c r="U81" s="290">
        <v>0</v>
      </c>
      <c r="V81" s="290">
        <v>0</v>
      </c>
      <c r="W81" s="290">
        <v>0</v>
      </c>
      <c r="X81" s="290">
        <v>0</v>
      </c>
      <c r="Y81" s="290">
        <v>0</v>
      </c>
      <c r="Z81" s="290">
        <v>0</v>
      </c>
      <c r="AA81" s="290">
        <v>22</v>
      </c>
      <c r="AB81" s="290">
        <v>12</v>
      </c>
      <c r="AC81" s="646">
        <v>34</v>
      </c>
    </row>
    <row r="82" spans="1:29" ht="29.25" customHeight="1">
      <c r="A82" s="294">
        <v>78</v>
      </c>
      <c r="B82" s="289" t="s">
        <v>633</v>
      </c>
      <c r="C82" s="290">
        <v>0</v>
      </c>
      <c r="D82" s="290">
        <v>0</v>
      </c>
      <c r="E82" s="290">
        <v>0</v>
      </c>
      <c r="F82" s="290">
        <v>0</v>
      </c>
      <c r="G82" s="290">
        <v>0</v>
      </c>
      <c r="H82" s="290">
        <v>0</v>
      </c>
      <c r="I82" s="290">
        <v>3</v>
      </c>
      <c r="J82" s="290">
        <v>4</v>
      </c>
      <c r="K82" s="290">
        <v>7</v>
      </c>
      <c r="L82" s="290">
        <v>16</v>
      </c>
      <c r="M82" s="290">
        <v>9</v>
      </c>
      <c r="N82" s="290">
        <v>25</v>
      </c>
      <c r="O82" s="290">
        <v>0</v>
      </c>
      <c r="P82" s="290">
        <v>0</v>
      </c>
      <c r="Q82" s="290">
        <v>0</v>
      </c>
      <c r="R82" s="290">
        <v>0</v>
      </c>
      <c r="S82" s="290">
        <v>0</v>
      </c>
      <c r="T82" s="290">
        <v>0</v>
      </c>
      <c r="U82" s="290">
        <v>0</v>
      </c>
      <c r="V82" s="290">
        <v>0</v>
      </c>
      <c r="W82" s="290">
        <v>0</v>
      </c>
      <c r="X82" s="290">
        <v>1</v>
      </c>
      <c r="Y82" s="290">
        <v>0</v>
      </c>
      <c r="Z82" s="290">
        <v>1</v>
      </c>
      <c r="AA82" s="290">
        <v>20</v>
      </c>
      <c r="AB82" s="290">
        <v>13</v>
      </c>
      <c r="AC82" s="646">
        <v>33</v>
      </c>
    </row>
    <row r="83" spans="1:29" ht="15">
      <c r="A83" s="294">
        <v>79</v>
      </c>
      <c r="B83" s="289" t="s">
        <v>606</v>
      </c>
      <c r="C83" s="290">
        <v>0</v>
      </c>
      <c r="D83" s="290">
        <v>0</v>
      </c>
      <c r="E83" s="290">
        <v>0</v>
      </c>
      <c r="F83" s="290">
        <v>0</v>
      </c>
      <c r="G83" s="290">
        <v>0</v>
      </c>
      <c r="H83" s="290">
        <v>0</v>
      </c>
      <c r="I83" s="290">
        <v>5</v>
      </c>
      <c r="J83" s="290">
        <v>0</v>
      </c>
      <c r="K83" s="290">
        <v>5</v>
      </c>
      <c r="L83" s="290">
        <v>24</v>
      </c>
      <c r="M83" s="290">
        <v>4</v>
      </c>
      <c r="N83" s="290">
        <v>28</v>
      </c>
      <c r="O83" s="290">
        <v>0</v>
      </c>
      <c r="P83" s="290">
        <v>0</v>
      </c>
      <c r="Q83" s="290">
        <v>0</v>
      </c>
      <c r="R83" s="290">
        <v>0</v>
      </c>
      <c r="S83" s="290">
        <v>0</v>
      </c>
      <c r="T83" s="290">
        <v>0</v>
      </c>
      <c r="U83" s="290">
        <v>0</v>
      </c>
      <c r="V83" s="290">
        <v>0</v>
      </c>
      <c r="W83" s="290">
        <v>0</v>
      </c>
      <c r="X83" s="290">
        <v>0</v>
      </c>
      <c r="Y83" s="290">
        <v>0</v>
      </c>
      <c r="Z83" s="290">
        <v>0</v>
      </c>
      <c r="AA83" s="290">
        <v>29</v>
      </c>
      <c r="AB83" s="290">
        <v>4</v>
      </c>
      <c r="AC83" s="646">
        <v>33</v>
      </c>
    </row>
    <row r="84" spans="1:29" ht="15">
      <c r="A84" s="294">
        <v>80</v>
      </c>
      <c r="B84" s="289" t="s">
        <v>666</v>
      </c>
      <c r="C84" s="290">
        <v>0</v>
      </c>
      <c r="D84" s="290">
        <v>0</v>
      </c>
      <c r="E84" s="290">
        <v>0</v>
      </c>
      <c r="F84" s="290">
        <v>0</v>
      </c>
      <c r="G84" s="290">
        <v>0</v>
      </c>
      <c r="H84" s="290">
        <v>0</v>
      </c>
      <c r="I84" s="290">
        <v>2</v>
      </c>
      <c r="J84" s="290">
        <v>0</v>
      </c>
      <c r="K84" s="290">
        <v>2</v>
      </c>
      <c r="L84" s="290">
        <v>26</v>
      </c>
      <c r="M84" s="290">
        <v>4</v>
      </c>
      <c r="N84" s="290">
        <v>30</v>
      </c>
      <c r="O84" s="290">
        <v>0</v>
      </c>
      <c r="P84" s="290">
        <v>0</v>
      </c>
      <c r="Q84" s="290">
        <v>0</v>
      </c>
      <c r="R84" s="290">
        <v>0</v>
      </c>
      <c r="S84" s="290">
        <v>0</v>
      </c>
      <c r="T84" s="290">
        <v>0</v>
      </c>
      <c r="U84" s="290">
        <v>0</v>
      </c>
      <c r="V84" s="290">
        <v>0</v>
      </c>
      <c r="W84" s="290">
        <v>0</v>
      </c>
      <c r="X84" s="290">
        <v>0</v>
      </c>
      <c r="Y84" s="290">
        <v>0</v>
      </c>
      <c r="Z84" s="290">
        <v>0</v>
      </c>
      <c r="AA84" s="290">
        <v>28</v>
      </c>
      <c r="AB84" s="290">
        <v>4</v>
      </c>
      <c r="AC84" s="646">
        <v>32</v>
      </c>
    </row>
    <row r="85" spans="1:29" ht="29.25" customHeight="1">
      <c r="A85" s="294">
        <v>81</v>
      </c>
      <c r="B85" s="289" t="s">
        <v>643</v>
      </c>
      <c r="C85" s="290">
        <v>0</v>
      </c>
      <c r="D85" s="290">
        <v>0</v>
      </c>
      <c r="E85" s="290">
        <v>0</v>
      </c>
      <c r="F85" s="290">
        <v>0</v>
      </c>
      <c r="G85" s="290">
        <v>0</v>
      </c>
      <c r="H85" s="290">
        <v>0</v>
      </c>
      <c r="I85" s="290">
        <v>5</v>
      </c>
      <c r="J85" s="290">
        <v>3</v>
      </c>
      <c r="K85" s="290">
        <v>8</v>
      </c>
      <c r="L85" s="290">
        <v>13</v>
      </c>
      <c r="M85" s="290">
        <v>9</v>
      </c>
      <c r="N85" s="290">
        <v>22</v>
      </c>
      <c r="O85" s="290">
        <v>0</v>
      </c>
      <c r="P85" s="290">
        <v>0</v>
      </c>
      <c r="Q85" s="290">
        <v>0</v>
      </c>
      <c r="R85" s="290">
        <v>0</v>
      </c>
      <c r="S85" s="290">
        <v>0</v>
      </c>
      <c r="T85" s="290">
        <v>0</v>
      </c>
      <c r="U85" s="290">
        <v>0</v>
      </c>
      <c r="V85" s="290">
        <v>0</v>
      </c>
      <c r="W85" s="290">
        <v>0</v>
      </c>
      <c r="X85" s="290">
        <v>1</v>
      </c>
      <c r="Y85" s="290">
        <v>0</v>
      </c>
      <c r="Z85" s="290">
        <v>1</v>
      </c>
      <c r="AA85" s="290">
        <v>19</v>
      </c>
      <c r="AB85" s="290">
        <v>12</v>
      </c>
      <c r="AC85" s="646">
        <v>31</v>
      </c>
    </row>
    <row r="86" spans="1:29" ht="15">
      <c r="A86" s="294">
        <v>82</v>
      </c>
      <c r="B86" s="289" t="s">
        <v>638</v>
      </c>
      <c r="C86" s="290">
        <v>0</v>
      </c>
      <c r="D86" s="290">
        <v>0</v>
      </c>
      <c r="E86" s="290">
        <v>0</v>
      </c>
      <c r="F86" s="290">
        <v>0</v>
      </c>
      <c r="G86" s="290">
        <v>0</v>
      </c>
      <c r="H86" s="290">
        <v>0</v>
      </c>
      <c r="I86" s="290">
        <v>8</v>
      </c>
      <c r="J86" s="290">
        <v>7</v>
      </c>
      <c r="K86" s="290">
        <v>15</v>
      </c>
      <c r="L86" s="290">
        <v>7</v>
      </c>
      <c r="M86" s="290">
        <v>5</v>
      </c>
      <c r="N86" s="290">
        <v>12</v>
      </c>
      <c r="O86" s="290">
        <v>0</v>
      </c>
      <c r="P86" s="290">
        <v>0</v>
      </c>
      <c r="Q86" s="290">
        <v>0</v>
      </c>
      <c r="R86" s="290">
        <v>0</v>
      </c>
      <c r="S86" s="290">
        <v>0</v>
      </c>
      <c r="T86" s="290">
        <v>0</v>
      </c>
      <c r="U86" s="290">
        <v>0</v>
      </c>
      <c r="V86" s="290">
        <v>0</v>
      </c>
      <c r="W86" s="290">
        <v>0</v>
      </c>
      <c r="X86" s="290">
        <v>0</v>
      </c>
      <c r="Y86" s="290">
        <v>1</v>
      </c>
      <c r="Z86" s="290">
        <v>1</v>
      </c>
      <c r="AA86" s="290">
        <v>15</v>
      </c>
      <c r="AB86" s="290">
        <v>13</v>
      </c>
      <c r="AC86" s="646">
        <v>28</v>
      </c>
    </row>
    <row r="87" spans="1:29" ht="15">
      <c r="A87" s="294">
        <v>83</v>
      </c>
      <c r="B87" s="289" t="s">
        <v>629</v>
      </c>
      <c r="C87" s="290">
        <v>1</v>
      </c>
      <c r="D87" s="290">
        <v>0</v>
      </c>
      <c r="E87" s="290">
        <v>1</v>
      </c>
      <c r="F87" s="290">
        <v>0</v>
      </c>
      <c r="G87" s="290">
        <v>0</v>
      </c>
      <c r="H87" s="290">
        <v>0</v>
      </c>
      <c r="I87" s="290">
        <v>11</v>
      </c>
      <c r="J87" s="290">
        <v>3</v>
      </c>
      <c r="K87" s="290">
        <v>14</v>
      </c>
      <c r="L87" s="290">
        <v>8</v>
      </c>
      <c r="M87" s="290">
        <v>5</v>
      </c>
      <c r="N87" s="290">
        <v>13</v>
      </c>
      <c r="O87" s="290">
        <v>0</v>
      </c>
      <c r="P87" s="290">
        <v>0</v>
      </c>
      <c r="Q87" s="290">
        <v>0</v>
      </c>
      <c r="R87" s="290">
        <v>0</v>
      </c>
      <c r="S87" s="290">
        <v>0</v>
      </c>
      <c r="T87" s="290">
        <v>0</v>
      </c>
      <c r="U87" s="290">
        <v>0</v>
      </c>
      <c r="V87" s="290">
        <v>0</v>
      </c>
      <c r="W87" s="290">
        <v>0</v>
      </c>
      <c r="X87" s="290">
        <v>0</v>
      </c>
      <c r="Y87" s="290">
        <v>0</v>
      </c>
      <c r="Z87" s="290">
        <v>0</v>
      </c>
      <c r="AA87" s="290">
        <v>20</v>
      </c>
      <c r="AB87" s="290">
        <v>8</v>
      </c>
      <c r="AC87" s="646">
        <v>28</v>
      </c>
    </row>
    <row r="88" spans="1:29" ht="15">
      <c r="A88" s="294">
        <v>84</v>
      </c>
      <c r="B88" s="289" t="s">
        <v>632</v>
      </c>
      <c r="C88" s="290">
        <v>0</v>
      </c>
      <c r="D88" s="290">
        <v>0</v>
      </c>
      <c r="E88" s="290">
        <v>0</v>
      </c>
      <c r="F88" s="290">
        <v>0</v>
      </c>
      <c r="G88" s="290">
        <v>0</v>
      </c>
      <c r="H88" s="290">
        <v>0</v>
      </c>
      <c r="I88" s="290">
        <v>0</v>
      </c>
      <c r="J88" s="290">
        <v>4</v>
      </c>
      <c r="K88" s="290">
        <v>4</v>
      </c>
      <c r="L88" s="290">
        <v>8</v>
      </c>
      <c r="M88" s="290">
        <v>12</v>
      </c>
      <c r="N88" s="290">
        <v>20</v>
      </c>
      <c r="O88" s="290">
        <v>0</v>
      </c>
      <c r="P88" s="290">
        <v>0</v>
      </c>
      <c r="Q88" s="290">
        <v>0</v>
      </c>
      <c r="R88" s="290">
        <v>0</v>
      </c>
      <c r="S88" s="290">
        <v>1</v>
      </c>
      <c r="T88" s="290">
        <v>1</v>
      </c>
      <c r="U88" s="290">
        <v>0</v>
      </c>
      <c r="V88" s="290">
        <v>0</v>
      </c>
      <c r="W88" s="290">
        <v>0</v>
      </c>
      <c r="X88" s="290">
        <v>0</v>
      </c>
      <c r="Y88" s="290">
        <v>2</v>
      </c>
      <c r="Z88" s="290">
        <v>2</v>
      </c>
      <c r="AA88" s="290">
        <v>8</v>
      </c>
      <c r="AB88" s="290">
        <v>19</v>
      </c>
      <c r="AC88" s="646">
        <v>27</v>
      </c>
    </row>
    <row r="89" spans="1:29" ht="15">
      <c r="A89" s="294">
        <v>85</v>
      </c>
      <c r="B89" s="289" t="s">
        <v>639</v>
      </c>
      <c r="C89" s="290">
        <v>0</v>
      </c>
      <c r="D89" s="290">
        <v>1</v>
      </c>
      <c r="E89" s="290">
        <v>1</v>
      </c>
      <c r="F89" s="290">
        <v>0</v>
      </c>
      <c r="G89" s="290">
        <v>0</v>
      </c>
      <c r="H89" s="290">
        <v>0</v>
      </c>
      <c r="I89" s="290">
        <v>1</v>
      </c>
      <c r="J89" s="290">
        <v>0</v>
      </c>
      <c r="K89" s="290">
        <v>1</v>
      </c>
      <c r="L89" s="290">
        <v>16</v>
      </c>
      <c r="M89" s="290">
        <v>7</v>
      </c>
      <c r="N89" s="290">
        <v>23</v>
      </c>
      <c r="O89" s="290">
        <v>0</v>
      </c>
      <c r="P89" s="290">
        <v>0</v>
      </c>
      <c r="Q89" s="290">
        <v>0</v>
      </c>
      <c r="R89" s="290">
        <v>0</v>
      </c>
      <c r="S89" s="290">
        <v>0</v>
      </c>
      <c r="T89" s="290">
        <v>0</v>
      </c>
      <c r="U89" s="290">
        <v>0</v>
      </c>
      <c r="V89" s="290">
        <v>0</v>
      </c>
      <c r="W89" s="290">
        <v>0</v>
      </c>
      <c r="X89" s="290">
        <v>0</v>
      </c>
      <c r="Y89" s="290">
        <v>0</v>
      </c>
      <c r="Z89" s="290">
        <v>0</v>
      </c>
      <c r="AA89" s="290">
        <v>17</v>
      </c>
      <c r="AB89" s="290">
        <v>8</v>
      </c>
      <c r="AC89" s="646">
        <v>25</v>
      </c>
    </row>
    <row r="90" spans="1:29" ht="15">
      <c r="A90" s="294">
        <v>86</v>
      </c>
      <c r="B90" s="289" t="s">
        <v>656</v>
      </c>
      <c r="C90" s="290">
        <v>0</v>
      </c>
      <c r="D90" s="290">
        <v>0</v>
      </c>
      <c r="E90" s="290">
        <v>0</v>
      </c>
      <c r="F90" s="290">
        <v>0</v>
      </c>
      <c r="G90" s="290">
        <v>0</v>
      </c>
      <c r="H90" s="290">
        <v>0</v>
      </c>
      <c r="I90" s="290">
        <v>8</v>
      </c>
      <c r="J90" s="290">
        <v>4</v>
      </c>
      <c r="K90" s="290">
        <v>12</v>
      </c>
      <c r="L90" s="290">
        <v>8</v>
      </c>
      <c r="M90" s="290">
        <v>3</v>
      </c>
      <c r="N90" s="290">
        <v>11</v>
      </c>
      <c r="O90" s="290">
        <v>0</v>
      </c>
      <c r="P90" s="290">
        <v>0</v>
      </c>
      <c r="Q90" s="290">
        <v>0</v>
      </c>
      <c r="R90" s="290">
        <v>1</v>
      </c>
      <c r="S90" s="290">
        <v>1</v>
      </c>
      <c r="T90" s="290">
        <v>2</v>
      </c>
      <c r="U90" s="290">
        <v>0</v>
      </c>
      <c r="V90" s="290">
        <v>0</v>
      </c>
      <c r="W90" s="290">
        <v>0</v>
      </c>
      <c r="X90" s="290">
        <v>0</v>
      </c>
      <c r="Y90" s="290">
        <v>0</v>
      </c>
      <c r="Z90" s="290">
        <v>0</v>
      </c>
      <c r="AA90" s="290">
        <v>17</v>
      </c>
      <c r="AB90" s="290">
        <v>8</v>
      </c>
      <c r="AC90" s="646">
        <v>25</v>
      </c>
    </row>
    <row r="91" spans="1:29" ht="15">
      <c r="A91" s="294">
        <v>87</v>
      </c>
      <c r="B91" s="289" t="s">
        <v>648</v>
      </c>
      <c r="C91" s="290">
        <v>0</v>
      </c>
      <c r="D91" s="290">
        <v>0</v>
      </c>
      <c r="E91" s="290">
        <v>0</v>
      </c>
      <c r="F91" s="290">
        <v>0</v>
      </c>
      <c r="G91" s="290">
        <v>0</v>
      </c>
      <c r="H91" s="290">
        <v>0</v>
      </c>
      <c r="I91" s="290">
        <v>1</v>
      </c>
      <c r="J91" s="290">
        <v>1</v>
      </c>
      <c r="K91" s="290">
        <v>2</v>
      </c>
      <c r="L91" s="290">
        <v>13</v>
      </c>
      <c r="M91" s="290">
        <v>8</v>
      </c>
      <c r="N91" s="290">
        <v>21</v>
      </c>
      <c r="O91" s="290">
        <v>0</v>
      </c>
      <c r="P91" s="290">
        <v>0</v>
      </c>
      <c r="Q91" s="290">
        <v>0</v>
      </c>
      <c r="R91" s="290">
        <v>0</v>
      </c>
      <c r="S91" s="290">
        <v>1</v>
      </c>
      <c r="T91" s="290">
        <v>1</v>
      </c>
      <c r="U91" s="290">
        <v>0</v>
      </c>
      <c r="V91" s="290">
        <v>0</v>
      </c>
      <c r="W91" s="290">
        <v>0</v>
      </c>
      <c r="X91" s="290">
        <v>0</v>
      </c>
      <c r="Y91" s="290">
        <v>0</v>
      </c>
      <c r="Z91" s="290">
        <v>0</v>
      </c>
      <c r="AA91" s="290">
        <v>14</v>
      </c>
      <c r="AB91" s="290">
        <v>10</v>
      </c>
      <c r="AC91" s="646">
        <v>24</v>
      </c>
    </row>
    <row r="92" spans="1:29" ht="15">
      <c r="A92" s="294">
        <v>88</v>
      </c>
      <c r="B92" s="289" t="s">
        <v>623</v>
      </c>
      <c r="C92" s="290">
        <v>0</v>
      </c>
      <c r="D92" s="290">
        <v>0</v>
      </c>
      <c r="E92" s="290">
        <v>0</v>
      </c>
      <c r="F92" s="290">
        <v>0</v>
      </c>
      <c r="G92" s="290">
        <v>0</v>
      </c>
      <c r="H92" s="290">
        <v>0</v>
      </c>
      <c r="I92" s="290">
        <v>2</v>
      </c>
      <c r="J92" s="290">
        <v>3</v>
      </c>
      <c r="K92" s="290">
        <v>5</v>
      </c>
      <c r="L92" s="290">
        <v>10</v>
      </c>
      <c r="M92" s="290">
        <v>9</v>
      </c>
      <c r="N92" s="290">
        <v>19</v>
      </c>
      <c r="O92" s="290">
        <v>0</v>
      </c>
      <c r="P92" s="290">
        <v>0</v>
      </c>
      <c r="Q92" s="290">
        <v>0</v>
      </c>
      <c r="R92" s="290">
        <v>0</v>
      </c>
      <c r="S92" s="290">
        <v>0</v>
      </c>
      <c r="T92" s="290">
        <v>0</v>
      </c>
      <c r="U92" s="290">
        <v>0</v>
      </c>
      <c r="V92" s="290">
        <v>0</v>
      </c>
      <c r="W92" s="290">
        <v>0</v>
      </c>
      <c r="X92" s="290">
        <v>0</v>
      </c>
      <c r="Y92" s="290">
        <v>0</v>
      </c>
      <c r="Z92" s="290">
        <v>0</v>
      </c>
      <c r="AA92" s="290">
        <v>12</v>
      </c>
      <c r="AB92" s="290">
        <v>12</v>
      </c>
      <c r="AC92" s="646">
        <v>24</v>
      </c>
    </row>
    <row r="93" spans="1:29" ht="15">
      <c r="A93" s="294">
        <v>89</v>
      </c>
      <c r="B93" s="289" t="s">
        <v>700</v>
      </c>
      <c r="C93" s="290">
        <v>15</v>
      </c>
      <c r="D93" s="290">
        <v>2</v>
      </c>
      <c r="E93" s="290">
        <v>17</v>
      </c>
      <c r="F93" s="290">
        <v>0</v>
      </c>
      <c r="G93" s="290">
        <v>0</v>
      </c>
      <c r="H93" s="290">
        <v>0</v>
      </c>
      <c r="I93" s="290">
        <v>5</v>
      </c>
      <c r="J93" s="290">
        <v>1</v>
      </c>
      <c r="K93" s="290">
        <v>6</v>
      </c>
      <c r="L93" s="290">
        <v>0</v>
      </c>
      <c r="M93" s="290">
        <v>0</v>
      </c>
      <c r="N93" s="290">
        <v>0</v>
      </c>
      <c r="O93" s="290">
        <v>0</v>
      </c>
      <c r="P93" s="290">
        <v>0</v>
      </c>
      <c r="Q93" s="290">
        <v>0</v>
      </c>
      <c r="R93" s="290">
        <v>0</v>
      </c>
      <c r="S93" s="290">
        <v>0</v>
      </c>
      <c r="T93" s="290">
        <v>0</v>
      </c>
      <c r="U93" s="290">
        <v>0</v>
      </c>
      <c r="V93" s="290">
        <v>0</v>
      </c>
      <c r="W93" s="290">
        <v>0</v>
      </c>
      <c r="X93" s="290">
        <v>0</v>
      </c>
      <c r="Y93" s="290">
        <v>0</v>
      </c>
      <c r="Z93" s="290">
        <v>0</v>
      </c>
      <c r="AA93" s="290">
        <v>20</v>
      </c>
      <c r="AB93" s="290">
        <v>3</v>
      </c>
      <c r="AC93" s="646">
        <v>23</v>
      </c>
    </row>
    <row r="94" spans="1:29" ht="15">
      <c r="A94" s="294">
        <v>90</v>
      </c>
      <c r="B94" s="289" t="s">
        <v>646</v>
      </c>
      <c r="C94" s="290">
        <v>0</v>
      </c>
      <c r="D94" s="290">
        <v>2</v>
      </c>
      <c r="E94" s="290">
        <v>2</v>
      </c>
      <c r="F94" s="290">
        <v>0</v>
      </c>
      <c r="G94" s="290">
        <v>0</v>
      </c>
      <c r="H94" s="290">
        <v>0</v>
      </c>
      <c r="I94" s="290">
        <v>1</v>
      </c>
      <c r="J94" s="290">
        <v>3</v>
      </c>
      <c r="K94" s="290">
        <v>4</v>
      </c>
      <c r="L94" s="290">
        <v>4</v>
      </c>
      <c r="M94" s="290">
        <v>10</v>
      </c>
      <c r="N94" s="290">
        <v>14</v>
      </c>
      <c r="O94" s="290">
        <v>1</v>
      </c>
      <c r="P94" s="290">
        <v>0</v>
      </c>
      <c r="Q94" s="290">
        <v>1</v>
      </c>
      <c r="R94" s="290">
        <v>0</v>
      </c>
      <c r="S94" s="290">
        <v>0</v>
      </c>
      <c r="T94" s="290">
        <v>0</v>
      </c>
      <c r="U94" s="290">
        <v>0</v>
      </c>
      <c r="V94" s="290">
        <v>0</v>
      </c>
      <c r="W94" s="290">
        <v>0</v>
      </c>
      <c r="X94" s="290">
        <v>0</v>
      </c>
      <c r="Y94" s="290">
        <v>0</v>
      </c>
      <c r="Z94" s="290">
        <v>0</v>
      </c>
      <c r="AA94" s="290">
        <v>6</v>
      </c>
      <c r="AB94" s="290">
        <v>15</v>
      </c>
      <c r="AC94" s="646">
        <v>21</v>
      </c>
    </row>
    <row r="95" spans="1:29" ht="15">
      <c r="A95" s="294">
        <v>91</v>
      </c>
      <c r="B95" s="289" t="s">
        <v>644</v>
      </c>
      <c r="C95" s="290">
        <v>1</v>
      </c>
      <c r="D95" s="290">
        <v>0</v>
      </c>
      <c r="E95" s="290">
        <v>1</v>
      </c>
      <c r="F95" s="290">
        <v>0</v>
      </c>
      <c r="G95" s="290">
        <v>0</v>
      </c>
      <c r="H95" s="290">
        <v>0</v>
      </c>
      <c r="I95" s="290">
        <v>5</v>
      </c>
      <c r="J95" s="290">
        <v>1</v>
      </c>
      <c r="K95" s="290">
        <v>6</v>
      </c>
      <c r="L95" s="290">
        <v>9</v>
      </c>
      <c r="M95" s="290">
        <v>4</v>
      </c>
      <c r="N95" s="290">
        <v>13</v>
      </c>
      <c r="O95" s="290">
        <v>0</v>
      </c>
      <c r="P95" s="290">
        <v>0</v>
      </c>
      <c r="Q95" s="290">
        <v>0</v>
      </c>
      <c r="R95" s="290">
        <v>0</v>
      </c>
      <c r="S95" s="290">
        <v>0</v>
      </c>
      <c r="T95" s="290">
        <v>0</v>
      </c>
      <c r="U95" s="290">
        <v>0</v>
      </c>
      <c r="V95" s="290">
        <v>0</v>
      </c>
      <c r="W95" s="290">
        <v>0</v>
      </c>
      <c r="X95" s="290">
        <v>0</v>
      </c>
      <c r="Y95" s="290">
        <v>0</v>
      </c>
      <c r="Z95" s="290">
        <v>0</v>
      </c>
      <c r="AA95" s="290">
        <v>15</v>
      </c>
      <c r="AB95" s="290">
        <v>5</v>
      </c>
      <c r="AC95" s="646">
        <v>20</v>
      </c>
    </row>
    <row r="96" spans="1:29" ht="15">
      <c r="A96" s="294">
        <v>92</v>
      </c>
      <c r="B96" s="289" t="s">
        <v>637</v>
      </c>
      <c r="C96" s="290">
        <v>0</v>
      </c>
      <c r="D96" s="290">
        <v>3</v>
      </c>
      <c r="E96" s="290">
        <v>3</v>
      </c>
      <c r="F96" s="290">
        <v>0</v>
      </c>
      <c r="G96" s="290">
        <v>0</v>
      </c>
      <c r="H96" s="290">
        <v>0</v>
      </c>
      <c r="I96" s="290">
        <v>5</v>
      </c>
      <c r="J96" s="290">
        <v>2</v>
      </c>
      <c r="K96" s="290">
        <v>7</v>
      </c>
      <c r="L96" s="290">
        <v>4</v>
      </c>
      <c r="M96" s="290">
        <v>3</v>
      </c>
      <c r="N96" s="290">
        <v>7</v>
      </c>
      <c r="O96" s="290">
        <v>0</v>
      </c>
      <c r="P96" s="290">
        <v>1</v>
      </c>
      <c r="Q96" s="290">
        <v>1</v>
      </c>
      <c r="R96" s="290">
        <v>0</v>
      </c>
      <c r="S96" s="290">
        <v>1</v>
      </c>
      <c r="T96" s="290">
        <v>1</v>
      </c>
      <c r="U96" s="290">
        <v>0</v>
      </c>
      <c r="V96" s="290">
        <v>0</v>
      </c>
      <c r="W96" s="290">
        <v>0</v>
      </c>
      <c r="X96" s="290">
        <v>0</v>
      </c>
      <c r="Y96" s="290">
        <v>1</v>
      </c>
      <c r="Z96" s="290">
        <v>1</v>
      </c>
      <c r="AA96" s="290">
        <v>9</v>
      </c>
      <c r="AB96" s="290">
        <v>11</v>
      </c>
      <c r="AC96" s="646">
        <v>20</v>
      </c>
    </row>
    <row r="97" spans="1:29" ht="15.75" customHeight="1">
      <c r="A97" s="294">
        <v>93</v>
      </c>
      <c r="B97" s="289" t="s">
        <v>706</v>
      </c>
      <c r="C97" s="290">
        <v>0</v>
      </c>
      <c r="D97" s="290">
        <v>0</v>
      </c>
      <c r="E97" s="290">
        <v>0</v>
      </c>
      <c r="F97" s="290">
        <v>0</v>
      </c>
      <c r="G97" s="290">
        <v>0</v>
      </c>
      <c r="H97" s="290">
        <v>0</v>
      </c>
      <c r="I97" s="290">
        <v>0</v>
      </c>
      <c r="J97" s="290">
        <v>0</v>
      </c>
      <c r="K97" s="290">
        <v>0</v>
      </c>
      <c r="L97" s="290">
        <v>14</v>
      </c>
      <c r="M97" s="290">
        <v>5</v>
      </c>
      <c r="N97" s="290">
        <v>19</v>
      </c>
      <c r="O97" s="290">
        <v>0</v>
      </c>
      <c r="P97" s="290">
        <v>0</v>
      </c>
      <c r="Q97" s="290">
        <v>0</v>
      </c>
      <c r="R97" s="290">
        <v>0</v>
      </c>
      <c r="S97" s="290">
        <v>0</v>
      </c>
      <c r="T97" s="290">
        <v>0</v>
      </c>
      <c r="U97" s="290">
        <v>0</v>
      </c>
      <c r="V97" s="290">
        <v>0</v>
      </c>
      <c r="W97" s="290">
        <v>0</v>
      </c>
      <c r="X97" s="290">
        <v>0</v>
      </c>
      <c r="Y97" s="290">
        <v>0</v>
      </c>
      <c r="Z97" s="290">
        <v>0</v>
      </c>
      <c r="AA97" s="290">
        <v>14</v>
      </c>
      <c r="AB97" s="290">
        <v>5</v>
      </c>
      <c r="AC97" s="646">
        <v>19</v>
      </c>
    </row>
    <row r="98" spans="1:29" ht="15">
      <c r="A98" s="294">
        <v>94</v>
      </c>
      <c r="B98" s="289" t="s">
        <v>640</v>
      </c>
      <c r="C98" s="290">
        <v>0</v>
      </c>
      <c r="D98" s="290">
        <v>0</v>
      </c>
      <c r="E98" s="290">
        <v>0</v>
      </c>
      <c r="F98" s="290">
        <v>0</v>
      </c>
      <c r="G98" s="290">
        <v>0</v>
      </c>
      <c r="H98" s="290">
        <v>0</v>
      </c>
      <c r="I98" s="290">
        <v>2</v>
      </c>
      <c r="J98" s="290">
        <v>1</v>
      </c>
      <c r="K98" s="290">
        <v>3</v>
      </c>
      <c r="L98" s="290">
        <v>9</v>
      </c>
      <c r="M98" s="290">
        <v>7</v>
      </c>
      <c r="N98" s="290">
        <v>16</v>
      </c>
      <c r="O98" s="290">
        <v>0</v>
      </c>
      <c r="P98" s="290">
        <v>0</v>
      </c>
      <c r="Q98" s="290">
        <v>0</v>
      </c>
      <c r="R98" s="290">
        <v>0</v>
      </c>
      <c r="S98" s="290">
        <v>0</v>
      </c>
      <c r="T98" s="290">
        <v>0</v>
      </c>
      <c r="U98" s="290">
        <v>0</v>
      </c>
      <c r="V98" s="290">
        <v>0</v>
      </c>
      <c r="W98" s="290">
        <v>0</v>
      </c>
      <c r="X98" s="290">
        <v>0</v>
      </c>
      <c r="Y98" s="290">
        <v>0</v>
      </c>
      <c r="Z98" s="290">
        <v>0</v>
      </c>
      <c r="AA98" s="290">
        <v>11</v>
      </c>
      <c r="AB98" s="290">
        <v>8</v>
      </c>
      <c r="AC98" s="646">
        <v>19</v>
      </c>
    </row>
    <row r="99" spans="1:29" ht="15">
      <c r="A99" s="294">
        <v>95</v>
      </c>
      <c r="B99" s="289" t="s">
        <v>631</v>
      </c>
      <c r="C99" s="290">
        <v>3</v>
      </c>
      <c r="D99" s="290">
        <v>2</v>
      </c>
      <c r="E99" s="290">
        <v>5</v>
      </c>
      <c r="F99" s="290">
        <v>0</v>
      </c>
      <c r="G99" s="290">
        <v>0</v>
      </c>
      <c r="H99" s="290">
        <v>0</v>
      </c>
      <c r="I99" s="290">
        <v>7</v>
      </c>
      <c r="J99" s="290">
        <v>2</v>
      </c>
      <c r="K99" s="290">
        <v>9</v>
      </c>
      <c r="L99" s="290">
        <v>3</v>
      </c>
      <c r="M99" s="290">
        <v>2</v>
      </c>
      <c r="N99" s="290">
        <v>5</v>
      </c>
      <c r="O99" s="290">
        <v>0</v>
      </c>
      <c r="P99" s="290">
        <v>0</v>
      </c>
      <c r="Q99" s="290">
        <v>0</v>
      </c>
      <c r="R99" s="290">
        <v>0</v>
      </c>
      <c r="S99" s="290">
        <v>0</v>
      </c>
      <c r="T99" s="290">
        <v>0</v>
      </c>
      <c r="U99" s="290">
        <v>0</v>
      </c>
      <c r="V99" s="290">
        <v>0</v>
      </c>
      <c r="W99" s="290">
        <v>0</v>
      </c>
      <c r="X99" s="290">
        <v>0</v>
      </c>
      <c r="Y99" s="290">
        <v>0</v>
      </c>
      <c r="Z99" s="290">
        <v>0</v>
      </c>
      <c r="AA99" s="290">
        <v>13</v>
      </c>
      <c r="AB99" s="290">
        <v>6</v>
      </c>
      <c r="AC99" s="646">
        <v>19</v>
      </c>
    </row>
    <row r="100" spans="1:29" ht="15">
      <c r="A100" s="294">
        <v>96</v>
      </c>
      <c r="B100" s="289" t="s">
        <v>625</v>
      </c>
      <c r="C100" s="290">
        <v>0</v>
      </c>
      <c r="D100" s="290">
        <v>0</v>
      </c>
      <c r="E100" s="290">
        <v>0</v>
      </c>
      <c r="F100" s="290">
        <v>0</v>
      </c>
      <c r="G100" s="290">
        <v>0</v>
      </c>
      <c r="H100" s="290">
        <v>0</v>
      </c>
      <c r="I100" s="290">
        <v>5</v>
      </c>
      <c r="J100" s="290">
        <v>0</v>
      </c>
      <c r="K100" s="290">
        <v>5</v>
      </c>
      <c r="L100" s="290">
        <v>10</v>
      </c>
      <c r="M100" s="290">
        <v>1</v>
      </c>
      <c r="N100" s="290">
        <v>11</v>
      </c>
      <c r="O100" s="290">
        <v>0</v>
      </c>
      <c r="P100" s="290">
        <v>0</v>
      </c>
      <c r="Q100" s="290">
        <v>0</v>
      </c>
      <c r="R100" s="290">
        <v>0</v>
      </c>
      <c r="S100" s="290">
        <v>0</v>
      </c>
      <c r="T100" s="290">
        <v>0</v>
      </c>
      <c r="U100" s="290">
        <v>0</v>
      </c>
      <c r="V100" s="290">
        <v>0</v>
      </c>
      <c r="W100" s="290">
        <v>0</v>
      </c>
      <c r="X100" s="290">
        <v>0</v>
      </c>
      <c r="Y100" s="290">
        <v>0</v>
      </c>
      <c r="Z100" s="290">
        <v>0</v>
      </c>
      <c r="AA100" s="290">
        <v>15</v>
      </c>
      <c r="AB100" s="290">
        <v>1</v>
      </c>
      <c r="AC100" s="646">
        <v>16</v>
      </c>
    </row>
    <row r="101" spans="1:29" ht="15">
      <c r="A101" s="294">
        <v>97</v>
      </c>
      <c r="B101" s="289" t="s">
        <v>661</v>
      </c>
      <c r="C101" s="290">
        <v>2</v>
      </c>
      <c r="D101" s="290">
        <v>1</v>
      </c>
      <c r="E101" s="290">
        <v>3</v>
      </c>
      <c r="F101" s="290">
        <v>0</v>
      </c>
      <c r="G101" s="290">
        <v>0</v>
      </c>
      <c r="H101" s="290">
        <v>0</v>
      </c>
      <c r="I101" s="290">
        <v>1</v>
      </c>
      <c r="J101" s="290">
        <v>2</v>
      </c>
      <c r="K101" s="290">
        <v>3</v>
      </c>
      <c r="L101" s="290">
        <v>2</v>
      </c>
      <c r="M101" s="290">
        <v>3</v>
      </c>
      <c r="N101" s="290">
        <v>5</v>
      </c>
      <c r="O101" s="290">
        <v>0</v>
      </c>
      <c r="P101" s="290">
        <v>0</v>
      </c>
      <c r="Q101" s="290">
        <v>0</v>
      </c>
      <c r="R101" s="290">
        <v>0</v>
      </c>
      <c r="S101" s="290">
        <v>0</v>
      </c>
      <c r="T101" s="290">
        <v>0</v>
      </c>
      <c r="U101" s="290">
        <v>0</v>
      </c>
      <c r="V101" s="290">
        <v>0</v>
      </c>
      <c r="W101" s="290">
        <v>0</v>
      </c>
      <c r="X101" s="290">
        <v>2</v>
      </c>
      <c r="Y101" s="290">
        <v>2</v>
      </c>
      <c r="Z101" s="290">
        <v>4</v>
      </c>
      <c r="AA101" s="290">
        <v>7</v>
      </c>
      <c r="AB101" s="290">
        <v>8</v>
      </c>
      <c r="AC101" s="646">
        <v>15</v>
      </c>
    </row>
    <row r="102" spans="1:29" ht="15">
      <c r="A102" s="294">
        <v>98</v>
      </c>
      <c r="B102" s="289" t="s">
        <v>649</v>
      </c>
      <c r="C102" s="290">
        <v>0</v>
      </c>
      <c r="D102" s="290">
        <v>0</v>
      </c>
      <c r="E102" s="290">
        <v>0</v>
      </c>
      <c r="F102" s="290">
        <v>1</v>
      </c>
      <c r="G102" s="290">
        <v>0</v>
      </c>
      <c r="H102" s="290">
        <v>1</v>
      </c>
      <c r="I102" s="290">
        <v>4</v>
      </c>
      <c r="J102" s="290">
        <v>2</v>
      </c>
      <c r="K102" s="290">
        <v>6</v>
      </c>
      <c r="L102" s="290">
        <v>7</v>
      </c>
      <c r="M102" s="290">
        <v>1</v>
      </c>
      <c r="N102" s="290">
        <v>8</v>
      </c>
      <c r="O102" s="290">
        <v>0</v>
      </c>
      <c r="P102" s="290">
        <v>0</v>
      </c>
      <c r="Q102" s="290">
        <v>0</v>
      </c>
      <c r="R102" s="290">
        <v>0</v>
      </c>
      <c r="S102" s="290">
        <v>0</v>
      </c>
      <c r="T102" s="290">
        <v>0</v>
      </c>
      <c r="U102" s="290">
        <v>0</v>
      </c>
      <c r="V102" s="290">
        <v>0</v>
      </c>
      <c r="W102" s="290">
        <v>0</v>
      </c>
      <c r="X102" s="290">
        <v>0</v>
      </c>
      <c r="Y102" s="290">
        <v>0</v>
      </c>
      <c r="Z102" s="290">
        <v>0</v>
      </c>
      <c r="AA102" s="290">
        <v>12</v>
      </c>
      <c r="AB102" s="290">
        <v>3</v>
      </c>
      <c r="AC102" s="646">
        <v>15</v>
      </c>
    </row>
    <row r="103" spans="1:29" ht="15">
      <c r="A103" s="294">
        <v>99</v>
      </c>
      <c r="B103" s="289" t="s">
        <v>687</v>
      </c>
      <c r="C103" s="290">
        <v>0</v>
      </c>
      <c r="D103" s="290">
        <v>0</v>
      </c>
      <c r="E103" s="290">
        <v>0</v>
      </c>
      <c r="F103" s="290">
        <v>0</v>
      </c>
      <c r="G103" s="290">
        <v>0</v>
      </c>
      <c r="H103" s="290">
        <v>0</v>
      </c>
      <c r="I103" s="290">
        <v>3</v>
      </c>
      <c r="J103" s="290">
        <v>0</v>
      </c>
      <c r="K103" s="290">
        <v>3</v>
      </c>
      <c r="L103" s="290">
        <v>2</v>
      </c>
      <c r="M103" s="290">
        <v>10</v>
      </c>
      <c r="N103" s="290">
        <v>12</v>
      </c>
      <c r="O103" s="290">
        <v>0</v>
      </c>
      <c r="P103" s="290">
        <v>0</v>
      </c>
      <c r="Q103" s="290">
        <v>0</v>
      </c>
      <c r="R103" s="290">
        <v>0</v>
      </c>
      <c r="S103" s="290">
        <v>0</v>
      </c>
      <c r="T103" s="290">
        <v>0</v>
      </c>
      <c r="U103" s="290">
        <v>0</v>
      </c>
      <c r="V103" s="290">
        <v>0</v>
      </c>
      <c r="W103" s="290">
        <v>0</v>
      </c>
      <c r="X103" s="290">
        <v>0</v>
      </c>
      <c r="Y103" s="290">
        <v>0</v>
      </c>
      <c r="Z103" s="290">
        <v>0</v>
      </c>
      <c r="AA103" s="290">
        <v>5</v>
      </c>
      <c r="AB103" s="290">
        <v>10</v>
      </c>
      <c r="AC103" s="646">
        <v>15</v>
      </c>
    </row>
    <row r="104" spans="1:29" ht="15">
      <c r="A104" s="294">
        <v>100</v>
      </c>
      <c r="B104" s="289" t="s">
        <v>651</v>
      </c>
      <c r="C104" s="290">
        <v>0</v>
      </c>
      <c r="D104" s="290">
        <v>2</v>
      </c>
      <c r="E104" s="290">
        <v>2</v>
      </c>
      <c r="F104" s="290">
        <v>0</v>
      </c>
      <c r="G104" s="290">
        <v>0</v>
      </c>
      <c r="H104" s="290">
        <v>0</v>
      </c>
      <c r="I104" s="290">
        <v>1</v>
      </c>
      <c r="J104" s="290">
        <v>6</v>
      </c>
      <c r="K104" s="290">
        <v>7</v>
      </c>
      <c r="L104" s="290">
        <v>2</v>
      </c>
      <c r="M104" s="290">
        <v>3</v>
      </c>
      <c r="N104" s="290">
        <v>5</v>
      </c>
      <c r="O104" s="290">
        <v>0</v>
      </c>
      <c r="P104" s="290">
        <v>0</v>
      </c>
      <c r="Q104" s="290">
        <v>0</v>
      </c>
      <c r="R104" s="290">
        <v>0</v>
      </c>
      <c r="S104" s="290">
        <v>0</v>
      </c>
      <c r="T104" s="290">
        <v>0</v>
      </c>
      <c r="U104" s="290">
        <v>0</v>
      </c>
      <c r="V104" s="290">
        <v>0</v>
      </c>
      <c r="W104" s="290">
        <v>0</v>
      </c>
      <c r="X104" s="290">
        <v>0</v>
      </c>
      <c r="Y104" s="290">
        <v>0</v>
      </c>
      <c r="Z104" s="290">
        <v>0</v>
      </c>
      <c r="AA104" s="290">
        <v>3</v>
      </c>
      <c r="AB104" s="290">
        <v>11</v>
      </c>
      <c r="AC104" s="646">
        <v>14</v>
      </c>
    </row>
    <row r="105" spans="1:29" ht="15">
      <c r="A105" s="294">
        <v>101</v>
      </c>
      <c r="B105" s="289" t="s">
        <v>786</v>
      </c>
      <c r="C105" s="290">
        <v>0</v>
      </c>
      <c r="D105" s="290">
        <v>0</v>
      </c>
      <c r="E105" s="290">
        <v>0</v>
      </c>
      <c r="F105" s="290">
        <v>0</v>
      </c>
      <c r="G105" s="290">
        <v>0</v>
      </c>
      <c r="H105" s="290">
        <v>0</v>
      </c>
      <c r="I105" s="290">
        <v>6</v>
      </c>
      <c r="J105" s="290">
        <v>6</v>
      </c>
      <c r="K105" s="290">
        <v>12</v>
      </c>
      <c r="L105" s="290">
        <v>0</v>
      </c>
      <c r="M105" s="290">
        <v>0</v>
      </c>
      <c r="N105" s="290">
        <v>0</v>
      </c>
      <c r="O105" s="290">
        <v>0</v>
      </c>
      <c r="P105" s="290">
        <v>0</v>
      </c>
      <c r="Q105" s="290">
        <v>0</v>
      </c>
      <c r="R105" s="290">
        <v>0</v>
      </c>
      <c r="S105" s="290">
        <v>0</v>
      </c>
      <c r="T105" s="290">
        <v>0</v>
      </c>
      <c r="U105" s="290">
        <v>0</v>
      </c>
      <c r="V105" s="290">
        <v>0</v>
      </c>
      <c r="W105" s="290">
        <v>0</v>
      </c>
      <c r="X105" s="290">
        <v>0</v>
      </c>
      <c r="Y105" s="290">
        <v>0</v>
      </c>
      <c r="Z105" s="290">
        <v>0</v>
      </c>
      <c r="AA105" s="290">
        <v>6</v>
      </c>
      <c r="AB105" s="290">
        <v>6</v>
      </c>
      <c r="AC105" s="646">
        <v>12</v>
      </c>
    </row>
    <row r="106" spans="1:29" ht="15">
      <c r="A106" s="294">
        <v>102</v>
      </c>
      <c r="B106" s="289" t="s">
        <v>659</v>
      </c>
      <c r="C106" s="290">
        <v>0</v>
      </c>
      <c r="D106" s="290">
        <v>0</v>
      </c>
      <c r="E106" s="290">
        <v>0</v>
      </c>
      <c r="F106" s="290">
        <v>0</v>
      </c>
      <c r="G106" s="290">
        <v>0</v>
      </c>
      <c r="H106" s="290">
        <v>0</v>
      </c>
      <c r="I106" s="290">
        <v>8</v>
      </c>
      <c r="J106" s="290">
        <v>0</v>
      </c>
      <c r="K106" s="290">
        <v>8</v>
      </c>
      <c r="L106" s="290">
        <v>4</v>
      </c>
      <c r="M106" s="290">
        <v>0</v>
      </c>
      <c r="N106" s="290">
        <v>4</v>
      </c>
      <c r="O106" s="290">
        <v>0</v>
      </c>
      <c r="P106" s="290">
        <v>0</v>
      </c>
      <c r="Q106" s="290">
        <v>0</v>
      </c>
      <c r="R106" s="290">
        <v>0</v>
      </c>
      <c r="S106" s="290">
        <v>0</v>
      </c>
      <c r="T106" s="290">
        <v>0</v>
      </c>
      <c r="U106" s="290">
        <v>0</v>
      </c>
      <c r="V106" s="290">
        <v>0</v>
      </c>
      <c r="W106" s="290">
        <v>0</v>
      </c>
      <c r="X106" s="290">
        <v>0</v>
      </c>
      <c r="Y106" s="290">
        <v>0</v>
      </c>
      <c r="Z106" s="290">
        <v>0</v>
      </c>
      <c r="AA106" s="290">
        <v>12</v>
      </c>
      <c r="AB106" s="290">
        <v>0</v>
      </c>
      <c r="AC106" s="646">
        <v>12</v>
      </c>
    </row>
    <row r="107" spans="1:29" ht="15">
      <c r="A107" s="294">
        <v>103</v>
      </c>
      <c r="B107" s="289" t="s">
        <v>594</v>
      </c>
      <c r="C107" s="290">
        <v>0</v>
      </c>
      <c r="D107" s="290">
        <v>0</v>
      </c>
      <c r="E107" s="290">
        <v>0</v>
      </c>
      <c r="F107" s="290">
        <v>0</v>
      </c>
      <c r="G107" s="290">
        <v>0</v>
      </c>
      <c r="H107" s="290">
        <v>0</v>
      </c>
      <c r="I107" s="290">
        <v>1</v>
      </c>
      <c r="J107" s="290">
        <v>0</v>
      </c>
      <c r="K107" s="290">
        <v>1</v>
      </c>
      <c r="L107" s="290">
        <v>5</v>
      </c>
      <c r="M107" s="290">
        <v>6</v>
      </c>
      <c r="N107" s="290">
        <v>11</v>
      </c>
      <c r="O107" s="290">
        <v>0</v>
      </c>
      <c r="P107" s="290">
        <v>0</v>
      </c>
      <c r="Q107" s="290">
        <v>0</v>
      </c>
      <c r="R107" s="290">
        <v>0</v>
      </c>
      <c r="S107" s="290">
        <v>0</v>
      </c>
      <c r="T107" s="290">
        <v>0</v>
      </c>
      <c r="U107" s="290">
        <v>0</v>
      </c>
      <c r="V107" s="290">
        <v>0</v>
      </c>
      <c r="W107" s="290">
        <v>0</v>
      </c>
      <c r="X107" s="290">
        <v>0</v>
      </c>
      <c r="Y107" s="290">
        <v>0</v>
      </c>
      <c r="Z107" s="290">
        <v>0</v>
      </c>
      <c r="AA107" s="290">
        <v>6</v>
      </c>
      <c r="AB107" s="290">
        <v>6</v>
      </c>
      <c r="AC107" s="646">
        <v>12</v>
      </c>
    </row>
    <row r="108" spans="1:29" ht="30">
      <c r="A108" s="294">
        <v>104</v>
      </c>
      <c r="B108" s="289" t="s">
        <v>654</v>
      </c>
      <c r="C108" s="290">
        <v>0</v>
      </c>
      <c r="D108" s="290">
        <v>0</v>
      </c>
      <c r="E108" s="290">
        <v>0</v>
      </c>
      <c r="F108" s="290">
        <v>0</v>
      </c>
      <c r="G108" s="290">
        <v>0</v>
      </c>
      <c r="H108" s="290">
        <v>0</v>
      </c>
      <c r="I108" s="290">
        <v>0</v>
      </c>
      <c r="J108" s="290">
        <v>4</v>
      </c>
      <c r="K108" s="290">
        <v>4</v>
      </c>
      <c r="L108" s="290">
        <v>3</v>
      </c>
      <c r="M108" s="290">
        <v>5</v>
      </c>
      <c r="N108" s="290">
        <v>8</v>
      </c>
      <c r="O108" s="290">
        <v>0</v>
      </c>
      <c r="P108" s="290">
        <v>0</v>
      </c>
      <c r="Q108" s="290">
        <v>0</v>
      </c>
      <c r="R108" s="290">
        <v>0</v>
      </c>
      <c r="S108" s="290">
        <v>0</v>
      </c>
      <c r="T108" s="290">
        <v>0</v>
      </c>
      <c r="U108" s="290">
        <v>0</v>
      </c>
      <c r="V108" s="290">
        <v>0</v>
      </c>
      <c r="W108" s="290">
        <v>0</v>
      </c>
      <c r="X108" s="290">
        <v>0</v>
      </c>
      <c r="Y108" s="290">
        <v>0</v>
      </c>
      <c r="Z108" s="290">
        <v>0</v>
      </c>
      <c r="AA108" s="290">
        <v>3</v>
      </c>
      <c r="AB108" s="290">
        <v>9</v>
      </c>
      <c r="AC108" s="646">
        <v>12</v>
      </c>
    </row>
    <row r="109" spans="1:29" ht="15">
      <c r="A109" s="294">
        <v>105</v>
      </c>
      <c r="B109" s="289" t="s">
        <v>658</v>
      </c>
      <c r="C109" s="290">
        <v>0</v>
      </c>
      <c r="D109" s="290">
        <v>0</v>
      </c>
      <c r="E109" s="290">
        <v>0</v>
      </c>
      <c r="F109" s="290">
        <v>0</v>
      </c>
      <c r="G109" s="290">
        <v>0</v>
      </c>
      <c r="H109" s="290">
        <v>0</v>
      </c>
      <c r="I109" s="290">
        <v>4</v>
      </c>
      <c r="J109" s="290">
        <v>6</v>
      </c>
      <c r="K109" s="290">
        <v>10</v>
      </c>
      <c r="L109" s="290">
        <v>0</v>
      </c>
      <c r="M109" s="290">
        <v>2</v>
      </c>
      <c r="N109" s="290">
        <v>2</v>
      </c>
      <c r="O109" s="290">
        <v>0</v>
      </c>
      <c r="P109" s="290">
        <v>0</v>
      </c>
      <c r="Q109" s="290">
        <v>0</v>
      </c>
      <c r="R109" s="290">
        <v>0</v>
      </c>
      <c r="S109" s="290">
        <v>0</v>
      </c>
      <c r="T109" s="290">
        <v>0</v>
      </c>
      <c r="U109" s="290">
        <v>0</v>
      </c>
      <c r="V109" s="290">
        <v>0</v>
      </c>
      <c r="W109" s="290">
        <v>0</v>
      </c>
      <c r="X109" s="290">
        <v>0</v>
      </c>
      <c r="Y109" s="290">
        <v>0</v>
      </c>
      <c r="Z109" s="290">
        <v>0</v>
      </c>
      <c r="AA109" s="290">
        <v>4</v>
      </c>
      <c r="AB109" s="290">
        <v>8</v>
      </c>
      <c r="AC109" s="646">
        <v>12</v>
      </c>
    </row>
    <row r="110" spans="1:29" ht="15">
      <c r="A110" s="294">
        <v>106</v>
      </c>
      <c r="B110" s="289" t="s">
        <v>655</v>
      </c>
      <c r="C110" s="290">
        <v>0</v>
      </c>
      <c r="D110" s="290">
        <v>1</v>
      </c>
      <c r="E110" s="290">
        <v>1</v>
      </c>
      <c r="F110" s="290">
        <v>0</v>
      </c>
      <c r="G110" s="290">
        <v>0</v>
      </c>
      <c r="H110" s="290">
        <v>0</v>
      </c>
      <c r="I110" s="290">
        <v>0</v>
      </c>
      <c r="J110" s="290">
        <v>2</v>
      </c>
      <c r="K110" s="290">
        <v>2</v>
      </c>
      <c r="L110" s="290">
        <v>4</v>
      </c>
      <c r="M110" s="290">
        <v>5</v>
      </c>
      <c r="N110" s="290">
        <v>9</v>
      </c>
      <c r="O110" s="290">
        <v>0</v>
      </c>
      <c r="P110" s="290">
        <v>0</v>
      </c>
      <c r="Q110" s="290">
        <v>0</v>
      </c>
      <c r="R110" s="290">
        <v>0</v>
      </c>
      <c r="S110" s="290">
        <v>0</v>
      </c>
      <c r="T110" s="290">
        <v>0</v>
      </c>
      <c r="U110" s="290">
        <v>0</v>
      </c>
      <c r="V110" s="290">
        <v>0</v>
      </c>
      <c r="W110" s="290">
        <v>0</v>
      </c>
      <c r="X110" s="290">
        <v>0</v>
      </c>
      <c r="Y110" s="290">
        <v>0</v>
      </c>
      <c r="Z110" s="290">
        <v>0</v>
      </c>
      <c r="AA110" s="290">
        <v>4</v>
      </c>
      <c r="AB110" s="290">
        <v>8</v>
      </c>
      <c r="AC110" s="646">
        <v>12</v>
      </c>
    </row>
    <row r="111" spans="1:29" ht="15">
      <c r="A111" s="294">
        <v>107</v>
      </c>
      <c r="B111" s="289" t="s">
        <v>669</v>
      </c>
      <c r="C111" s="290">
        <v>0</v>
      </c>
      <c r="D111" s="290">
        <v>0</v>
      </c>
      <c r="E111" s="290">
        <v>0</v>
      </c>
      <c r="F111" s="290">
        <v>0</v>
      </c>
      <c r="G111" s="290">
        <v>0</v>
      </c>
      <c r="H111" s="290">
        <v>0</v>
      </c>
      <c r="I111" s="290">
        <v>0</v>
      </c>
      <c r="J111" s="290">
        <v>0</v>
      </c>
      <c r="K111" s="290">
        <v>0</v>
      </c>
      <c r="L111" s="290">
        <v>6</v>
      </c>
      <c r="M111" s="290">
        <v>5</v>
      </c>
      <c r="N111" s="290">
        <v>11</v>
      </c>
      <c r="O111" s="290">
        <v>0</v>
      </c>
      <c r="P111" s="290">
        <v>0</v>
      </c>
      <c r="Q111" s="290">
        <v>0</v>
      </c>
      <c r="R111" s="290">
        <v>0</v>
      </c>
      <c r="S111" s="290">
        <v>0</v>
      </c>
      <c r="T111" s="290">
        <v>0</v>
      </c>
      <c r="U111" s="290">
        <v>0</v>
      </c>
      <c r="V111" s="290">
        <v>0</v>
      </c>
      <c r="W111" s="290">
        <v>0</v>
      </c>
      <c r="X111" s="290">
        <v>0</v>
      </c>
      <c r="Y111" s="290">
        <v>0</v>
      </c>
      <c r="Z111" s="290">
        <v>0</v>
      </c>
      <c r="AA111" s="290">
        <v>6</v>
      </c>
      <c r="AB111" s="290">
        <v>5</v>
      </c>
      <c r="AC111" s="646">
        <v>11</v>
      </c>
    </row>
    <row r="112" spans="1:29" ht="15">
      <c r="A112" s="294">
        <v>108</v>
      </c>
      <c r="B112" s="289" t="s">
        <v>653</v>
      </c>
      <c r="C112" s="290">
        <v>0</v>
      </c>
      <c r="D112" s="290">
        <v>0</v>
      </c>
      <c r="E112" s="290">
        <v>0</v>
      </c>
      <c r="F112" s="290">
        <v>0</v>
      </c>
      <c r="G112" s="290">
        <v>0</v>
      </c>
      <c r="H112" s="290">
        <v>0</v>
      </c>
      <c r="I112" s="290">
        <v>3</v>
      </c>
      <c r="J112" s="290">
        <v>0</v>
      </c>
      <c r="K112" s="290">
        <v>3</v>
      </c>
      <c r="L112" s="290">
        <v>7</v>
      </c>
      <c r="M112" s="290">
        <v>0</v>
      </c>
      <c r="N112" s="290">
        <v>7</v>
      </c>
      <c r="O112" s="290">
        <v>0</v>
      </c>
      <c r="P112" s="290">
        <v>0</v>
      </c>
      <c r="Q112" s="290">
        <v>0</v>
      </c>
      <c r="R112" s="290">
        <v>0</v>
      </c>
      <c r="S112" s="290">
        <v>1</v>
      </c>
      <c r="T112" s="290">
        <v>1</v>
      </c>
      <c r="U112" s="290">
        <v>0</v>
      </c>
      <c r="V112" s="290">
        <v>0</v>
      </c>
      <c r="W112" s="290">
        <v>0</v>
      </c>
      <c r="X112" s="290">
        <v>0</v>
      </c>
      <c r="Y112" s="290">
        <v>0</v>
      </c>
      <c r="Z112" s="290">
        <v>0</v>
      </c>
      <c r="AA112" s="290">
        <v>10</v>
      </c>
      <c r="AB112" s="290">
        <v>1</v>
      </c>
      <c r="AC112" s="646">
        <v>11</v>
      </c>
    </row>
    <row r="113" spans="1:29" ht="15">
      <c r="A113" s="294">
        <v>109</v>
      </c>
      <c r="B113" s="289" t="s">
        <v>614</v>
      </c>
      <c r="C113" s="290">
        <v>0</v>
      </c>
      <c r="D113" s="290">
        <v>0</v>
      </c>
      <c r="E113" s="290">
        <v>0</v>
      </c>
      <c r="F113" s="290">
        <v>0</v>
      </c>
      <c r="G113" s="290">
        <v>0</v>
      </c>
      <c r="H113" s="290">
        <v>0</v>
      </c>
      <c r="I113" s="290">
        <v>0</v>
      </c>
      <c r="J113" s="290">
        <v>1</v>
      </c>
      <c r="K113" s="290">
        <v>1</v>
      </c>
      <c r="L113" s="290">
        <v>5</v>
      </c>
      <c r="M113" s="290">
        <v>4</v>
      </c>
      <c r="N113" s="290">
        <v>9</v>
      </c>
      <c r="O113" s="290">
        <v>0</v>
      </c>
      <c r="P113" s="290">
        <v>0</v>
      </c>
      <c r="Q113" s="290">
        <v>0</v>
      </c>
      <c r="R113" s="290">
        <v>0</v>
      </c>
      <c r="S113" s="290">
        <v>0</v>
      </c>
      <c r="T113" s="290">
        <v>0</v>
      </c>
      <c r="U113" s="290">
        <v>0</v>
      </c>
      <c r="V113" s="290">
        <v>0</v>
      </c>
      <c r="W113" s="290">
        <v>0</v>
      </c>
      <c r="X113" s="290">
        <v>0</v>
      </c>
      <c r="Y113" s="290">
        <v>0</v>
      </c>
      <c r="Z113" s="290">
        <v>0</v>
      </c>
      <c r="AA113" s="290">
        <v>5</v>
      </c>
      <c r="AB113" s="290">
        <v>5</v>
      </c>
      <c r="AC113" s="646">
        <v>10</v>
      </c>
    </row>
    <row r="114" spans="1:29" ht="15">
      <c r="A114" s="294">
        <v>110</v>
      </c>
      <c r="B114" s="289" t="s">
        <v>650</v>
      </c>
      <c r="C114" s="290">
        <v>0</v>
      </c>
      <c r="D114" s="290">
        <v>0</v>
      </c>
      <c r="E114" s="290">
        <v>0</v>
      </c>
      <c r="F114" s="290">
        <v>0</v>
      </c>
      <c r="G114" s="290">
        <v>0</v>
      </c>
      <c r="H114" s="290">
        <v>0</v>
      </c>
      <c r="I114" s="290">
        <v>1</v>
      </c>
      <c r="J114" s="290">
        <v>2</v>
      </c>
      <c r="K114" s="290">
        <v>3</v>
      </c>
      <c r="L114" s="290">
        <v>3</v>
      </c>
      <c r="M114" s="290">
        <v>4</v>
      </c>
      <c r="N114" s="290">
        <v>7</v>
      </c>
      <c r="O114" s="290">
        <v>0</v>
      </c>
      <c r="P114" s="290">
        <v>0</v>
      </c>
      <c r="Q114" s="290">
        <v>0</v>
      </c>
      <c r="R114" s="290">
        <v>0</v>
      </c>
      <c r="S114" s="290">
        <v>0</v>
      </c>
      <c r="T114" s="290">
        <v>0</v>
      </c>
      <c r="U114" s="290">
        <v>0</v>
      </c>
      <c r="V114" s="290">
        <v>0</v>
      </c>
      <c r="W114" s="290">
        <v>0</v>
      </c>
      <c r="X114" s="290">
        <v>0</v>
      </c>
      <c r="Y114" s="290">
        <v>0</v>
      </c>
      <c r="Z114" s="290">
        <v>0</v>
      </c>
      <c r="AA114" s="290">
        <v>4</v>
      </c>
      <c r="AB114" s="290">
        <v>6</v>
      </c>
      <c r="AC114" s="646">
        <v>10</v>
      </c>
    </row>
    <row r="115" spans="1:29" ht="15">
      <c r="A115" s="294">
        <v>111</v>
      </c>
      <c r="B115" s="289" t="s">
        <v>657</v>
      </c>
      <c r="C115" s="290">
        <v>0</v>
      </c>
      <c r="D115" s="290">
        <v>0</v>
      </c>
      <c r="E115" s="290">
        <v>0</v>
      </c>
      <c r="F115" s="290">
        <v>0</v>
      </c>
      <c r="G115" s="290">
        <v>0</v>
      </c>
      <c r="H115" s="290">
        <v>0</v>
      </c>
      <c r="I115" s="290">
        <v>2</v>
      </c>
      <c r="J115" s="290">
        <v>3</v>
      </c>
      <c r="K115" s="290">
        <v>5</v>
      </c>
      <c r="L115" s="290">
        <v>2</v>
      </c>
      <c r="M115" s="290">
        <v>2</v>
      </c>
      <c r="N115" s="290">
        <v>4</v>
      </c>
      <c r="O115" s="290">
        <v>0</v>
      </c>
      <c r="P115" s="290">
        <v>0</v>
      </c>
      <c r="Q115" s="290">
        <v>0</v>
      </c>
      <c r="R115" s="290">
        <v>0</v>
      </c>
      <c r="S115" s="290">
        <v>0</v>
      </c>
      <c r="T115" s="290">
        <v>0</v>
      </c>
      <c r="U115" s="290">
        <v>0</v>
      </c>
      <c r="V115" s="290">
        <v>0</v>
      </c>
      <c r="W115" s="290">
        <v>0</v>
      </c>
      <c r="X115" s="290">
        <v>0</v>
      </c>
      <c r="Y115" s="290">
        <v>0</v>
      </c>
      <c r="Z115" s="290">
        <v>0</v>
      </c>
      <c r="AA115" s="290">
        <v>4</v>
      </c>
      <c r="AB115" s="290">
        <v>5</v>
      </c>
      <c r="AC115" s="646">
        <v>9</v>
      </c>
    </row>
    <row r="116" spans="1:29" ht="15">
      <c r="A116" s="294">
        <v>112</v>
      </c>
      <c r="B116" s="289" t="s">
        <v>787</v>
      </c>
      <c r="C116" s="290">
        <v>0</v>
      </c>
      <c r="D116" s="290">
        <v>0</v>
      </c>
      <c r="E116" s="290">
        <v>0</v>
      </c>
      <c r="F116" s="290">
        <v>0</v>
      </c>
      <c r="G116" s="290">
        <v>0</v>
      </c>
      <c r="H116" s="290">
        <v>0</v>
      </c>
      <c r="I116" s="290">
        <v>5</v>
      </c>
      <c r="J116" s="290">
        <v>0</v>
      </c>
      <c r="K116" s="290">
        <v>5</v>
      </c>
      <c r="L116" s="290">
        <v>2</v>
      </c>
      <c r="M116" s="290">
        <v>1</v>
      </c>
      <c r="N116" s="290">
        <v>3</v>
      </c>
      <c r="O116" s="290">
        <v>0</v>
      </c>
      <c r="P116" s="290">
        <v>0</v>
      </c>
      <c r="Q116" s="290">
        <v>0</v>
      </c>
      <c r="R116" s="290">
        <v>0</v>
      </c>
      <c r="S116" s="290">
        <v>0</v>
      </c>
      <c r="T116" s="290">
        <v>0</v>
      </c>
      <c r="U116" s="290">
        <v>0</v>
      </c>
      <c r="V116" s="290">
        <v>0</v>
      </c>
      <c r="W116" s="290">
        <v>0</v>
      </c>
      <c r="X116" s="290">
        <v>0</v>
      </c>
      <c r="Y116" s="290">
        <v>0</v>
      </c>
      <c r="Z116" s="290">
        <v>0</v>
      </c>
      <c r="AA116" s="290">
        <v>7</v>
      </c>
      <c r="AB116" s="290">
        <v>1</v>
      </c>
      <c r="AC116" s="646">
        <v>8</v>
      </c>
    </row>
    <row r="117" spans="1:29" ht="15">
      <c r="A117" s="294">
        <v>113</v>
      </c>
      <c r="B117" s="289" t="s">
        <v>681</v>
      </c>
      <c r="C117" s="290">
        <v>0</v>
      </c>
      <c r="D117" s="290">
        <v>1</v>
      </c>
      <c r="E117" s="290">
        <v>1</v>
      </c>
      <c r="F117" s="290">
        <v>0</v>
      </c>
      <c r="G117" s="290">
        <v>0</v>
      </c>
      <c r="H117" s="290">
        <v>0</v>
      </c>
      <c r="I117" s="290">
        <v>0</v>
      </c>
      <c r="J117" s="290">
        <v>1</v>
      </c>
      <c r="K117" s="290">
        <v>1</v>
      </c>
      <c r="L117" s="290">
        <v>3</v>
      </c>
      <c r="M117" s="290">
        <v>3</v>
      </c>
      <c r="N117" s="290">
        <v>6</v>
      </c>
      <c r="O117" s="290">
        <v>0</v>
      </c>
      <c r="P117" s="290">
        <v>0</v>
      </c>
      <c r="Q117" s="290">
        <v>0</v>
      </c>
      <c r="R117" s="290">
        <v>0</v>
      </c>
      <c r="S117" s="290">
        <v>0</v>
      </c>
      <c r="T117" s="290">
        <v>0</v>
      </c>
      <c r="U117" s="290">
        <v>0</v>
      </c>
      <c r="V117" s="290">
        <v>0</v>
      </c>
      <c r="W117" s="290">
        <v>0</v>
      </c>
      <c r="X117" s="290">
        <v>0</v>
      </c>
      <c r="Y117" s="290">
        <v>0</v>
      </c>
      <c r="Z117" s="290">
        <v>0</v>
      </c>
      <c r="AA117" s="290">
        <v>3</v>
      </c>
      <c r="AB117" s="290">
        <v>5</v>
      </c>
      <c r="AC117" s="646">
        <v>8</v>
      </c>
    </row>
    <row r="118" spans="1:29" ht="15">
      <c r="A118" s="294">
        <v>114</v>
      </c>
      <c r="B118" s="289" t="s">
        <v>647</v>
      </c>
      <c r="C118" s="290">
        <v>0</v>
      </c>
      <c r="D118" s="290">
        <v>0</v>
      </c>
      <c r="E118" s="290">
        <v>0</v>
      </c>
      <c r="F118" s="290">
        <v>0</v>
      </c>
      <c r="G118" s="290">
        <v>0</v>
      </c>
      <c r="H118" s="290">
        <v>0</v>
      </c>
      <c r="I118" s="290">
        <v>0</v>
      </c>
      <c r="J118" s="290">
        <v>1</v>
      </c>
      <c r="K118" s="290">
        <v>1</v>
      </c>
      <c r="L118" s="290">
        <v>5</v>
      </c>
      <c r="M118" s="290">
        <v>1</v>
      </c>
      <c r="N118" s="290">
        <v>6</v>
      </c>
      <c r="O118" s="290">
        <v>0</v>
      </c>
      <c r="P118" s="290">
        <v>0</v>
      </c>
      <c r="Q118" s="290">
        <v>0</v>
      </c>
      <c r="R118" s="290">
        <v>0</v>
      </c>
      <c r="S118" s="290">
        <v>0</v>
      </c>
      <c r="T118" s="290">
        <v>0</v>
      </c>
      <c r="U118" s="290">
        <v>0</v>
      </c>
      <c r="V118" s="290">
        <v>0</v>
      </c>
      <c r="W118" s="290">
        <v>0</v>
      </c>
      <c r="X118" s="290">
        <v>0</v>
      </c>
      <c r="Y118" s="290">
        <v>1</v>
      </c>
      <c r="Z118" s="290">
        <v>1</v>
      </c>
      <c r="AA118" s="290">
        <v>5</v>
      </c>
      <c r="AB118" s="290">
        <v>3</v>
      </c>
      <c r="AC118" s="646">
        <v>8</v>
      </c>
    </row>
    <row r="119" spans="1:29" ht="16.5" customHeight="1">
      <c r="A119" s="294">
        <v>115</v>
      </c>
      <c r="B119" s="289" t="s">
        <v>664</v>
      </c>
      <c r="C119" s="290">
        <v>0</v>
      </c>
      <c r="D119" s="290">
        <v>3</v>
      </c>
      <c r="E119" s="290">
        <v>3</v>
      </c>
      <c r="F119" s="290">
        <v>0</v>
      </c>
      <c r="G119" s="290">
        <v>0</v>
      </c>
      <c r="H119" s="290">
        <v>0</v>
      </c>
      <c r="I119" s="290">
        <v>0</v>
      </c>
      <c r="J119" s="290">
        <v>0</v>
      </c>
      <c r="K119" s="290">
        <v>0</v>
      </c>
      <c r="L119" s="290">
        <v>3</v>
      </c>
      <c r="M119" s="290">
        <v>2</v>
      </c>
      <c r="N119" s="290">
        <v>5</v>
      </c>
      <c r="O119" s="290">
        <v>0</v>
      </c>
      <c r="P119" s="290">
        <v>0</v>
      </c>
      <c r="Q119" s="290">
        <v>0</v>
      </c>
      <c r="R119" s="290">
        <v>0</v>
      </c>
      <c r="S119" s="290">
        <v>0</v>
      </c>
      <c r="T119" s="290">
        <v>0</v>
      </c>
      <c r="U119" s="290">
        <v>0</v>
      </c>
      <c r="V119" s="290">
        <v>0</v>
      </c>
      <c r="W119" s="290">
        <v>0</v>
      </c>
      <c r="X119" s="290">
        <v>0</v>
      </c>
      <c r="Y119" s="290">
        <v>0</v>
      </c>
      <c r="Z119" s="290">
        <v>0</v>
      </c>
      <c r="AA119" s="290">
        <v>3</v>
      </c>
      <c r="AB119" s="290">
        <v>5</v>
      </c>
      <c r="AC119" s="646">
        <v>8</v>
      </c>
    </row>
    <row r="120" spans="1:29" ht="15">
      <c r="A120" s="294">
        <v>116</v>
      </c>
      <c r="B120" s="289" t="s">
        <v>678</v>
      </c>
      <c r="C120" s="290">
        <v>1</v>
      </c>
      <c r="D120" s="290">
        <v>0</v>
      </c>
      <c r="E120" s="290">
        <v>1</v>
      </c>
      <c r="F120" s="290">
        <v>0</v>
      </c>
      <c r="G120" s="290">
        <v>0</v>
      </c>
      <c r="H120" s="290">
        <v>0</v>
      </c>
      <c r="I120" s="290">
        <v>1</v>
      </c>
      <c r="J120" s="290">
        <v>1</v>
      </c>
      <c r="K120" s="290">
        <v>2</v>
      </c>
      <c r="L120" s="290">
        <v>3</v>
      </c>
      <c r="M120" s="290">
        <v>1</v>
      </c>
      <c r="N120" s="290">
        <v>4</v>
      </c>
      <c r="O120" s="290">
        <v>0</v>
      </c>
      <c r="P120" s="290">
        <v>0</v>
      </c>
      <c r="Q120" s="290">
        <v>0</v>
      </c>
      <c r="R120" s="290">
        <v>0</v>
      </c>
      <c r="S120" s="290">
        <v>0</v>
      </c>
      <c r="T120" s="290">
        <v>0</v>
      </c>
      <c r="U120" s="290">
        <v>0</v>
      </c>
      <c r="V120" s="290">
        <v>0</v>
      </c>
      <c r="W120" s="290">
        <v>0</v>
      </c>
      <c r="X120" s="290">
        <v>0</v>
      </c>
      <c r="Y120" s="290">
        <v>0</v>
      </c>
      <c r="Z120" s="290">
        <v>0</v>
      </c>
      <c r="AA120" s="290">
        <v>5</v>
      </c>
      <c r="AB120" s="290">
        <v>2</v>
      </c>
      <c r="AC120" s="646">
        <v>7</v>
      </c>
    </row>
    <row r="121" spans="1:29" ht="15">
      <c r="A121" s="294">
        <v>117</v>
      </c>
      <c r="B121" s="289" t="s">
        <v>677</v>
      </c>
      <c r="C121" s="290">
        <v>0</v>
      </c>
      <c r="D121" s="290">
        <v>0</v>
      </c>
      <c r="E121" s="290">
        <v>0</v>
      </c>
      <c r="F121" s="290">
        <v>0</v>
      </c>
      <c r="G121" s="290">
        <v>0</v>
      </c>
      <c r="H121" s="290">
        <v>0</v>
      </c>
      <c r="I121" s="290">
        <v>2</v>
      </c>
      <c r="J121" s="290">
        <v>0</v>
      </c>
      <c r="K121" s="290">
        <v>2</v>
      </c>
      <c r="L121" s="290">
        <v>1</v>
      </c>
      <c r="M121" s="290">
        <v>4</v>
      </c>
      <c r="N121" s="290">
        <v>5</v>
      </c>
      <c r="O121" s="290">
        <v>0</v>
      </c>
      <c r="P121" s="290">
        <v>0</v>
      </c>
      <c r="Q121" s="290">
        <v>0</v>
      </c>
      <c r="R121" s="290">
        <v>0</v>
      </c>
      <c r="S121" s="290">
        <v>0</v>
      </c>
      <c r="T121" s="290">
        <v>0</v>
      </c>
      <c r="U121" s="290">
        <v>0</v>
      </c>
      <c r="V121" s="290">
        <v>0</v>
      </c>
      <c r="W121" s="290">
        <v>0</v>
      </c>
      <c r="X121" s="290">
        <v>0</v>
      </c>
      <c r="Y121" s="290">
        <v>0</v>
      </c>
      <c r="Z121" s="290">
        <v>0</v>
      </c>
      <c r="AA121" s="290">
        <v>3</v>
      </c>
      <c r="AB121" s="290">
        <v>4</v>
      </c>
      <c r="AC121" s="646">
        <v>7</v>
      </c>
    </row>
    <row r="122" spans="1:29" ht="15">
      <c r="A122" s="294">
        <v>118</v>
      </c>
      <c r="B122" s="289" t="s">
        <v>676</v>
      </c>
      <c r="C122" s="290">
        <v>0</v>
      </c>
      <c r="D122" s="290">
        <v>0</v>
      </c>
      <c r="E122" s="290">
        <v>0</v>
      </c>
      <c r="F122" s="290">
        <v>0</v>
      </c>
      <c r="G122" s="290">
        <v>0</v>
      </c>
      <c r="H122" s="290">
        <v>0</v>
      </c>
      <c r="I122" s="290">
        <v>1</v>
      </c>
      <c r="J122" s="290">
        <v>0</v>
      </c>
      <c r="K122" s="290">
        <v>1</v>
      </c>
      <c r="L122" s="290">
        <v>2</v>
      </c>
      <c r="M122" s="290">
        <v>3</v>
      </c>
      <c r="N122" s="290">
        <v>5</v>
      </c>
      <c r="O122" s="290">
        <v>0</v>
      </c>
      <c r="P122" s="290">
        <v>0</v>
      </c>
      <c r="Q122" s="290">
        <v>0</v>
      </c>
      <c r="R122" s="290">
        <v>0</v>
      </c>
      <c r="S122" s="290">
        <v>0</v>
      </c>
      <c r="T122" s="290">
        <v>0</v>
      </c>
      <c r="U122" s="290">
        <v>0</v>
      </c>
      <c r="V122" s="290">
        <v>0</v>
      </c>
      <c r="W122" s="290">
        <v>0</v>
      </c>
      <c r="X122" s="290">
        <v>0</v>
      </c>
      <c r="Y122" s="290">
        <v>0</v>
      </c>
      <c r="Z122" s="290">
        <v>0</v>
      </c>
      <c r="AA122" s="290">
        <v>3</v>
      </c>
      <c r="AB122" s="290">
        <v>3</v>
      </c>
      <c r="AC122" s="646">
        <v>6</v>
      </c>
    </row>
    <row r="123" spans="1:29" ht="15">
      <c r="A123" s="294">
        <v>119</v>
      </c>
      <c r="B123" s="289" t="s">
        <v>642</v>
      </c>
      <c r="C123" s="290">
        <v>1</v>
      </c>
      <c r="D123" s="290">
        <v>0</v>
      </c>
      <c r="E123" s="290">
        <v>1</v>
      </c>
      <c r="F123" s="290">
        <v>0</v>
      </c>
      <c r="G123" s="290">
        <v>0</v>
      </c>
      <c r="H123" s="290">
        <v>0</v>
      </c>
      <c r="I123" s="290">
        <v>0</v>
      </c>
      <c r="J123" s="290">
        <v>0</v>
      </c>
      <c r="K123" s="290">
        <v>0</v>
      </c>
      <c r="L123" s="290">
        <v>1</v>
      </c>
      <c r="M123" s="290">
        <v>4</v>
      </c>
      <c r="N123" s="290">
        <v>5</v>
      </c>
      <c r="O123" s="290">
        <v>0</v>
      </c>
      <c r="P123" s="290">
        <v>0</v>
      </c>
      <c r="Q123" s="290">
        <v>0</v>
      </c>
      <c r="R123" s="290">
        <v>0</v>
      </c>
      <c r="S123" s="290">
        <v>0</v>
      </c>
      <c r="T123" s="290">
        <v>0</v>
      </c>
      <c r="U123" s="290">
        <v>0</v>
      </c>
      <c r="V123" s="290">
        <v>0</v>
      </c>
      <c r="W123" s="290">
        <v>0</v>
      </c>
      <c r="X123" s="290">
        <v>0</v>
      </c>
      <c r="Y123" s="290">
        <v>0</v>
      </c>
      <c r="Z123" s="290">
        <v>0</v>
      </c>
      <c r="AA123" s="290">
        <v>2</v>
      </c>
      <c r="AB123" s="290">
        <v>4</v>
      </c>
      <c r="AC123" s="646">
        <v>6</v>
      </c>
    </row>
    <row r="124" spans="1:29" ht="15">
      <c r="A124" s="294">
        <v>120</v>
      </c>
      <c r="B124" s="289" t="s">
        <v>679</v>
      </c>
      <c r="C124" s="290">
        <v>0</v>
      </c>
      <c r="D124" s="290">
        <v>1</v>
      </c>
      <c r="E124" s="290">
        <v>1</v>
      </c>
      <c r="F124" s="290">
        <v>0</v>
      </c>
      <c r="G124" s="290">
        <v>0</v>
      </c>
      <c r="H124" s="290">
        <v>0</v>
      </c>
      <c r="I124" s="290">
        <v>0</v>
      </c>
      <c r="J124" s="290">
        <v>2</v>
      </c>
      <c r="K124" s="290">
        <v>2</v>
      </c>
      <c r="L124" s="290">
        <v>1</v>
      </c>
      <c r="M124" s="290">
        <v>2</v>
      </c>
      <c r="N124" s="290">
        <v>3</v>
      </c>
      <c r="O124" s="290">
        <v>0</v>
      </c>
      <c r="P124" s="290">
        <v>0</v>
      </c>
      <c r="Q124" s="290">
        <v>0</v>
      </c>
      <c r="R124" s="290">
        <v>0</v>
      </c>
      <c r="S124" s="290">
        <v>0</v>
      </c>
      <c r="T124" s="290">
        <v>0</v>
      </c>
      <c r="U124" s="290">
        <v>0</v>
      </c>
      <c r="V124" s="290">
        <v>0</v>
      </c>
      <c r="W124" s="290">
        <v>0</v>
      </c>
      <c r="X124" s="290">
        <v>0</v>
      </c>
      <c r="Y124" s="290">
        <v>0</v>
      </c>
      <c r="Z124" s="290">
        <v>0</v>
      </c>
      <c r="AA124" s="290">
        <v>1</v>
      </c>
      <c r="AB124" s="290">
        <v>5</v>
      </c>
      <c r="AC124" s="646">
        <v>6</v>
      </c>
    </row>
    <row r="125" spans="1:29" ht="15">
      <c r="A125" s="294">
        <v>121</v>
      </c>
      <c r="B125" s="289" t="s">
        <v>645</v>
      </c>
      <c r="C125" s="290">
        <v>0</v>
      </c>
      <c r="D125" s="290">
        <v>0</v>
      </c>
      <c r="E125" s="290">
        <v>0</v>
      </c>
      <c r="F125" s="290">
        <v>0</v>
      </c>
      <c r="G125" s="290">
        <v>0</v>
      </c>
      <c r="H125" s="290">
        <v>0</v>
      </c>
      <c r="I125" s="290">
        <v>0</v>
      </c>
      <c r="J125" s="290">
        <v>1</v>
      </c>
      <c r="K125" s="290">
        <v>1</v>
      </c>
      <c r="L125" s="290">
        <v>3</v>
      </c>
      <c r="M125" s="290">
        <v>2</v>
      </c>
      <c r="N125" s="290">
        <v>5</v>
      </c>
      <c r="O125" s="290">
        <v>0</v>
      </c>
      <c r="P125" s="290">
        <v>0</v>
      </c>
      <c r="Q125" s="290">
        <v>0</v>
      </c>
      <c r="R125" s="290">
        <v>0</v>
      </c>
      <c r="S125" s="290">
        <v>0</v>
      </c>
      <c r="T125" s="290">
        <v>0</v>
      </c>
      <c r="U125" s="290">
        <v>0</v>
      </c>
      <c r="V125" s="290">
        <v>0</v>
      </c>
      <c r="W125" s="290">
        <v>0</v>
      </c>
      <c r="X125" s="290">
        <v>0</v>
      </c>
      <c r="Y125" s="290">
        <v>0</v>
      </c>
      <c r="Z125" s="290">
        <v>0</v>
      </c>
      <c r="AA125" s="290">
        <v>3</v>
      </c>
      <c r="AB125" s="290">
        <v>3</v>
      </c>
      <c r="AC125" s="646">
        <v>6</v>
      </c>
    </row>
    <row r="126" spans="1:29" ht="15">
      <c r="A126" s="294">
        <v>122</v>
      </c>
      <c r="B126" s="289" t="s">
        <v>667</v>
      </c>
      <c r="C126" s="290">
        <v>0</v>
      </c>
      <c r="D126" s="290">
        <v>0</v>
      </c>
      <c r="E126" s="290">
        <v>0</v>
      </c>
      <c r="F126" s="290">
        <v>0</v>
      </c>
      <c r="G126" s="290">
        <v>0</v>
      </c>
      <c r="H126" s="290">
        <v>0</v>
      </c>
      <c r="I126" s="290">
        <v>0</v>
      </c>
      <c r="J126" s="290">
        <v>3</v>
      </c>
      <c r="K126" s="290">
        <v>3</v>
      </c>
      <c r="L126" s="290">
        <v>0</v>
      </c>
      <c r="M126" s="290">
        <v>1</v>
      </c>
      <c r="N126" s="290">
        <v>1</v>
      </c>
      <c r="O126" s="290">
        <v>0</v>
      </c>
      <c r="P126" s="290">
        <v>0</v>
      </c>
      <c r="Q126" s="290">
        <v>0</v>
      </c>
      <c r="R126" s="290">
        <v>0</v>
      </c>
      <c r="S126" s="290">
        <v>0</v>
      </c>
      <c r="T126" s="290">
        <v>0</v>
      </c>
      <c r="U126" s="290">
        <v>2</v>
      </c>
      <c r="V126" s="290">
        <v>0</v>
      </c>
      <c r="W126" s="290">
        <v>2</v>
      </c>
      <c r="X126" s="290">
        <v>0</v>
      </c>
      <c r="Y126" s="290">
        <v>0</v>
      </c>
      <c r="Z126" s="290">
        <v>0</v>
      </c>
      <c r="AA126" s="290">
        <v>2</v>
      </c>
      <c r="AB126" s="290">
        <v>4</v>
      </c>
      <c r="AC126" s="646">
        <v>6</v>
      </c>
    </row>
    <row r="127" spans="1:29" ht="15">
      <c r="A127" s="294">
        <v>123</v>
      </c>
      <c r="B127" s="289" t="s">
        <v>696</v>
      </c>
      <c r="C127" s="290">
        <v>0</v>
      </c>
      <c r="D127" s="290">
        <v>0</v>
      </c>
      <c r="E127" s="290">
        <v>0</v>
      </c>
      <c r="F127" s="290">
        <v>0</v>
      </c>
      <c r="G127" s="290">
        <v>0</v>
      </c>
      <c r="H127" s="290">
        <v>0</v>
      </c>
      <c r="I127" s="290">
        <v>0</v>
      </c>
      <c r="J127" s="290">
        <v>3</v>
      </c>
      <c r="K127" s="290">
        <v>3</v>
      </c>
      <c r="L127" s="290">
        <v>1</v>
      </c>
      <c r="M127" s="290">
        <v>1</v>
      </c>
      <c r="N127" s="290">
        <v>2</v>
      </c>
      <c r="O127" s="290">
        <v>0</v>
      </c>
      <c r="P127" s="290">
        <v>0</v>
      </c>
      <c r="Q127" s="290">
        <v>0</v>
      </c>
      <c r="R127" s="290">
        <v>0</v>
      </c>
      <c r="S127" s="290">
        <v>0</v>
      </c>
      <c r="T127" s="290">
        <v>0</v>
      </c>
      <c r="U127" s="290">
        <v>0</v>
      </c>
      <c r="V127" s="290">
        <v>0</v>
      </c>
      <c r="W127" s="290">
        <v>0</v>
      </c>
      <c r="X127" s="290">
        <v>0</v>
      </c>
      <c r="Y127" s="290">
        <v>0</v>
      </c>
      <c r="Z127" s="290">
        <v>0</v>
      </c>
      <c r="AA127" s="290">
        <v>1</v>
      </c>
      <c r="AB127" s="290">
        <v>4</v>
      </c>
      <c r="AC127" s="646">
        <v>5</v>
      </c>
    </row>
    <row r="128" spans="1:29" ht="15">
      <c r="A128" s="294">
        <v>124</v>
      </c>
      <c r="B128" s="289" t="s">
        <v>662</v>
      </c>
      <c r="C128" s="290">
        <v>0</v>
      </c>
      <c r="D128" s="290">
        <v>0</v>
      </c>
      <c r="E128" s="290">
        <v>0</v>
      </c>
      <c r="F128" s="290">
        <v>0</v>
      </c>
      <c r="G128" s="290">
        <v>0</v>
      </c>
      <c r="H128" s="290">
        <v>0</v>
      </c>
      <c r="I128" s="290">
        <v>0</v>
      </c>
      <c r="J128" s="290">
        <v>0</v>
      </c>
      <c r="K128" s="290">
        <v>0</v>
      </c>
      <c r="L128" s="290">
        <v>3</v>
      </c>
      <c r="M128" s="290">
        <v>2</v>
      </c>
      <c r="N128" s="290">
        <v>5</v>
      </c>
      <c r="O128" s="290">
        <v>0</v>
      </c>
      <c r="P128" s="290">
        <v>0</v>
      </c>
      <c r="Q128" s="290">
        <v>0</v>
      </c>
      <c r="R128" s="290">
        <v>0</v>
      </c>
      <c r="S128" s="290">
        <v>0</v>
      </c>
      <c r="T128" s="290">
        <v>0</v>
      </c>
      <c r="U128" s="290">
        <v>0</v>
      </c>
      <c r="V128" s="290">
        <v>0</v>
      </c>
      <c r="W128" s="290">
        <v>0</v>
      </c>
      <c r="X128" s="290">
        <v>0</v>
      </c>
      <c r="Y128" s="290">
        <v>0</v>
      </c>
      <c r="Z128" s="290">
        <v>0</v>
      </c>
      <c r="AA128" s="290">
        <v>3</v>
      </c>
      <c r="AB128" s="290">
        <v>2</v>
      </c>
      <c r="AC128" s="646">
        <v>5</v>
      </c>
    </row>
    <row r="129" spans="1:29" ht="15">
      <c r="A129" s="294">
        <v>125</v>
      </c>
      <c r="B129" s="289" t="s">
        <v>688</v>
      </c>
      <c r="C129" s="290">
        <v>0</v>
      </c>
      <c r="D129" s="290">
        <v>0</v>
      </c>
      <c r="E129" s="290">
        <v>0</v>
      </c>
      <c r="F129" s="290">
        <v>0</v>
      </c>
      <c r="G129" s="290">
        <v>0</v>
      </c>
      <c r="H129" s="290">
        <v>0</v>
      </c>
      <c r="I129" s="290">
        <v>0</v>
      </c>
      <c r="J129" s="290">
        <v>0</v>
      </c>
      <c r="K129" s="290">
        <v>0</v>
      </c>
      <c r="L129" s="290">
        <v>4</v>
      </c>
      <c r="M129" s="290">
        <v>1</v>
      </c>
      <c r="N129" s="290">
        <v>5</v>
      </c>
      <c r="O129" s="290">
        <v>0</v>
      </c>
      <c r="P129" s="290">
        <v>0</v>
      </c>
      <c r="Q129" s="290">
        <v>0</v>
      </c>
      <c r="R129" s="290">
        <v>0</v>
      </c>
      <c r="S129" s="290">
        <v>0</v>
      </c>
      <c r="T129" s="290">
        <v>0</v>
      </c>
      <c r="U129" s="290">
        <v>0</v>
      </c>
      <c r="V129" s="290">
        <v>0</v>
      </c>
      <c r="W129" s="290">
        <v>0</v>
      </c>
      <c r="X129" s="290">
        <v>0</v>
      </c>
      <c r="Y129" s="290">
        <v>0</v>
      </c>
      <c r="Z129" s="290">
        <v>0</v>
      </c>
      <c r="AA129" s="290">
        <v>4</v>
      </c>
      <c r="AB129" s="290">
        <v>1</v>
      </c>
      <c r="AC129" s="646">
        <v>5</v>
      </c>
    </row>
    <row r="130" spans="1:29" ht="15">
      <c r="A130" s="294">
        <v>126</v>
      </c>
      <c r="B130" s="289" t="s">
        <v>674</v>
      </c>
      <c r="C130" s="290">
        <v>0</v>
      </c>
      <c r="D130" s="290">
        <v>0</v>
      </c>
      <c r="E130" s="290">
        <v>0</v>
      </c>
      <c r="F130" s="290">
        <v>0</v>
      </c>
      <c r="G130" s="290">
        <v>0</v>
      </c>
      <c r="H130" s="290">
        <v>0</v>
      </c>
      <c r="I130" s="290">
        <v>0</v>
      </c>
      <c r="J130" s="290">
        <v>0</v>
      </c>
      <c r="K130" s="290">
        <v>0</v>
      </c>
      <c r="L130" s="290">
        <v>3</v>
      </c>
      <c r="M130" s="290">
        <v>1</v>
      </c>
      <c r="N130" s="290">
        <v>4</v>
      </c>
      <c r="O130" s="290">
        <v>0</v>
      </c>
      <c r="P130" s="290">
        <v>0</v>
      </c>
      <c r="Q130" s="290">
        <v>0</v>
      </c>
      <c r="R130" s="290">
        <v>0</v>
      </c>
      <c r="S130" s="290">
        <v>0</v>
      </c>
      <c r="T130" s="290">
        <v>0</v>
      </c>
      <c r="U130" s="290">
        <v>0</v>
      </c>
      <c r="V130" s="290">
        <v>0</v>
      </c>
      <c r="W130" s="290">
        <v>0</v>
      </c>
      <c r="X130" s="290">
        <v>0</v>
      </c>
      <c r="Y130" s="290">
        <v>0</v>
      </c>
      <c r="Z130" s="290">
        <v>0</v>
      </c>
      <c r="AA130" s="290">
        <v>3</v>
      </c>
      <c r="AB130" s="290">
        <v>1</v>
      </c>
      <c r="AC130" s="646">
        <v>4</v>
      </c>
    </row>
    <row r="131" spans="1:29" ht="15">
      <c r="A131" s="294">
        <v>127</v>
      </c>
      <c r="B131" s="289" t="s">
        <v>694</v>
      </c>
      <c r="C131" s="290">
        <v>0</v>
      </c>
      <c r="D131" s="290">
        <v>0</v>
      </c>
      <c r="E131" s="290">
        <v>0</v>
      </c>
      <c r="F131" s="290">
        <v>0</v>
      </c>
      <c r="G131" s="290">
        <v>0</v>
      </c>
      <c r="H131" s="290">
        <v>0</v>
      </c>
      <c r="I131" s="290">
        <v>1</v>
      </c>
      <c r="J131" s="290">
        <v>2</v>
      </c>
      <c r="K131" s="290">
        <v>3</v>
      </c>
      <c r="L131" s="290">
        <v>0</v>
      </c>
      <c r="M131" s="290">
        <v>1</v>
      </c>
      <c r="N131" s="290">
        <v>1</v>
      </c>
      <c r="O131" s="290">
        <v>0</v>
      </c>
      <c r="P131" s="290">
        <v>0</v>
      </c>
      <c r="Q131" s="290">
        <v>0</v>
      </c>
      <c r="R131" s="290">
        <v>0</v>
      </c>
      <c r="S131" s="290">
        <v>0</v>
      </c>
      <c r="T131" s="290">
        <v>0</v>
      </c>
      <c r="U131" s="290">
        <v>0</v>
      </c>
      <c r="V131" s="290">
        <v>0</v>
      </c>
      <c r="W131" s="290">
        <v>0</v>
      </c>
      <c r="X131" s="290">
        <v>0</v>
      </c>
      <c r="Y131" s="290">
        <v>0</v>
      </c>
      <c r="Z131" s="290">
        <v>0</v>
      </c>
      <c r="AA131" s="290">
        <v>1</v>
      </c>
      <c r="AB131" s="290">
        <v>3</v>
      </c>
      <c r="AC131" s="646">
        <v>4</v>
      </c>
    </row>
    <row r="132" spans="1:29" ht="15">
      <c r="A132" s="294">
        <v>128</v>
      </c>
      <c r="B132" s="289" t="s">
        <v>685</v>
      </c>
      <c r="C132" s="290">
        <v>1</v>
      </c>
      <c r="D132" s="290">
        <v>0</v>
      </c>
      <c r="E132" s="290">
        <v>1</v>
      </c>
      <c r="F132" s="290">
        <v>0</v>
      </c>
      <c r="G132" s="290">
        <v>0</v>
      </c>
      <c r="H132" s="290">
        <v>0</v>
      </c>
      <c r="I132" s="290">
        <v>0</v>
      </c>
      <c r="J132" s="290">
        <v>1</v>
      </c>
      <c r="K132" s="290">
        <v>1</v>
      </c>
      <c r="L132" s="290">
        <v>0</v>
      </c>
      <c r="M132" s="290">
        <v>1</v>
      </c>
      <c r="N132" s="290">
        <v>1</v>
      </c>
      <c r="O132" s="290">
        <v>0</v>
      </c>
      <c r="P132" s="290">
        <v>0</v>
      </c>
      <c r="Q132" s="290">
        <v>0</v>
      </c>
      <c r="R132" s="290">
        <v>0</v>
      </c>
      <c r="S132" s="290">
        <v>0</v>
      </c>
      <c r="T132" s="290">
        <v>0</v>
      </c>
      <c r="U132" s="290">
        <v>0</v>
      </c>
      <c r="V132" s="290">
        <v>0</v>
      </c>
      <c r="W132" s="290">
        <v>0</v>
      </c>
      <c r="X132" s="290">
        <v>1</v>
      </c>
      <c r="Y132" s="290">
        <v>0</v>
      </c>
      <c r="Z132" s="290">
        <v>1</v>
      </c>
      <c r="AA132" s="290">
        <v>2</v>
      </c>
      <c r="AB132" s="290">
        <v>2</v>
      </c>
      <c r="AC132" s="646">
        <v>4</v>
      </c>
    </row>
    <row r="133" spans="1:29" ht="15">
      <c r="A133" s="294">
        <v>129</v>
      </c>
      <c r="B133" s="289" t="s">
        <v>670</v>
      </c>
      <c r="C133" s="290">
        <v>0</v>
      </c>
      <c r="D133" s="290">
        <v>0</v>
      </c>
      <c r="E133" s="290">
        <v>0</v>
      </c>
      <c r="F133" s="290">
        <v>1</v>
      </c>
      <c r="G133" s="290">
        <v>0</v>
      </c>
      <c r="H133" s="290">
        <v>1</v>
      </c>
      <c r="I133" s="290">
        <v>1</v>
      </c>
      <c r="J133" s="290">
        <v>1</v>
      </c>
      <c r="K133" s="290">
        <v>2</v>
      </c>
      <c r="L133" s="290">
        <v>1</v>
      </c>
      <c r="M133" s="290">
        <v>0</v>
      </c>
      <c r="N133" s="290">
        <v>1</v>
      </c>
      <c r="O133" s="290">
        <v>0</v>
      </c>
      <c r="P133" s="290">
        <v>0</v>
      </c>
      <c r="Q133" s="290">
        <v>0</v>
      </c>
      <c r="R133" s="290">
        <v>0</v>
      </c>
      <c r="S133" s="290">
        <v>0</v>
      </c>
      <c r="T133" s="290">
        <v>0</v>
      </c>
      <c r="U133" s="290">
        <v>0</v>
      </c>
      <c r="V133" s="290">
        <v>0</v>
      </c>
      <c r="W133" s="290">
        <v>0</v>
      </c>
      <c r="X133" s="290">
        <v>0</v>
      </c>
      <c r="Y133" s="290">
        <v>0</v>
      </c>
      <c r="Z133" s="290">
        <v>0</v>
      </c>
      <c r="AA133" s="290">
        <v>3</v>
      </c>
      <c r="AB133" s="290">
        <v>1</v>
      </c>
      <c r="AC133" s="646">
        <v>4</v>
      </c>
    </row>
    <row r="134" spans="1:29" ht="15">
      <c r="A134" s="294">
        <v>130</v>
      </c>
      <c r="B134" s="289" t="s">
        <v>684</v>
      </c>
      <c r="C134" s="290">
        <v>1</v>
      </c>
      <c r="D134" s="290">
        <v>0</v>
      </c>
      <c r="E134" s="290">
        <v>1</v>
      </c>
      <c r="F134" s="290">
        <v>0</v>
      </c>
      <c r="G134" s="290">
        <v>0</v>
      </c>
      <c r="H134" s="290">
        <v>0</v>
      </c>
      <c r="I134" s="290">
        <v>0</v>
      </c>
      <c r="J134" s="290">
        <v>0</v>
      </c>
      <c r="K134" s="290">
        <v>0</v>
      </c>
      <c r="L134" s="290">
        <v>3</v>
      </c>
      <c r="M134" s="290">
        <v>0</v>
      </c>
      <c r="N134" s="290">
        <v>3</v>
      </c>
      <c r="O134" s="290">
        <v>0</v>
      </c>
      <c r="P134" s="290">
        <v>0</v>
      </c>
      <c r="Q134" s="290">
        <v>0</v>
      </c>
      <c r="R134" s="290">
        <v>0</v>
      </c>
      <c r="S134" s="290">
        <v>0</v>
      </c>
      <c r="T134" s="290">
        <v>0</v>
      </c>
      <c r="U134" s="290">
        <v>0</v>
      </c>
      <c r="V134" s="290">
        <v>0</v>
      </c>
      <c r="W134" s="290">
        <v>0</v>
      </c>
      <c r="X134" s="290">
        <v>0</v>
      </c>
      <c r="Y134" s="290">
        <v>0</v>
      </c>
      <c r="Z134" s="290">
        <v>0</v>
      </c>
      <c r="AA134" s="290">
        <v>4</v>
      </c>
      <c r="AB134" s="290">
        <v>0</v>
      </c>
      <c r="AC134" s="646">
        <v>4</v>
      </c>
    </row>
    <row r="135" spans="1:29" ht="15">
      <c r="A135" s="294">
        <v>131</v>
      </c>
      <c r="B135" s="289" t="s">
        <v>788</v>
      </c>
      <c r="C135" s="290">
        <v>0</v>
      </c>
      <c r="D135" s="290">
        <v>0</v>
      </c>
      <c r="E135" s="290">
        <v>0</v>
      </c>
      <c r="F135" s="290">
        <v>0</v>
      </c>
      <c r="G135" s="290">
        <v>0</v>
      </c>
      <c r="H135" s="290">
        <v>0</v>
      </c>
      <c r="I135" s="290">
        <v>0</v>
      </c>
      <c r="J135" s="290">
        <v>1</v>
      </c>
      <c r="K135" s="290">
        <v>1</v>
      </c>
      <c r="L135" s="290">
        <v>0</v>
      </c>
      <c r="M135" s="290">
        <v>2</v>
      </c>
      <c r="N135" s="290">
        <v>2</v>
      </c>
      <c r="O135" s="290">
        <v>0</v>
      </c>
      <c r="P135" s="290">
        <v>0</v>
      </c>
      <c r="Q135" s="290">
        <v>0</v>
      </c>
      <c r="R135" s="290">
        <v>0</v>
      </c>
      <c r="S135" s="290">
        <v>0</v>
      </c>
      <c r="T135" s="290">
        <v>0</v>
      </c>
      <c r="U135" s="290">
        <v>0</v>
      </c>
      <c r="V135" s="290">
        <v>0</v>
      </c>
      <c r="W135" s="290">
        <v>0</v>
      </c>
      <c r="X135" s="290">
        <v>0</v>
      </c>
      <c r="Y135" s="290">
        <v>0</v>
      </c>
      <c r="Z135" s="290">
        <v>0</v>
      </c>
      <c r="AA135" s="290">
        <v>0</v>
      </c>
      <c r="AB135" s="290">
        <v>3</v>
      </c>
      <c r="AC135" s="646">
        <v>3</v>
      </c>
    </row>
    <row r="136" spans="1:29" ht="15">
      <c r="A136" s="294">
        <v>132</v>
      </c>
      <c r="B136" s="289" t="s">
        <v>789</v>
      </c>
      <c r="C136" s="290">
        <v>0</v>
      </c>
      <c r="D136" s="290">
        <v>0</v>
      </c>
      <c r="E136" s="290">
        <v>0</v>
      </c>
      <c r="F136" s="290">
        <v>0</v>
      </c>
      <c r="G136" s="290">
        <v>0</v>
      </c>
      <c r="H136" s="290">
        <v>0</v>
      </c>
      <c r="I136" s="290">
        <v>0</v>
      </c>
      <c r="J136" s="290">
        <v>0</v>
      </c>
      <c r="K136" s="290">
        <v>0</v>
      </c>
      <c r="L136" s="290">
        <v>2</v>
      </c>
      <c r="M136" s="290">
        <v>1</v>
      </c>
      <c r="N136" s="290">
        <v>3</v>
      </c>
      <c r="O136" s="290">
        <v>0</v>
      </c>
      <c r="P136" s="290">
        <v>0</v>
      </c>
      <c r="Q136" s="290">
        <v>0</v>
      </c>
      <c r="R136" s="290">
        <v>0</v>
      </c>
      <c r="S136" s="290">
        <v>0</v>
      </c>
      <c r="T136" s="290">
        <v>0</v>
      </c>
      <c r="U136" s="290">
        <v>0</v>
      </c>
      <c r="V136" s="290">
        <v>0</v>
      </c>
      <c r="W136" s="290">
        <v>0</v>
      </c>
      <c r="X136" s="290">
        <v>0</v>
      </c>
      <c r="Y136" s="290">
        <v>0</v>
      </c>
      <c r="Z136" s="290">
        <v>0</v>
      </c>
      <c r="AA136" s="290">
        <v>2</v>
      </c>
      <c r="AB136" s="290">
        <v>1</v>
      </c>
      <c r="AC136" s="646">
        <v>3</v>
      </c>
    </row>
    <row r="137" spans="1:29" ht="15">
      <c r="A137" s="294">
        <v>133</v>
      </c>
      <c r="B137" s="289" t="s">
        <v>699</v>
      </c>
      <c r="C137" s="290">
        <v>0</v>
      </c>
      <c r="D137" s="290">
        <v>1</v>
      </c>
      <c r="E137" s="290">
        <v>1</v>
      </c>
      <c r="F137" s="290">
        <v>0</v>
      </c>
      <c r="G137" s="290">
        <v>0</v>
      </c>
      <c r="H137" s="290">
        <v>0</v>
      </c>
      <c r="I137" s="290">
        <v>0</v>
      </c>
      <c r="J137" s="290">
        <v>2</v>
      </c>
      <c r="K137" s="290">
        <v>2</v>
      </c>
      <c r="L137" s="290">
        <v>0</v>
      </c>
      <c r="M137" s="290">
        <v>0</v>
      </c>
      <c r="N137" s="290">
        <v>0</v>
      </c>
      <c r="O137" s="290">
        <v>0</v>
      </c>
      <c r="P137" s="290">
        <v>0</v>
      </c>
      <c r="Q137" s="290">
        <v>0</v>
      </c>
      <c r="R137" s="290">
        <v>0</v>
      </c>
      <c r="S137" s="290">
        <v>0</v>
      </c>
      <c r="T137" s="290">
        <v>0</v>
      </c>
      <c r="U137" s="290">
        <v>0</v>
      </c>
      <c r="V137" s="290">
        <v>0</v>
      </c>
      <c r="W137" s="290">
        <v>0</v>
      </c>
      <c r="X137" s="290">
        <v>0</v>
      </c>
      <c r="Y137" s="290">
        <v>0</v>
      </c>
      <c r="Z137" s="290">
        <v>0</v>
      </c>
      <c r="AA137" s="290">
        <v>0</v>
      </c>
      <c r="AB137" s="290">
        <v>3</v>
      </c>
      <c r="AC137" s="646">
        <v>3</v>
      </c>
    </row>
    <row r="138" spans="1:29" ht="15">
      <c r="A138" s="294">
        <v>134</v>
      </c>
      <c r="B138" s="289" t="s">
        <v>692</v>
      </c>
      <c r="C138" s="290">
        <v>0</v>
      </c>
      <c r="D138" s="290">
        <v>0</v>
      </c>
      <c r="E138" s="290">
        <v>0</v>
      </c>
      <c r="F138" s="290">
        <v>0</v>
      </c>
      <c r="G138" s="290">
        <v>0</v>
      </c>
      <c r="H138" s="290">
        <v>0</v>
      </c>
      <c r="I138" s="290">
        <v>0</v>
      </c>
      <c r="J138" s="290">
        <v>0</v>
      </c>
      <c r="K138" s="290">
        <v>0</v>
      </c>
      <c r="L138" s="290">
        <v>2</v>
      </c>
      <c r="M138" s="290">
        <v>1</v>
      </c>
      <c r="N138" s="290">
        <v>3</v>
      </c>
      <c r="O138" s="290">
        <v>0</v>
      </c>
      <c r="P138" s="290">
        <v>0</v>
      </c>
      <c r="Q138" s="290">
        <v>0</v>
      </c>
      <c r="R138" s="290">
        <v>0</v>
      </c>
      <c r="S138" s="290">
        <v>0</v>
      </c>
      <c r="T138" s="290">
        <v>0</v>
      </c>
      <c r="U138" s="290">
        <v>0</v>
      </c>
      <c r="V138" s="290">
        <v>0</v>
      </c>
      <c r="W138" s="290">
        <v>0</v>
      </c>
      <c r="X138" s="290">
        <v>0</v>
      </c>
      <c r="Y138" s="290">
        <v>0</v>
      </c>
      <c r="Z138" s="290">
        <v>0</v>
      </c>
      <c r="AA138" s="290">
        <v>2</v>
      </c>
      <c r="AB138" s="290">
        <v>1</v>
      </c>
      <c r="AC138" s="646">
        <v>3</v>
      </c>
    </row>
    <row r="139" spans="1:29" ht="15">
      <c r="A139" s="294">
        <v>135</v>
      </c>
      <c r="B139" s="289" t="s">
        <v>682</v>
      </c>
      <c r="C139" s="290">
        <v>0</v>
      </c>
      <c r="D139" s="290">
        <v>0</v>
      </c>
      <c r="E139" s="290">
        <v>0</v>
      </c>
      <c r="F139" s="290">
        <v>0</v>
      </c>
      <c r="G139" s="290">
        <v>0</v>
      </c>
      <c r="H139" s="290">
        <v>0</v>
      </c>
      <c r="I139" s="290">
        <v>0</v>
      </c>
      <c r="J139" s="290">
        <v>0</v>
      </c>
      <c r="K139" s="290">
        <v>0</v>
      </c>
      <c r="L139" s="290">
        <v>3</v>
      </c>
      <c r="M139" s="290">
        <v>0</v>
      </c>
      <c r="N139" s="290">
        <v>3</v>
      </c>
      <c r="O139" s="290">
        <v>0</v>
      </c>
      <c r="P139" s="290">
        <v>0</v>
      </c>
      <c r="Q139" s="290">
        <v>0</v>
      </c>
      <c r="R139" s="290">
        <v>0</v>
      </c>
      <c r="S139" s="290">
        <v>0</v>
      </c>
      <c r="T139" s="290">
        <v>0</v>
      </c>
      <c r="U139" s="290">
        <v>0</v>
      </c>
      <c r="V139" s="290">
        <v>0</v>
      </c>
      <c r="W139" s="290">
        <v>0</v>
      </c>
      <c r="X139" s="290">
        <v>0</v>
      </c>
      <c r="Y139" s="290">
        <v>0</v>
      </c>
      <c r="Z139" s="290">
        <v>0</v>
      </c>
      <c r="AA139" s="290">
        <v>3</v>
      </c>
      <c r="AB139" s="290">
        <v>0</v>
      </c>
      <c r="AC139" s="646">
        <v>3</v>
      </c>
    </row>
    <row r="140" spans="1:29" ht="15">
      <c r="A140" s="294">
        <v>136</v>
      </c>
      <c r="B140" s="289" t="s">
        <v>665</v>
      </c>
      <c r="C140" s="290">
        <v>0</v>
      </c>
      <c r="D140" s="290">
        <v>0</v>
      </c>
      <c r="E140" s="290">
        <v>0</v>
      </c>
      <c r="F140" s="290">
        <v>0</v>
      </c>
      <c r="G140" s="290">
        <v>0</v>
      </c>
      <c r="H140" s="290">
        <v>0</v>
      </c>
      <c r="I140" s="290">
        <v>0</v>
      </c>
      <c r="J140" s="290">
        <v>0</v>
      </c>
      <c r="K140" s="290">
        <v>0</v>
      </c>
      <c r="L140" s="290">
        <v>1</v>
      </c>
      <c r="M140" s="290">
        <v>2</v>
      </c>
      <c r="N140" s="290">
        <v>3</v>
      </c>
      <c r="O140" s="290">
        <v>0</v>
      </c>
      <c r="P140" s="290">
        <v>0</v>
      </c>
      <c r="Q140" s="290">
        <v>0</v>
      </c>
      <c r="R140" s="290">
        <v>0</v>
      </c>
      <c r="S140" s="290">
        <v>0</v>
      </c>
      <c r="T140" s="290">
        <v>0</v>
      </c>
      <c r="U140" s="290">
        <v>0</v>
      </c>
      <c r="V140" s="290">
        <v>0</v>
      </c>
      <c r="W140" s="290">
        <v>0</v>
      </c>
      <c r="X140" s="290">
        <v>0</v>
      </c>
      <c r="Y140" s="290">
        <v>0</v>
      </c>
      <c r="Z140" s="290">
        <v>0</v>
      </c>
      <c r="AA140" s="290">
        <v>1</v>
      </c>
      <c r="AB140" s="290">
        <v>2</v>
      </c>
      <c r="AC140" s="646">
        <v>3</v>
      </c>
    </row>
    <row r="141" spans="1:29" ht="15">
      <c r="A141" s="294">
        <v>137</v>
      </c>
      <c r="B141" s="289" t="s">
        <v>686</v>
      </c>
      <c r="C141" s="290">
        <v>0</v>
      </c>
      <c r="D141" s="290">
        <v>0</v>
      </c>
      <c r="E141" s="290">
        <v>0</v>
      </c>
      <c r="F141" s="290">
        <v>0</v>
      </c>
      <c r="G141" s="290">
        <v>0</v>
      </c>
      <c r="H141" s="290">
        <v>0</v>
      </c>
      <c r="I141" s="290">
        <v>0</v>
      </c>
      <c r="J141" s="290">
        <v>1</v>
      </c>
      <c r="K141" s="290">
        <v>1</v>
      </c>
      <c r="L141" s="290">
        <v>1</v>
      </c>
      <c r="M141" s="290">
        <v>1</v>
      </c>
      <c r="N141" s="290">
        <v>2</v>
      </c>
      <c r="O141" s="290">
        <v>0</v>
      </c>
      <c r="P141" s="290">
        <v>0</v>
      </c>
      <c r="Q141" s="290">
        <v>0</v>
      </c>
      <c r="R141" s="290">
        <v>0</v>
      </c>
      <c r="S141" s="290">
        <v>0</v>
      </c>
      <c r="T141" s="290">
        <v>0</v>
      </c>
      <c r="U141" s="290">
        <v>0</v>
      </c>
      <c r="V141" s="290">
        <v>0</v>
      </c>
      <c r="W141" s="290">
        <v>0</v>
      </c>
      <c r="X141" s="290">
        <v>0</v>
      </c>
      <c r="Y141" s="290">
        <v>0</v>
      </c>
      <c r="Z141" s="290">
        <v>0</v>
      </c>
      <c r="AA141" s="290">
        <v>1</v>
      </c>
      <c r="AB141" s="290">
        <v>2</v>
      </c>
      <c r="AC141" s="646">
        <v>3</v>
      </c>
    </row>
    <row r="142" spans="1:29" ht="15">
      <c r="A142" s="294">
        <v>138</v>
      </c>
      <c r="B142" s="289" t="s">
        <v>683</v>
      </c>
      <c r="C142" s="290">
        <v>0</v>
      </c>
      <c r="D142" s="290">
        <v>0</v>
      </c>
      <c r="E142" s="290">
        <v>0</v>
      </c>
      <c r="F142" s="290">
        <v>0</v>
      </c>
      <c r="G142" s="290">
        <v>0</v>
      </c>
      <c r="H142" s="290">
        <v>0</v>
      </c>
      <c r="I142" s="290">
        <v>0</v>
      </c>
      <c r="J142" s="290">
        <v>1</v>
      </c>
      <c r="K142" s="290">
        <v>1</v>
      </c>
      <c r="L142" s="290">
        <v>2</v>
      </c>
      <c r="M142" s="290">
        <v>0</v>
      </c>
      <c r="N142" s="290">
        <v>2</v>
      </c>
      <c r="O142" s="290">
        <v>0</v>
      </c>
      <c r="P142" s="290">
        <v>0</v>
      </c>
      <c r="Q142" s="290">
        <v>0</v>
      </c>
      <c r="R142" s="290">
        <v>0</v>
      </c>
      <c r="S142" s="290">
        <v>0</v>
      </c>
      <c r="T142" s="290">
        <v>0</v>
      </c>
      <c r="U142" s="290">
        <v>0</v>
      </c>
      <c r="V142" s="290">
        <v>0</v>
      </c>
      <c r="W142" s="290">
        <v>0</v>
      </c>
      <c r="X142" s="290">
        <v>0</v>
      </c>
      <c r="Y142" s="290">
        <v>0</v>
      </c>
      <c r="Z142" s="290">
        <v>0</v>
      </c>
      <c r="AA142" s="290">
        <v>2</v>
      </c>
      <c r="AB142" s="290">
        <v>1</v>
      </c>
      <c r="AC142" s="646">
        <v>3</v>
      </c>
    </row>
    <row r="143" spans="1:29" ht="15">
      <c r="A143" s="294">
        <v>139</v>
      </c>
      <c r="B143" s="289" t="s">
        <v>668</v>
      </c>
      <c r="C143" s="290">
        <v>0</v>
      </c>
      <c r="D143" s="290">
        <v>0</v>
      </c>
      <c r="E143" s="290">
        <v>0</v>
      </c>
      <c r="F143" s="290">
        <v>0</v>
      </c>
      <c r="G143" s="290">
        <v>0</v>
      </c>
      <c r="H143" s="290">
        <v>0</v>
      </c>
      <c r="I143" s="290">
        <v>0</v>
      </c>
      <c r="J143" s="290">
        <v>1</v>
      </c>
      <c r="K143" s="290">
        <v>1</v>
      </c>
      <c r="L143" s="290">
        <v>0</v>
      </c>
      <c r="M143" s="290">
        <v>1</v>
      </c>
      <c r="N143" s="290">
        <v>1</v>
      </c>
      <c r="O143" s="290">
        <v>0</v>
      </c>
      <c r="P143" s="290">
        <v>0</v>
      </c>
      <c r="Q143" s="290">
        <v>0</v>
      </c>
      <c r="R143" s="290">
        <v>0</v>
      </c>
      <c r="S143" s="290">
        <v>0</v>
      </c>
      <c r="T143" s="290">
        <v>0</v>
      </c>
      <c r="U143" s="290">
        <v>0</v>
      </c>
      <c r="V143" s="290">
        <v>0</v>
      </c>
      <c r="W143" s="290">
        <v>0</v>
      </c>
      <c r="X143" s="290">
        <v>0</v>
      </c>
      <c r="Y143" s="290">
        <v>0</v>
      </c>
      <c r="Z143" s="290">
        <v>0</v>
      </c>
      <c r="AA143" s="290">
        <v>0</v>
      </c>
      <c r="AB143" s="290">
        <v>2</v>
      </c>
      <c r="AC143" s="646">
        <v>2</v>
      </c>
    </row>
    <row r="144" spans="1:29" ht="15">
      <c r="A144" s="294">
        <v>140</v>
      </c>
      <c r="B144" s="289" t="s">
        <v>790</v>
      </c>
      <c r="C144" s="290">
        <v>0</v>
      </c>
      <c r="D144" s="290">
        <v>1</v>
      </c>
      <c r="E144" s="290">
        <v>1</v>
      </c>
      <c r="F144" s="290">
        <v>0</v>
      </c>
      <c r="G144" s="290">
        <v>0</v>
      </c>
      <c r="H144" s="290">
        <v>0</v>
      </c>
      <c r="I144" s="290">
        <v>0</v>
      </c>
      <c r="J144" s="290">
        <v>0</v>
      </c>
      <c r="K144" s="290">
        <v>0</v>
      </c>
      <c r="L144" s="290">
        <v>1</v>
      </c>
      <c r="M144" s="290">
        <v>0</v>
      </c>
      <c r="N144" s="290">
        <v>1</v>
      </c>
      <c r="O144" s="290">
        <v>0</v>
      </c>
      <c r="P144" s="290">
        <v>0</v>
      </c>
      <c r="Q144" s="290">
        <v>0</v>
      </c>
      <c r="R144" s="290">
        <v>0</v>
      </c>
      <c r="S144" s="290">
        <v>0</v>
      </c>
      <c r="T144" s="290">
        <v>0</v>
      </c>
      <c r="U144" s="290">
        <v>0</v>
      </c>
      <c r="V144" s="290">
        <v>0</v>
      </c>
      <c r="W144" s="290">
        <v>0</v>
      </c>
      <c r="X144" s="290">
        <v>0</v>
      </c>
      <c r="Y144" s="290">
        <v>0</v>
      </c>
      <c r="Z144" s="290">
        <v>0</v>
      </c>
      <c r="AA144" s="290">
        <v>1</v>
      </c>
      <c r="AB144" s="290">
        <v>1</v>
      </c>
      <c r="AC144" s="646">
        <v>2</v>
      </c>
    </row>
    <row r="145" spans="1:29" ht="15">
      <c r="A145" s="294">
        <v>141</v>
      </c>
      <c r="B145" s="289" t="s">
        <v>703</v>
      </c>
      <c r="C145" s="290">
        <v>0</v>
      </c>
      <c r="D145" s="290">
        <v>0</v>
      </c>
      <c r="E145" s="290">
        <v>0</v>
      </c>
      <c r="F145" s="290">
        <v>0</v>
      </c>
      <c r="G145" s="290">
        <v>0</v>
      </c>
      <c r="H145" s="290">
        <v>0</v>
      </c>
      <c r="I145" s="290">
        <v>0</v>
      </c>
      <c r="J145" s="290">
        <v>0</v>
      </c>
      <c r="K145" s="290">
        <v>0</v>
      </c>
      <c r="L145" s="290">
        <v>0</v>
      </c>
      <c r="M145" s="290">
        <v>2</v>
      </c>
      <c r="N145" s="290">
        <v>2</v>
      </c>
      <c r="O145" s="290">
        <v>0</v>
      </c>
      <c r="P145" s="290">
        <v>0</v>
      </c>
      <c r="Q145" s="290">
        <v>0</v>
      </c>
      <c r="R145" s="290">
        <v>0</v>
      </c>
      <c r="S145" s="290">
        <v>0</v>
      </c>
      <c r="T145" s="290">
        <v>0</v>
      </c>
      <c r="U145" s="290">
        <v>0</v>
      </c>
      <c r="V145" s="290">
        <v>0</v>
      </c>
      <c r="W145" s="290">
        <v>0</v>
      </c>
      <c r="X145" s="290">
        <v>0</v>
      </c>
      <c r="Y145" s="290">
        <v>0</v>
      </c>
      <c r="Z145" s="290">
        <v>0</v>
      </c>
      <c r="AA145" s="290">
        <v>0</v>
      </c>
      <c r="AB145" s="290">
        <v>2</v>
      </c>
      <c r="AC145" s="646">
        <v>2</v>
      </c>
    </row>
    <row r="146" spans="1:29" ht="15">
      <c r="A146" s="294">
        <v>142</v>
      </c>
      <c r="B146" s="289" t="s">
        <v>697</v>
      </c>
      <c r="C146" s="290">
        <v>0</v>
      </c>
      <c r="D146" s="290">
        <v>0</v>
      </c>
      <c r="E146" s="290">
        <v>0</v>
      </c>
      <c r="F146" s="290">
        <v>0</v>
      </c>
      <c r="G146" s="290">
        <v>0</v>
      </c>
      <c r="H146" s="290">
        <v>0</v>
      </c>
      <c r="I146" s="290">
        <v>0</v>
      </c>
      <c r="J146" s="290">
        <v>0</v>
      </c>
      <c r="K146" s="290">
        <v>0</v>
      </c>
      <c r="L146" s="290">
        <v>0</v>
      </c>
      <c r="M146" s="290">
        <v>1</v>
      </c>
      <c r="N146" s="290">
        <v>1</v>
      </c>
      <c r="O146" s="290">
        <v>0</v>
      </c>
      <c r="P146" s="290">
        <v>0</v>
      </c>
      <c r="Q146" s="290">
        <v>0</v>
      </c>
      <c r="R146" s="290">
        <v>0</v>
      </c>
      <c r="S146" s="290">
        <v>0</v>
      </c>
      <c r="T146" s="290">
        <v>0</v>
      </c>
      <c r="U146" s="290">
        <v>0</v>
      </c>
      <c r="V146" s="290">
        <v>0</v>
      </c>
      <c r="W146" s="290">
        <v>0</v>
      </c>
      <c r="X146" s="290">
        <v>1</v>
      </c>
      <c r="Y146" s="290">
        <v>0</v>
      </c>
      <c r="Z146" s="290">
        <v>1</v>
      </c>
      <c r="AA146" s="290">
        <v>1</v>
      </c>
      <c r="AB146" s="290">
        <v>1</v>
      </c>
      <c r="AC146" s="646">
        <v>2</v>
      </c>
    </row>
    <row r="147" spans="1:29" ht="15">
      <c r="A147" s="294">
        <v>143</v>
      </c>
      <c r="B147" s="289" t="s">
        <v>791</v>
      </c>
      <c r="C147" s="290">
        <v>0</v>
      </c>
      <c r="D147" s="290">
        <v>0</v>
      </c>
      <c r="E147" s="290">
        <v>0</v>
      </c>
      <c r="F147" s="290">
        <v>0</v>
      </c>
      <c r="G147" s="290">
        <v>0</v>
      </c>
      <c r="H147" s="290">
        <v>0</v>
      </c>
      <c r="I147" s="290">
        <v>1</v>
      </c>
      <c r="J147" s="290">
        <v>0</v>
      </c>
      <c r="K147" s="290">
        <v>1</v>
      </c>
      <c r="L147" s="290">
        <v>1</v>
      </c>
      <c r="M147" s="290">
        <v>0</v>
      </c>
      <c r="N147" s="290">
        <v>1</v>
      </c>
      <c r="O147" s="290">
        <v>0</v>
      </c>
      <c r="P147" s="290">
        <v>0</v>
      </c>
      <c r="Q147" s="290">
        <v>0</v>
      </c>
      <c r="R147" s="290">
        <v>0</v>
      </c>
      <c r="S147" s="290">
        <v>0</v>
      </c>
      <c r="T147" s="290">
        <v>0</v>
      </c>
      <c r="U147" s="290">
        <v>0</v>
      </c>
      <c r="V147" s="290">
        <v>0</v>
      </c>
      <c r="W147" s="290">
        <v>0</v>
      </c>
      <c r="X147" s="290">
        <v>0</v>
      </c>
      <c r="Y147" s="290">
        <v>0</v>
      </c>
      <c r="Z147" s="290">
        <v>0</v>
      </c>
      <c r="AA147" s="290">
        <v>2</v>
      </c>
      <c r="AB147" s="290">
        <v>0</v>
      </c>
      <c r="AC147" s="646">
        <v>2</v>
      </c>
    </row>
    <row r="148" spans="1:29" ht="15">
      <c r="A148" s="294">
        <v>144</v>
      </c>
      <c r="B148" s="289" t="s">
        <v>675</v>
      </c>
      <c r="C148" s="290">
        <v>0</v>
      </c>
      <c r="D148" s="290">
        <v>0</v>
      </c>
      <c r="E148" s="290">
        <v>0</v>
      </c>
      <c r="F148" s="290">
        <v>0</v>
      </c>
      <c r="G148" s="290">
        <v>0</v>
      </c>
      <c r="H148" s="290">
        <v>0</v>
      </c>
      <c r="I148" s="290">
        <v>0</v>
      </c>
      <c r="J148" s="290">
        <v>0</v>
      </c>
      <c r="K148" s="290">
        <v>0</v>
      </c>
      <c r="L148" s="290">
        <v>2</v>
      </c>
      <c r="M148" s="290">
        <v>0</v>
      </c>
      <c r="N148" s="290">
        <v>2</v>
      </c>
      <c r="O148" s="290">
        <v>0</v>
      </c>
      <c r="P148" s="290">
        <v>0</v>
      </c>
      <c r="Q148" s="290">
        <v>0</v>
      </c>
      <c r="R148" s="290">
        <v>0</v>
      </c>
      <c r="S148" s="290">
        <v>0</v>
      </c>
      <c r="T148" s="290">
        <v>0</v>
      </c>
      <c r="U148" s="290">
        <v>0</v>
      </c>
      <c r="V148" s="290">
        <v>0</v>
      </c>
      <c r="W148" s="290">
        <v>0</v>
      </c>
      <c r="X148" s="290">
        <v>0</v>
      </c>
      <c r="Y148" s="290">
        <v>0</v>
      </c>
      <c r="Z148" s="290">
        <v>0</v>
      </c>
      <c r="AA148" s="290">
        <v>2</v>
      </c>
      <c r="AB148" s="290">
        <v>0</v>
      </c>
      <c r="AC148" s="646">
        <v>2</v>
      </c>
    </row>
    <row r="149" spans="1:29" ht="15">
      <c r="A149" s="294">
        <v>145</v>
      </c>
      <c r="B149" s="289" t="s">
        <v>792</v>
      </c>
      <c r="C149" s="290">
        <v>0</v>
      </c>
      <c r="D149" s="290">
        <v>0</v>
      </c>
      <c r="E149" s="290">
        <v>0</v>
      </c>
      <c r="F149" s="290">
        <v>0</v>
      </c>
      <c r="G149" s="290">
        <v>0</v>
      </c>
      <c r="H149" s="290">
        <v>0</v>
      </c>
      <c r="I149" s="290">
        <v>0</v>
      </c>
      <c r="J149" s="290">
        <v>2</v>
      </c>
      <c r="K149" s="290">
        <v>2</v>
      </c>
      <c r="L149" s="290">
        <v>0</v>
      </c>
      <c r="M149" s="290">
        <v>0</v>
      </c>
      <c r="N149" s="290">
        <v>0</v>
      </c>
      <c r="O149" s="290">
        <v>0</v>
      </c>
      <c r="P149" s="290">
        <v>0</v>
      </c>
      <c r="Q149" s="290">
        <v>0</v>
      </c>
      <c r="R149" s="290">
        <v>0</v>
      </c>
      <c r="S149" s="290">
        <v>0</v>
      </c>
      <c r="T149" s="290">
        <v>0</v>
      </c>
      <c r="U149" s="290">
        <v>0</v>
      </c>
      <c r="V149" s="290">
        <v>0</v>
      </c>
      <c r="W149" s="290">
        <v>0</v>
      </c>
      <c r="X149" s="290">
        <v>0</v>
      </c>
      <c r="Y149" s="290">
        <v>0</v>
      </c>
      <c r="Z149" s="290">
        <v>0</v>
      </c>
      <c r="AA149" s="290">
        <v>0</v>
      </c>
      <c r="AB149" s="290">
        <v>2</v>
      </c>
      <c r="AC149" s="646">
        <v>2</v>
      </c>
    </row>
    <row r="150" spans="1:29" ht="15">
      <c r="A150" s="294">
        <v>146</v>
      </c>
      <c r="B150" s="289" t="s">
        <v>695</v>
      </c>
      <c r="C150" s="290">
        <v>0</v>
      </c>
      <c r="D150" s="290">
        <v>0</v>
      </c>
      <c r="E150" s="290">
        <v>0</v>
      </c>
      <c r="F150" s="290">
        <v>0</v>
      </c>
      <c r="G150" s="290">
        <v>0</v>
      </c>
      <c r="H150" s="290">
        <v>0</v>
      </c>
      <c r="I150" s="290">
        <v>0</v>
      </c>
      <c r="J150" s="290">
        <v>1</v>
      </c>
      <c r="K150" s="290">
        <v>1</v>
      </c>
      <c r="L150" s="290">
        <v>1</v>
      </c>
      <c r="M150" s="290">
        <v>0</v>
      </c>
      <c r="N150" s="290">
        <v>1</v>
      </c>
      <c r="O150" s="290">
        <v>0</v>
      </c>
      <c r="P150" s="290">
        <v>0</v>
      </c>
      <c r="Q150" s="290">
        <v>0</v>
      </c>
      <c r="R150" s="290">
        <v>0</v>
      </c>
      <c r="S150" s="290">
        <v>0</v>
      </c>
      <c r="T150" s="290">
        <v>0</v>
      </c>
      <c r="U150" s="290">
        <v>0</v>
      </c>
      <c r="V150" s="290">
        <v>0</v>
      </c>
      <c r="W150" s="290">
        <v>0</v>
      </c>
      <c r="X150" s="290">
        <v>0</v>
      </c>
      <c r="Y150" s="290">
        <v>0</v>
      </c>
      <c r="Z150" s="290">
        <v>0</v>
      </c>
      <c r="AA150" s="290">
        <v>1</v>
      </c>
      <c r="AB150" s="290">
        <v>1</v>
      </c>
      <c r="AC150" s="646">
        <v>2</v>
      </c>
    </row>
    <row r="151" spans="1:29" ht="15">
      <c r="A151" s="294">
        <v>147</v>
      </c>
      <c r="B151" s="289" t="s">
        <v>660</v>
      </c>
      <c r="C151" s="290">
        <v>0</v>
      </c>
      <c r="D151" s="290">
        <v>0</v>
      </c>
      <c r="E151" s="290">
        <v>0</v>
      </c>
      <c r="F151" s="290">
        <v>0</v>
      </c>
      <c r="G151" s="290">
        <v>0</v>
      </c>
      <c r="H151" s="290">
        <v>0</v>
      </c>
      <c r="I151" s="290">
        <v>0</v>
      </c>
      <c r="J151" s="290">
        <v>0</v>
      </c>
      <c r="K151" s="290">
        <v>0</v>
      </c>
      <c r="L151" s="290">
        <v>1</v>
      </c>
      <c r="M151" s="290">
        <v>1</v>
      </c>
      <c r="N151" s="290">
        <v>2</v>
      </c>
      <c r="O151" s="290">
        <v>0</v>
      </c>
      <c r="P151" s="290">
        <v>0</v>
      </c>
      <c r="Q151" s="290">
        <v>0</v>
      </c>
      <c r="R151" s="290">
        <v>0</v>
      </c>
      <c r="S151" s="290">
        <v>0</v>
      </c>
      <c r="T151" s="290">
        <v>0</v>
      </c>
      <c r="U151" s="290">
        <v>0</v>
      </c>
      <c r="V151" s="290">
        <v>0</v>
      </c>
      <c r="W151" s="290">
        <v>0</v>
      </c>
      <c r="X151" s="290">
        <v>0</v>
      </c>
      <c r="Y151" s="290">
        <v>0</v>
      </c>
      <c r="Z151" s="290">
        <v>0</v>
      </c>
      <c r="AA151" s="290">
        <v>1</v>
      </c>
      <c r="AB151" s="290">
        <v>1</v>
      </c>
      <c r="AC151" s="646">
        <v>2</v>
      </c>
    </row>
    <row r="152" spans="1:29" ht="15">
      <c r="A152" s="294">
        <v>148</v>
      </c>
      <c r="B152" s="289" t="s">
        <v>704</v>
      </c>
      <c r="C152" s="290">
        <v>0</v>
      </c>
      <c r="D152" s="290">
        <v>0</v>
      </c>
      <c r="E152" s="290">
        <v>0</v>
      </c>
      <c r="F152" s="290">
        <v>0</v>
      </c>
      <c r="G152" s="290">
        <v>0</v>
      </c>
      <c r="H152" s="290">
        <v>0</v>
      </c>
      <c r="I152" s="290">
        <v>1</v>
      </c>
      <c r="J152" s="290">
        <v>0</v>
      </c>
      <c r="K152" s="290">
        <v>1</v>
      </c>
      <c r="L152" s="290">
        <v>1</v>
      </c>
      <c r="M152" s="290">
        <v>0</v>
      </c>
      <c r="N152" s="290">
        <v>1</v>
      </c>
      <c r="O152" s="290">
        <v>0</v>
      </c>
      <c r="P152" s="290">
        <v>0</v>
      </c>
      <c r="Q152" s="290">
        <v>0</v>
      </c>
      <c r="R152" s="290">
        <v>0</v>
      </c>
      <c r="S152" s="290">
        <v>0</v>
      </c>
      <c r="T152" s="290">
        <v>0</v>
      </c>
      <c r="U152" s="290">
        <v>0</v>
      </c>
      <c r="V152" s="290">
        <v>0</v>
      </c>
      <c r="W152" s="290">
        <v>0</v>
      </c>
      <c r="X152" s="290">
        <v>0</v>
      </c>
      <c r="Y152" s="290">
        <v>0</v>
      </c>
      <c r="Z152" s="290">
        <v>0</v>
      </c>
      <c r="AA152" s="290">
        <v>2</v>
      </c>
      <c r="AB152" s="290">
        <v>0</v>
      </c>
      <c r="AC152" s="646">
        <v>2</v>
      </c>
    </row>
    <row r="153" spans="1:29" ht="15">
      <c r="A153" s="294">
        <v>149</v>
      </c>
      <c r="B153" s="289" t="s">
        <v>793</v>
      </c>
      <c r="C153" s="290">
        <v>0</v>
      </c>
      <c r="D153" s="290">
        <v>1</v>
      </c>
      <c r="E153" s="290">
        <v>1</v>
      </c>
      <c r="F153" s="290">
        <v>0</v>
      </c>
      <c r="G153" s="290">
        <v>0</v>
      </c>
      <c r="H153" s="290">
        <v>0</v>
      </c>
      <c r="I153" s="290">
        <v>0</v>
      </c>
      <c r="J153" s="290">
        <v>0</v>
      </c>
      <c r="K153" s="290">
        <v>0</v>
      </c>
      <c r="L153" s="290">
        <v>0</v>
      </c>
      <c r="M153" s="290">
        <v>1</v>
      </c>
      <c r="N153" s="290">
        <v>1</v>
      </c>
      <c r="O153" s="290">
        <v>0</v>
      </c>
      <c r="P153" s="290">
        <v>0</v>
      </c>
      <c r="Q153" s="290">
        <v>0</v>
      </c>
      <c r="R153" s="290">
        <v>0</v>
      </c>
      <c r="S153" s="290">
        <v>0</v>
      </c>
      <c r="T153" s="290">
        <v>0</v>
      </c>
      <c r="U153" s="290">
        <v>0</v>
      </c>
      <c r="V153" s="290">
        <v>0</v>
      </c>
      <c r="W153" s="290">
        <v>0</v>
      </c>
      <c r="X153" s="290">
        <v>0</v>
      </c>
      <c r="Y153" s="290">
        <v>0</v>
      </c>
      <c r="Z153" s="290">
        <v>0</v>
      </c>
      <c r="AA153" s="290">
        <v>0</v>
      </c>
      <c r="AB153" s="290">
        <v>2</v>
      </c>
      <c r="AC153" s="646">
        <v>2</v>
      </c>
    </row>
    <row r="154" spans="1:29" ht="15">
      <c r="A154" s="294">
        <v>150</v>
      </c>
      <c r="B154" s="289" t="s">
        <v>690</v>
      </c>
      <c r="C154" s="290">
        <v>0</v>
      </c>
      <c r="D154" s="290">
        <v>0</v>
      </c>
      <c r="E154" s="290">
        <v>0</v>
      </c>
      <c r="F154" s="290">
        <v>0</v>
      </c>
      <c r="G154" s="290">
        <v>0</v>
      </c>
      <c r="H154" s="290">
        <v>0</v>
      </c>
      <c r="I154" s="290">
        <v>0</v>
      </c>
      <c r="J154" s="290">
        <v>0</v>
      </c>
      <c r="K154" s="290">
        <v>0</v>
      </c>
      <c r="L154" s="290">
        <v>1</v>
      </c>
      <c r="M154" s="290">
        <v>1</v>
      </c>
      <c r="N154" s="290">
        <v>2</v>
      </c>
      <c r="O154" s="290">
        <v>0</v>
      </c>
      <c r="P154" s="290">
        <v>0</v>
      </c>
      <c r="Q154" s="290">
        <v>0</v>
      </c>
      <c r="R154" s="290">
        <v>0</v>
      </c>
      <c r="S154" s="290">
        <v>0</v>
      </c>
      <c r="T154" s="290">
        <v>0</v>
      </c>
      <c r="U154" s="290">
        <v>0</v>
      </c>
      <c r="V154" s="290">
        <v>0</v>
      </c>
      <c r="W154" s="290">
        <v>0</v>
      </c>
      <c r="X154" s="290">
        <v>0</v>
      </c>
      <c r="Y154" s="290">
        <v>0</v>
      </c>
      <c r="Z154" s="290">
        <v>0</v>
      </c>
      <c r="AA154" s="290">
        <v>1</v>
      </c>
      <c r="AB154" s="290">
        <v>1</v>
      </c>
      <c r="AC154" s="646">
        <v>2</v>
      </c>
    </row>
    <row r="155" spans="1:29" ht="15">
      <c r="A155" s="294">
        <v>151</v>
      </c>
      <c r="B155" s="289" t="s">
        <v>794</v>
      </c>
      <c r="C155" s="290">
        <v>1</v>
      </c>
      <c r="D155" s="290">
        <v>0</v>
      </c>
      <c r="E155" s="290">
        <v>1</v>
      </c>
      <c r="F155" s="290">
        <v>0</v>
      </c>
      <c r="G155" s="290">
        <v>0</v>
      </c>
      <c r="H155" s="290">
        <v>0</v>
      </c>
      <c r="I155" s="290">
        <v>0</v>
      </c>
      <c r="J155" s="290">
        <v>0</v>
      </c>
      <c r="K155" s="290">
        <v>0</v>
      </c>
      <c r="L155" s="290">
        <v>0</v>
      </c>
      <c r="M155" s="290">
        <v>0</v>
      </c>
      <c r="N155" s="290">
        <v>0</v>
      </c>
      <c r="O155" s="290">
        <v>0</v>
      </c>
      <c r="P155" s="290">
        <v>0</v>
      </c>
      <c r="Q155" s="290">
        <v>0</v>
      </c>
      <c r="R155" s="290">
        <v>0</v>
      </c>
      <c r="S155" s="290">
        <v>0</v>
      </c>
      <c r="T155" s="290">
        <v>0</v>
      </c>
      <c r="U155" s="290">
        <v>0</v>
      </c>
      <c r="V155" s="290">
        <v>0</v>
      </c>
      <c r="W155" s="290">
        <v>0</v>
      </c>
      <c r="X155" s="290">
        <v>0</v>
      </c>
      <c r="Y155" s="290">
        <v>0</v>
      </c>
      <c r="Z155" s="290">
        <v>0</v>
      </c>
      <c r="AA155" s="290">
        <v>1</v>
      </c>
      <c r="AB155" s="290">
        <v>0</v>
      </c>
      <c r="AC155" s="646">
        <v>1</v>
      </c>
    </row>
    <row r="156" spans="1:29" ht="15">
      <c r="A156" s="294">
        <v>152</v>
      </c>
      <c r="B156" s="289" t="s">
        <v>617</v>
      </c>
      <c r="C156" s="290">
        <v>1</v>
      </c>
      <c r="D156" s="290">
        <v>0</v>
      </c>
      <c r="E156" s="290">
        <v>1</v>
      </c>
      <c r="F156" s="290">
        <v>0</v>
      </c>
      <c r="G156" s="290">
        <v>0</v>
      </c>
      <c r="H156" s="290">
        <v>0</v>
      </c>
      <c r="I156" s="290">
        <v>0</v>
      </c>
      <c r="J156" s="290">
        <v>0</v>
      </c>
      <c r="K156" s="290">
        <v>0</v>
      </c>
      <c r="L156" s="290">
        <v>0</v>
      </c>
      <c r="M156" s="290">
        <v>0</v>
      </c>
      <c r="N156" s="290">
        <v>0</v>
      </c>
      <c r="O156" s="290">
        <v>0</v>
      </c>
      <c r="P156" s="290">
        <v>0</v>
      </c>
      <c r="Q156" s="290">
        <v>0</v>
      </c>
      <c r="R156" s="290">
        <v>0</v>
      </c>
      <c r="S156" s="290">
        <v>0</v>
      </c>
      <c r="T156" s="290">
        <v>0</v>
      </c>
      <c r="U156" s="290">
        <v>0</v>
      </c>
      <c r="V156" s="290">
        <v>0</v>
      </c>
      <c r="W156" s="290">
        <v>0</v>
      </c>
      <c r="X156" s="290">
        <v>0</v>
      </c>
      <c r="Y156" s="290">
        <v>0</v>
      </c>
      <c r="Z156" s="290">
        <v>0</v>
      </c>
      <c r="AA156" s="290">
        <v>1</v>
      </c>
      <c r="AB156" s="290">
        <v>0</v>
      </c>
      <c r="AC156" s="646">
        <v>1</v>
      </c>
    </row>
    <row r="157" spans="1:29" ht="15">
      <c r="A157" s="294">
        <v>153</v>
      </c>
      <c r="B157" s="289" t="s">
        <v>663</v>
      </c>
      <c r="C157" s="290">
        <v>0</v>
      </c>
      <c r="D157" s="290">
        <v>0</v>
      </c>
      <c r="E157" s="290">
        <v>0</v>
      </c>
      <c r="F157" s="290">
        <v>0</v>
      </c>
      <c r="G157" s="290">
        <v>0</v>
      </c>
      <c r="H157" s="290">
        <v>0</v>
      </c>
      <c r="I157" s="290">
        <v>0</v>
      </c>
      <c r="J157" s="290">
        <v>1</v>
      </c>
      <c r="K157" s="290">
        <v>1</v>
      </c>
      <c r="L157" s="290">
        <v>0</v>
      </c>
      <c r="M157" s="290">
        <v>0</v>
      </c>
      <c r="N157" s="290">
        <v>0</v>
      </c>
      <c r="O157" s="290">
        <v>0</v>
      </c>
      <c r="P157" s="290">
        <v>0</v>
      </c>
      <c r="Q157" s="290">
        <v>0</v>
      </c>
      <c r="R157" s="290">
        <v>0</v>
      </c>
      <c r="S157" s="290">
        <v>0</v>
      </c>
      <c r="T157" s="290">
        <v>0</v>
      </c>
      <c r="U157" s="290">
        <v>0</v>
      </c>
      <c r="V157" s="290">
        <v>0</v>
      </c>
      <c r="W157" s="290">
        <v>0</v>
      </c>
      <c r="X157" s="290">
        <v>0</v>
      </c>
      <c r="Y157" s="290">
        <v>0</v>
      </c>
      <c r="Z157" s="290">
        <v>0</v>
      </c>
      <c r="AA157" s="290">
        <v>0</v>
      </c>
      <c r="AB157" s="290">
        <v>1</v>
      </c>
      <c r="AC157" s="646">
        <v>1</v>
      </c>
    </row>
    <row r="158" spans="1:29" ht="15">
      <c r="A158" s="294">
        <v>154</v>
      </c>
      <c r="B158" s="289" t="s">
        <v>795</v>
      </c>
      <c r="C158" s="290">
        <v>0</v>
      </c>
      <c r="D158" s="290">
        <v>0</v>
      </c>
      <c r="E158" s="290">
        <v>0</v>
      </c>
      <c r="F158" s="290">
        <v>0</v>
      </c>
      <c r="G158" s="290">
        <v>0</v>
      </c>
      <c r="H158" s="290">
        <v>0</v>
      </c>
      <c r="I158" s="290">
        <v>0</v>
      </c>
      <c r="J158" s="290">
        <v>0</v>
      </c>
      <c r="K158" s="290">
        <v>0</v>
      </c>
      <c r="L158" s="290">
        <v>0</v>
      </c>
      <c r="M158" s="290">
        <v>1</v>
      </c>
      <c r="N158" s="290">
        <v>1</v>
      </c>
      <c r="O158" s="290">
        <v>0</v>
      </c>
      <c r="P158" s="290">
        <v>0</v>
      </c>
      <c r="Q158" s="290">
        <v>0</v>
      </c>
      <c r="R158" s="290">
        <v>0</v>
      </c>
      <c r="S158" s="290">
        <v>0</v>
      </c>
      <c r="T158" s="290">
        <v>0</v>
      </c>
      <c r="U158" s="290">
        <v>0</v>
      </c>
      <c r="V158" s="290">
        <v>0</v>
      </c>
      <c r="W158" s="290">
        <v>0</v>
      </c>
      <c r="X158" s="290">
        <v>0</v>
      </c>
      <c r="Y158" s="290">
        <v>0</v>
      </c>
      <c r="Z158" s="290">
        <v>0</v>
      </c>
      <c r="AA158" s="290">
        <v>0</v>
      </c>
      <c r="AB158" s="290">
        <v>1</v>
      </c>
      <c r="AC158" s="646">
        <v>1</v>
      </c>
    </row>
    <row r="159" spans="1:29" ht="15">
      <c r="A159" s="294">
        <v>155</v>
      </c>
      <c r="B159" s="289" t="s">
        <v>796</v>
      </c>
      <c r="C159" s="290">
        <v>0</v>
      </c>
      <c r="D159" s="290">
        <v>0</v>
      </c>
      <c r="E159" s="290">
        <v>0</v>
      </c>
      <c r="F159" s="290">
        <v>0</v>
      </c>
      <c r="G159" s="290">
        <v>0</v>
      </c>
      <c r="H159" s="290">
        <v>0</v>
      </c>
      <c r="I159" s="290">
        <v>1</v>
      </c>
      <c r="J159" s="290">
        <v>0</v>
      </c>
      <c r="K159" s="290">
        <v>1</v>
      </c>
      <c r="L159" s="290">
        <v>0</v>
      </c>
      <c r="M159" s="290">
        <v>0</v>
      </c>
      <c r="N159" s="290">
        <v>0</v>
      </c>
      <c r="O159" s="290">
        <v>0</v>
      </c>
      <c r="P159" s="290">
        <v>0</v>
      </c>
      <c r="Q159" s="290">
        <v>0</v>
      </c>
      <c r="R159" s="290">
        <v>0</v>
      </c>
      <c r="S159" s="290">
        <v>0</v>
      </c>
      <c r="T159" s="290">
        <v>0</v>
      </c>
      <c r="U159" s="290">
        <v>0</v>
      </c>
      <c r="V159" s="290">
        <v>0</v>
      </c>
      <c r="W159" s="290">
        <v>0</v>
      </c>
      <c r="X159" s="290">
        <v>0</v>
      </c>
      <c r="Y159" s="290">
        <v>0</v>
      </c>
      <c r="Z159" s="290">
        <v>0</v>
      </c>
      <c r="AA159" s="290">
        <v>1</v>
      </c>
      <c r="AB159" s="290">
        <v>0</v>
      </c>
      <c r="AC159" s="646">
        <v>1</v>
      </c>
    </row>
    <row r="160" spans="1:29" ht="15">
      <c r="A160" s="294">
        <v>156</v>
      </c>
      <c r="B160" s="289" t="s">
        <v>578</v>
      </c>
      <c r="C160" s="290">
        <v>1</v>
      </c>
      <c r="D160" s="290">
        <v>0</v>
      </c>
      <c r="E160" s="290">
        <v>1</v>
      </c>
      <c r="F160" s="290">
        <v>0</v>
      </c>
      <c r="G160" s="290">
        <v>0</v>
      </c>
      <c r="H160" s="290">
        <v>0</v>
      </c>
      <c r="I160" s="290">
        <v>0</v>
      </c>
      <c r="J160" s="290">
        <v>0</v>
      </c>
      <c r="K160" s="290">
        <v>0</v>
      </c>
      <c r="L160" s="290">
        <v>0</v>
      </c>
      <c r="M160" s="290">
        <v>0</v>
      </c>
      <c r="N160" s="290">
        <v>0</v>
      </c>
      <c r="O160" s="290">
        <v>0</v>
      </c>
      <c r="P160" s="290">
        <v>0</v>
      </c>
      <c r="Q160" s="290">
        <v>0</v>
      </c>
      <c r="R160" s="290">
        <v>0</v>
      </c>
      <c r="S160" s="290">
        <v>0</v>
      </c>
      <c r="T160" s="290">
        <v>0</v>
      </c>
      <c r="U160" s="290">
        <v>0</v>
      </c>
      <c r="V160" s="290">
        <v>0</v>
      </c>
      <c r="W160" s="290">
        <v>0</v>
      </c>
      <c r="X160" s="290">
        <v>0</v>
      </c>
      <c r="Y160" s="290">
        <v>0</v>
      </c>
      <c r="Z160" s="290">
        <v>0</v>
      </c>
      <c r="AA160" s="290">
        <v>1</v>
      </c>
      <c r="AB160" s="290">
        <v>0</v>
      </c>
      <c r="AC160" s="646">
        <v>1</v>
      </c>
    </row>
    <row r="161" spans="1:29" ht="15">
      <c r="A161" s="294">
        <v>157</v>
      </c>
      <c r="B161" s="289" t="s">
        <v>702</v>
      </c>
      <c r="C161" s="290">
        <v>0</v>
      </c>
      <c r="D161" s="290">
        <v>0</v>
      </c>
      <c r="E161" s="290">
        <v>0</v>
      </c>
      <c r="F161" s="290">
        <v>0</v>
      </c>
      <c r="G161" s="290">
        <v>0</v>
      </c>
      <c r="H161" s="290">
        <v>0</v>
      </c>
      <c r="I161" s="290">
        <v>0</v>
      </c>
      <c r="J161" s="290">
        <v>0</v>
      </c>
      <c r="K161" s="290">
        <v>0</v>
      </c>
      <c r="L161" s="290">
        <v>0</v>
      </c>
      <c r="M161" s="290">
        <v>1</v>
      </c>
      <c r="N161" s="290">
        <v>1</v>
      </c>
      <c r="O161" s="290">
        <v>0</v>
      </c>
      <c r="P161" s="290">
        <v>0</v>
      </c>
      <c r="Q161" s="290">
        <v>0</v>
      </c>
      <c r="R161" s="290">
        <v>0</v>
      </c>
      <c r="S161" s="290">
        <v>0</v>
      </c>
      <c r="T161" s="290">
        <v>0</v>
      </c>
      <c r="U161" s="290">
        <v>0</v>
      </c>
      <c r="V161" s="290">
        <v>0</v>
      </c>
      <c r="W161" s="290">
        <v>0</v>
      </c>
      <c r="X161" s="290">
        <v>0</v>
      </c>
      <c r="Y161" s="290">
        <v>0</v>
      </c>
      <c r="Z161" s="290">
        <v>0</v>
      </c>
      <c r="AA161" s="290">
        <v>0</v>
      </c>
      <c r="AB161" s="290">
        <v>1</v>
      </c>
      <c r="AC161" s="646">
        <v>1</v>
      </c>
    </row>
    <row r="162" spans="1:29" ht="15">
      <c r="A162" s="294">
        <v>158</v>
      </c>
      <c r="B162" s="289" t="s">
        <v>691</v>
      </c>
      <c r="C162" s="290">
        <v>0</v>
      </c>
      <c r="D162" s="290">
        <v>0</v>
      </c>
      <c r="E162" s="290">
        <v>0</v>
      </c>
      <c r="F162" s="290">
        <v>0</v>
      </c>
      <c r="G162" s="290">
        <v>0</v>
      </c>
      <c r="H162" s="290">
        <v>0</v>
      </c>
      <c r="I162" s="290">
        <v>0</v>
      </c>
      <c r="J162" s="290">
        <v>0</v>
      </c>
      <c r="K162" s="290">
        <v>0</v>
      </c>
      <c r="L162" s="290">
        <v>1</v>
      </c>
      <c r="M162" s="290">
        <v>0</v>
      </c>
      <c r="N162" s="290">
        <v>1</v>
      </c>
      <c r="O162" s="290">
        <v>0</v>
      </c>
      <c r="P162" s="290">
        <v>0</v>
      </c>
      <c r="Q162" s="290">
        <v>0</v>
      </c>
      <c r="R162" s="290">
        <v>0</v>
      </c>
      <c r="S162" s="290">
        <v>0</v>
      </c>
      <c r="T162" s="290">
        <v>0</v>
      </c>
      <c r="U162" s="290">
        <v>0</v>
      </c>
      <c r="V162" s="290">
        <v>0</v>
      </c>
      <c r="W162" s="290">
        <v>0</v>
      </c>
      <c r="X162" s="290">
        <v>0</v>
      </c>
      <c r="Y162" s="290">
        <v>0</v>
      </c>
      <c r="Z162" s="290">
        <v>0</v>
      </c>
      <c r="AA162" s="290">
        <v>1</v>
      </c>
      <c r="AB162" s="290">
        <v>0</v>
      </c>
      <c r="AC162" s="646">
        <v>1</v>
      </c>
    </row>
    <row r="163" spans="1:29" ht="15">
      <c r="A163" s="294">
        <v>159</v>
      </c>
      <c r="B163" s="289" t="s">
        <v>652</v>
      </c>
      <c r="C163" s="290">
        <v>0</v>
      </c>
      <c r="D163" s="290">
        <v>0</v>
      </c>
      <c r="E163" s="290">
        <v>0</v>
      </c>
      <c r="F163" s="290">
        <v>0</v>
      </c>
      <c r="G163" s="290">
        <v>0</v>
      </c>
      <c r="H163" s="290">
        <v>0</v>
      </c>
      <c r="I163" s="290">
        <v>0</v>
      </c>
      <c r="J163" s="290">
        <v>0</v>
      </c>
      <c r="K163" s="290">
        <v>0</v>
      </c>
      <c r="L163" s="290">
        <v>1</v>
      </c>
      <c r="M163" s="290">
        <v>0</v>
      </c>
      <c r="N163" s="290">
        <v>1</v>
      </c>
      <c r="O163" s="290">
        <v>0</v>
      </c>
      <c r="P163" s="290">
        <v>0</v>
      </c>
      <c r="Q163" s="290">
        <v>0</v>
      </c>
      <c r="R163" s="290">
        <v>0</v>
      </c>
      <c r="S163" s="290">
        <v>0</v>
      </c>
      <c r="T163" s="290">
        <v>0</v>
      </c>
      <c r="U163" s="290">
        <v>0</v>
      </c>
      <c r="V163" s="290">
        <v>0</v>
      </c>
      <c r="W163" s="290">
        <v>0</v>
      </c>
      <c r="X163" s="290">
        <v>0</v>
      </c>
      <c r="Y163" s="290">
        <v>0</v>
      </c>
      <c r="Z163" s="290">
        <v>0</v>
      </c>
      <c r="AA163" s="290">
        <v>1</v>
      </c>
      <c r="AB163" s="290">
        <v>0</v>
      </c>
      <c r="AC163" s="646">
        <v>1</v>
      </c>
    </row>
    <row r="164" spans="1:29" ht="15">
      <c r="A164" s="294">
        <v>160</v>
      </c>
      <c r="B164" s="289" t="s">
        <v>689</v>
      </c>
      <c r="C164" s="290">
        <v>0</v>
      </c>
      <c r="D164" s="290">
        <v>0</v>
      </c>
      <c r="E164" s="290">
        <v>0</v>
      </c>
      <c r="F164" s="290">
        <v>0</v>
      </c>
      <c r="G164" s="290">
        <v>0</v>
      </c>
      <c r="H164" s="290">
        <v>0</v>
      </c>
      <c r="I164" s="290">
        <v>0</v>
      </c>
      <c r="J164" s="290">
        <v>0</v>
      </c>
      <c r="K164" s="290">
        <v>0</v>
      </c>
      <c r="L164" s="290">
        <v>0</v>
      </c>
      <c r="M164" s="290">
        <v>1</v>
      </c>
      <c r="N164" s="290">
        <v>1</v>
      </c>
      <c r="O164" s="290">
        <v>0</v>
      </c>
      <c r="P164" s="290">
        <v>0</v>
      </c>
      <c r="Q164" s="290">
        <v>0</v>
      </c>
      <c r="R164" s="290">
        <v>0</v>
      </c>
      <c r="S164" s="290">
        <v>0</v>
      </c>
      <c r="T164" s="290">
        <v>0</v>
      </c>
      <c r="U164" s="290">
        <v>0</v>
      </c>
      <c r="V164" s="290">
        <v>0</v>
      </c>
      <c r="W164" s="290">
        <v>0</v>
      </c>
      <c r="X164" s="290">
        <v>0</v>
      </c>
      <c r="Y164" s="290">
        <v>0</v>
      </c>
      <c r="Z164" s="290">
        <v>0</v>
      </c>
      <c r="AA164" s="290">
        <v>0</v>
      </c>
      <c r="AB164" s="290">
        <v>1</v>
      </c>
      <c r="AC164" s="646">
        <v>1</v>
      </c>
    </row>
    <row r="165" spans="1:29" ht="15">
      <c r="A165" s="294">
        <v>161</v>
      </c>
      <c r="B165" s="289" t="s">
        <v>680</v>
      </c>
      <c r="C165" s="290">
        <v>0</v>
      </c>
      <c r="D165" s="290">
        <v>0</v>
      </c>
      <c r="E165" s="290">
        <v>0</v>
      </c>
      <c r="F165" s="290">
        <v>0</v>
      </c>
      <c r="G165" s="290">
        <v>0</v>
      </c>
      <c r="H165" s="290">
        <v>0</v>
      </c>
      <c r="I165" s="290">
        <v>0</v>
      </c>
      <c r="J165" s="290">
        <v>0</v>
      </c>
      <c r="K165" s="290">
        <v>0</v>
      </c>
      <c r="L165" s="290">
        <v>0</v>
      </c>
      <c r="M165" s="290">
        <v>1</v>
      </c>
      <c r="N165" s="290">
        <v>1</v>
      </c>
      <c r="O165" s="290">
        <v>0</v>
      </c>
      <c r="P165" s="290">
        <v>0</v>
      </c>
      <c r="Q165" s="290">
        <v>0</v>
      </c>
      <c r="R165" s="290">
        <v>0</v>
      </c>
      <c r="S165" s="290">
        <v>0</v>
      </c>
      <c r="T165" s="290">
        <v>0</v>
      </c>
      <c r="U165" s="290">
        <v>0</v>
      </c>
      <c r="V165" s="290">
        <v>0</v>
      </c>
      <c r="W165" s="290">
        <v>0</v>
      </c>
      <c r="X165" s="290">
        <v>0</v>
      </c>
      <c r="Y165" s="290">
        <v>0</v>
      </c>
      <c r="Z165" s="290">
        <v>0</v>
      </c>
      <c r="AA165" s="290">
        <v>0</v>
      </c>
      <c r="AB165" s="290">
        <v>1</v>
      </c>
      <c r="AC165" s="646">
        <v>1</v>
      </c>
    </row>
    <row r="166" spans="1:29" ht="15">
      <c r="A166" s="294">
        <v>162</v>
      </c>
      <c r="B166" s="289" t="s">
        <v>705</v>
      </c>
      <c r="C166" s="290">
        <v>0</v>
      </c>
      <c r="D166" s="290">
        <v>0</v>
      </c>
      <c r="E166" s="290">
        <v>0</v>
      </c>
      <c r="F166" s="290">
        <v>0</v>
      </c>
      <c r="G166" s="290">
        <v>0</v>
      </c>
      <c r="H166" s="290">
        <v>0</v>
      </c>
      <c r="I166" s="290">
        <v>1</v>
      </c>
      <c r="J166" s="290">
        <v>0</v>
      </c>
      <c r="K166" s="290">
        <v>1</v>
      </c>
      <c r="L166" s="290">
        <v>0</v>
      </c>
      <c r="M166" s="290">
        <v>0</v>
      </c>
      <c r="N166" s="290">
        <v>0</v>
      </c>
      <c r="O166" s="290">
        <v>0</v>
      </c>
      <c r="P166" s="290">
        <v>0</v>
      </c>
      <c r="Q166" s="290">
        <v>0</v>
      </c>
      <c r="R166" s="290">
        <v>0</v>
      </c>
      <c r="S166" s="290">
        <v>0</v>
      </c>
      <c r="T166" s="290">
        <v>0</v>
      </c>
      <c r="U166" s="290">
        <v>0</v>
      </c>
      <c r="V166" s="290">
        <v>0</v>
      </c>
      <c r="W166" s="290">
        <v>0</v>
      </c>
      <c r="X166" s="290">
        <v>0</v>
      </c>
      <c r="Y166" s="290">
        <v>0</v>
      </c>
      <c r="Z166" s="290">
        <v>0</v>
      </c>
      <c r="AA166" s="290">
        <v>1</v>
      </c>
      <c r="AB166" s="290">
        <v>0</v>
      </c>
      <c r="AC166" s="646">
        <v>1</v>
      </c>
    </row>
    <row r="167" spans="1:29" ht="33" customHeight="1">
      <c r="A167" s="294">
        <v>163</v>
      </c>
      <c r="B167" s="289" t="s">
        <v>797</v>
      </c>
      <c r="C167" s="290">
        <v>0</v>
      </c>
      <c r="D167" s="290">
        <v>0</v>
      </c>
      <c r="E167" s="290">
        <v>0</v>
      </c>
      <c r="F167" s="290">
        <v>0</v>
      </c>
      <c r="G167" s="290">
        <v>0</v>
      </c>
      <c r="H167" s="290">
        <v>0</v>
      </c>
      <c r="I167" s="290">
        <v>0</v>
      </c>
      <c r="J167" s="290">
        <v>1</v>
      </c>
      <c r="K167" s="290">
        <v>1</v>
      </c>
      <c r="L167" s="290">
        <v>0</v>
      </c>
      <c r="M167" s="290">
        <v>0</v>
      </c>
      <c r="N167" s="290">
        <v>0</v>
      </c>
      <c r="O167" s="290">
        <v>0</v>
      </c>
      <c r="P167" s="290">
        <v>0</v>
      </c>
      <c r="Q167" s="290">
        <v>0</v>
      </c>
      <c r="R167" s="290">
        <v>0</v>
      </c>
      <c r="S167" s="290">
        <v>0</v>
      </c>
      <c r="T167" s="290">
        <v>0</v>
      </c>
      <c r="U167" s="290">
        <v>0</v>
      </c>
      <c r="V167" s="290">
        <v>0</v>
      </c>
      <c r="W167" s="290">
        <v>0</v>
      </c>
      <c r="X167" s="290">
        <v>0</v>
      </c>
      <c r="Y167" s="290">
        <v>0</v>
      </c>
      <c r="Z167" s="290">
        <v>0</v>
      </c>
      <c r="AA167" s="290">
        <v>0</v>
      </c>
      <c r="AB167" s="290">
        <v>1</v>
      </c>
      <c r="AC167" s="646">
        <v>1</v>
      </c>
    </row>
    <row r="168" spans="1:29" ht="15.75" customHeight="1">
      <c r="A168" s="294">
        <v>164</v>
      </c>
      <c r="B168" s="289" t="s">
        <v>698</v>
      </c>
      <c r="C168" s="290">
        <v>0</v>
      </c>
      <c r="D168" s="290">
        <v>0</v>
      </c>
      <c r="E168" s="290">
        <v>0</v>
      </c>
      <c r="F168" s="290">
        <v>0</v>
      </c>
      <c r="G168" s="290">
        <v>0</v>
      </c>
      <c r="H168" s="290">
        <v>0</v>
      </c>
      <c r="I168" s="290">
        <v>0</v>
      </c>
      <c r="J168" s="290">
        <v>0</v>
      </c>
      <c r="K168" s="290">
        <v>0</v>
      </c>
      <c r="L168" s="290">
        <v>1</v>
      </c>
      <c r="M168" s="290">
        <v>0</v>
      </c>
      <c r="N168" s="290">
        <v>1</v>
      </c>
      <c r="O168" s="290">
        <v>0</v>
      </c>
      <c r="P168" s="290">
        <v>0</v>
      </c>
      <c r="Q168" s="290">
        <v>0</v>
      </c>
      <c r="R168" s="290">
        <v>0</v>
      </c>
      <c r="S168" s="290">
        <v>0</v>
      </c>
      <c r="T168" s="290">
        <v>0</v>
      </c>
      <c r="U168" s="290">
        <v>0</v>
      </c>
      <c r="V168" s="290">
        <v>0</v>
      </c>
      <c r="W168" s="290">
        <v>0</v>
      </c>
      <c r="X168" s="290">
        <v>0</v>
      </c>
      <c r="Y168" s="290">
        <v>0</v>
      </c>
      <c r="Z168" s="290">
        <v>0</v>
      </c>
      <c r="AA168" s="290">
        <v>1</v>
      </c>
      <c r="AB168" s="290">
        <v>0</v>
      </c>
      <c r="AC168" s="646">
        <v>1</v>
      </c>
    </row>
    <row r="169" spans="1:29" ht="15.75" customHeight="1">
      <c r="A169" s="294">
        <v>165</v>
      </c>
      <c r="B169" s="289" t="s">
        <v>798</v>
      </c>
      <c r="C169" s="290">
        <v>0</v>
      </c>
      <c r="D169" s="290">
        <v>0</v>
      </c>
      <c r="E169" s="290">
        <v>0</v>
      </c>
      <c r="F169" s="290">
        <v>0</v>
      </c>
      <c r="G169" s="290">
        <v>0</v>
      </c>
      <c r="H169" s="290">
        <v>0</v>
      </c>
      <c r="I169" s="290">
        <v>1</v>
      </c>
      <c r="J169" s="290">
        <v>0</v>
      </c>
      <c r="K169" s="290">
        <v>1</v>
      </c>
      <c r="L169" s="290">
        <v>0</v>
      </c>
      <c r="M169" s="290">
        <v>0</v>
      </c>
      <c r="N169" s="290">
        <v>0</v>
      </c>
      <c r="O169" s="290">
        <v>0</v>
      </c>
      <c r="P169" s="290">
        <v>0</v>
      </c>
      <c r="Q169" s="290">
        <v>0</v>
      </c>
      <c r="R169" s="290">
        <v>0</v>
      </c>
      <c r="S169" s="290">
        <v>0</v>
      </c>
      <c r="T169" s="290">
        <v>0</v>
      </c>
      <c r="U169" s="290">
        <v>0</v>
      </c>
      <c r="V169" s="290">
        <v>0</v>
      </c>
      <c r="W169" s="290">
        <v>0</v>
      </c>
      <c r="X169" s="290">
        <v>0</v>
      </c>
      <c r="Y169" s="290">
        <v>0</v>
      </c>
      <c r="Z169" s="290">
        <v>0</v>
      </c>
      <c r="AA169" s="290">
        <v>1</v>
      </c>
      <c r="AB169" s="290">
        <v>0</v>
      </c>
      <c r="AC169" s="646">
        <v>1</v>
      </c>
    </row>
    <row r="170" spans="1:29" ht="15.75" customHeight="1">
      <c r="A170" s="294">
        <v>166</v>
      </c>
      <c r="B170" s="289" t="s">
        <v>701</v>
      </c>
      <c r="C170" s="290">
        <v>0</v>
      </c>
      <c r="D170" s="290">
        <v>0</v>
      </c>
      <c r="E170" s="290">
        <v>0</v>
      </c>
      <c r="F170" s="290">
        <v>0</v>
      </c>
      <c r="G170" s="290">
        <v>0</v>
      </c>
      <c r="H170" s="290">
        <v>0</v>
      </c>
      <c r="I170" s="290">
        <v>0</v>
      </c>
      <c r="J170" s="290">
        <v>0</v>
      </c>
      <c r="K170" s="290">
        <v>0</v>
      </c>
      <c r="L170" s="290">
        <v>1</v>
      </c>
      <c r="M170" s="290">
        <v>0</v>
      </c>
      <c r="N170" s="290">
        <v>1</v>
      </c>
      <c r="O170" s="290">
        <v>0</v>
      </c>
      <c r="P170" s="290">
        <v>0</v>
      </c>
      <c r="Q170" s="290">
        <v>0</v>
      </c>
      <c r="R170" s="290">
        <v>0</v>
      </c>
      <c r="S170" s="290">
        <v>0</v>
      </c>
      <c r="T170" s="290">
        <v>0</v>
      </c>
      <c r="U170" s="290">
        <v>0</v>
      </c>
      <c r="V170" s="290">
        <v>0</v>
      </c>
      <c r="W170" s="290">
        <v>0</v>
      </c>
      <c r="X170" s="290">
        <v>0</v>
      </c>
      <c r="Y170" s="290">
        <v>0</v>
      </c>
      <c r="Z170" s="290">
        <v>0</v>
      </c>
      <c r="AA170" s="290">
        <v>1</v>
      </c>
      <c r="AB170" s="290">
        <v>0</v>
      </c>
      <c r="AC170" s="646">
        <v>1</v>
      </c>
    </row>
    <row r="171" spans="1:29" ht="15.75" customHeight="1">
      <c r="A171" s="294">
        <v>167</v>
      </c>
      <c r="B171" s="291" t="s">
        <v>799</v>
      </c>
      <c r="C171" s="292">
        <v>0</v>
      </c>
      <c r="D171" s="292">
        <v>0</v>
      </c>
      <c r="E171" s="292">
        <v>0</v>
      </c>
      <c r="F171" s="292">
        <v>0</v>
      </c>
      <c r="G171" s="292">
        <v>0</v>
      </c>
      <c r="H171" s="292">
        <v>0</v>
      </c>
      <c r="I171" s="292">
        <v>0</v>
      </c>
      <c r="J171" s="292">
        <v>0</v>
      </c>
      <c r="K171" s="292">
        <v>0</v>
      </c>
      <c r="L171" s="292">
        <v>0</v>
      </c>
      <c r="M171" s="292">
        <v>1</v>
      </c>
      <c r="N171" s="292">
        <v>1</v>
      </c>
      <c r="O171" s="292">
        <v>0</v>
      </c>
      <c r="P171" s="292">
        <v>0</v>
      </c>
      <c r="Q171" s="292">
        <v>0</v>
      </c>
      <c r="R171" s="292">
        <v>0</v>
      </c>
      <c r="S171" s="292">
        <v>0</v>
      </c>
      <c r="T171" s="292">
        <v>0</v>
      </c>
      <c r="U171" s="292">
        <v>0</v>
      </c>
      <c r="V171" s="292">
        <v>0</v>
      </c>
      <c r="W171" s="292">
        <v>0</v>
      </c>
      <c r="X171" s="292">
        <v>0</v>
      </c>
      <c r="Y171" s="292">
        <v>0</v>
      </c>
      <c r="Z171" s="292">
        <v>0</v>
      </c>
      <c r="AA171" s="292">
        <v>0</v>
      </c>
      <c r="AB171" s="292">
        <v>1</v>
      </c>
      <c r="AC171" s="297">
        <v>1</v>
      </c>
    </row>
    <row r="172" spans="1:29" ht="15.75" customHeight="1">
      <c r="A172" s="294">
        <v>168</v>
      </c>
      <c r="B172" s="291" t="s">
        <v>693</v>
      </c>
      <c r="C172" s="292">
        <v>0</v>
      </c>
      <c r="D172" s="292">
        <v>0</v>
      </c>
      <c r="E172" s="292">
        <v>0</v>
      </c>
      <c r="F172" s="292">
        <v>0</v>
      </c>
      <c r="G172" s="292">
        <v>0</v>
      </c>
      <c r="H172" s="292">
        <v>0</v>
      </c>
      <c r="I172" s="292">
        <v>0</v>
      </c>
      <c r="J172" s="292">
        <v>0</v>
      </c>
      <c r="K172" s="292">
        <v>0</v>
      </c>
      <c r="L172" s="292">
        <v>1</v>
      </c>
      <c r="M172" s="292">
        <v>0</v>
      </c>
      <c r="N172" s="292">
        <v>1</v>
      </c>
      <c r="O172" s="292">
        <v>0</v>
      </c>
      <c r="P172" s="292">
        <v>0</v>
      </c>
      <c r="Q172" s="292">
        <v>0</v>
      </c>
      <c r="R172" s="292">
        <v>0</v>
      </c>
      <c r="S172" s="292">
        <v>0</v>
      </c>
      <c r="T172" s="292">
        <v>0</v>
      </c>
      <c r="U172" s="292">
        <v>0</v>
      </c>
      <c r="V172" s="292">
        <v>0</v>
      </c>
      <c r="W172" s="292">
        <v>0</v>
      </c>
      <c r="X172" s="292">
        <v>0</v>
      </c>
      <c r="Y172" s="292">
        <v>0</v>
      </c>
      <c r="Z172" s="292">
        <v>0</v>
      </c>
      <c r="AA172" s="292">
        <v>1</v>
      </c>
      <c r="AB172" s="292">
        <v>0</v>
      </c>
      <c r="AC172" s="297">
        <v>1</v>
      </c>
    </row>
    <row r="173" spans="1:29" ht="15" customHeight="1">
      <c r="A173" s="870" t="s">
        <v>60</v>
      </c>
      <c r="B173" s="870"/>
      <c r="C173" s="738">
        <f t="shared" ref="C173:AC173" si="0">SUM(C5:C172)</f>
        <v>1282</v>
      </c>
      <c r="D173" s="738">
        <f t="shared" si="0"/>
        <v>356</v>
      </c>
      <c r="E173" s="738">
        <f t="shared" si="0"/>
        <v>1638</v>
      </c>
      <c r="F173" s="738">
        <f t="shared" si="0"/>
        <v>28</v>
      </c>
      <c r="G173" s="738">
        <f t="shared" si="0"/>
        <v>17</v>
      </c>
      <c r="H173" s="738">
        <f t="shared" si="0"/>
        <v>45</v>
      </c>
      <c r="I173" s="738">
        <f t="shared" si="0"/>
        <v>5561</v>
      </c>
      <c r="J173" s="738">
        <f t="shared" si="0"/>
        <v>2638</v>
      </c>
      <c r="K173" s="738">
        <f t="shared" si="0"/>
        <v>8199</v>
      </c>
      <c r="L173" s="738">
        <f t="shared" si="0"/>
        <v>24213</v>
      </c>
      <c r="M173" s="738">
        <f t="shared" si="0"/>
        <v>12441</v>
      </c>
      <c r="N173" s="738">
        <f t="shared" si="0"/>
        <v>36654</v>
      </c>
      <c r="O173" s="738">
        <f t="shared" si="0"/>
        <v>41</v>
      </c>
      <c r="P173" s="738">
        <f t="shared" si="0"/>
        <v>33</v>
      </c>
      <c r="Q173" s="738">
        <f t="shared" si="0"/>
        <v>74</v>
      </c>
      <c r="R173" s="738">
        <f t="shared" si="0"/>
        <v>1376</v>
      </c>
      <c r="S173" s="738">
        <f t="shared" si="0"/>
        <v>370</v>
      </c>
      <c r="T173" s="738">
        <f t="shared" si="0"/>
        <v>1746</v>
      </c>
      <c r="U173" s="738">
        <f t="shared" si="0"/>
        <v>82</v>
      </c>
      <c r="V173" s="738">
        <f t="shared" si="0"/>
        <v>389</v>
      </c>
      <c r="W173" s="738">
        <f t="shared" si="0"/>
        <v>471</v>
      </c>
      <c r="X173" s="738">
        <f t="shared" si="0"/>
        <v>253</v>
      </c>
      <c r="Y173" s="738">
        <f t="shared" si="0"/>
        <v>268</v>
      </c>
      <c r="Z173" s="738">
        <f t="shared" si="0"/>
        <v>521</v>
      </c>
      <c r="AA173" s="738">
        <f t="shared" si="0"/>
        <v>32836</v>
      </c>
      <c r="AB173" s="738">
        <f t="shared" si="0"/>
        <v>16512</v>
      </c>
      <c r="AC173" s="738">
        <f t="shared" si="0"/>
        <v>49348</v>
      </c>
    </row>
  </sheetData>
  <sortState xmlns:xlrd2="http://schemas.microsoft.com/office/spreadsheetml/2017/richdata2" ref="A5:AC170">
    <sortCondition descending="1" ref="AC5:AC170"/>
  </sortState>
  <mergeCells count="15">
    <mergeCell ref="A173:B173"/>
    <mergeCell ref="A2:A3"/>
    <mergeCell ref="C1:K1"/>
    <mergeCell ref="L1:T1"/>
    <mergeCell ref="U1:AC1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1181102362204722" right="0.39370078740157483" top="0.55118110236220474" bottom="0.39370078740157483" header="0.35433070866141736" footer="0.23622047244094491"/>
  <pageSetup paperSize="9" scale="77" firstPageNumber="51" pageOrder="overThenDown" orientation="portrait" useFirstPageNumber="1" r:id="rId1"/>
  <headerFooter>
    <oddFooter>&amp;L     AISHE 2019-20&amp;CT-16</oddFooter>
  </headerFooter>
  <colBreaks count="2" manualBreakCount="2">
    <brk id="11" max="173" man="1"/>
    <brk id="20" max="173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rgb="FF00B050"/>
  </sheetPr>
  <dimension ref="A1:AC38"/>
  <sheetViews>
    <sheetView showZeros="0" view="pageBreakPreview" zoomScaleSheetLayoutView="100" workbookViewId="0">
      <pane xSplit="2" ySplit="4" topLeftCell="T31" activePane="bottomRight" state="frozen"/>
      <selection activeCell="B4" sqref="B4"/>
      <selection pane="topRight" activeCell="B4" sqref="B4"/>
      <selection pane="bottomLeft" activeCell="B4" sqref="B4"/>
      <selection pane="bottomRight" activeCell="AD1" sqref="AD1:AG1048576"/>
    </sheetView>
  </sheetViews>
  <sheetFormatPr defaultColWidth="9.140625" defaultRowHeight="14.25"/>
  <cols>
    <col min="1" max="1" width="6.42578125" style="296" bestFit="1" customWidth="1"/>
    <col min="2" max="2" width="24.42578125" style="299" customWidth="1"/>
    <col min="3" max="20" width="8.28515625" style="296" customWidth="1"/>
    <col min="21" max="29" width="8.7109375" style="296" customWidth="1"/>
    <col min="30" max="16384" width="9.140625" style="296"/>
  </cols>
  <sheetData>
    <row r="1" spans="1:29" s="285" customFormat="1" ht="36" customHeight="1">
      <c r="B1" s="150" t="s">
        <v>707</v>
      </c>
      <c r="C1" s="875" t="s">
        <v>859</v>
      </c>
      <c r="D1" s="876"/>
      <c r="E1" s="876"/>
      <c r="F1" s="876"/>
      <c r="G1" s="876"/>
      <c r="H1" s="876"/>
      <c r="I1" s="876"/>
      <c r="J1" s="876"/>
      <c r="K1" s="876"/>
      <c r="L1" s="875" t="str">
        <f>C1</f>
        <v>State-wise &amp; Level-wise Foreign Students
(Based on actual Response)</v>
      </c>
      <c r="M1" s="876"/>
      <c r="N1" s="876"/>
      <c r="O1" s="876"/>
      <c r="P1" s="876"/>
      <c r="Q1" s="876"/>
      <c r="R1" s="876"/>
      <c r="S1" s="876"/>
      <c r="T1" s="876"/>
      <c r="U1" s="875" t="str">
        <f>L1</f>
        <v>State-wise &amp; Level-wise Foreign Students
(Based on actual Response)</v>
      </c>
      <c r="V1" s="876"/>
      <c r="W1" s="876"/>
      <c r="X1" s="876"/>
      <c r="Y1" s="876"/>
      <c r="Z1" s="876"/>
      <c r="AA1" s="876"/>
      <c r="AB1" s="876"/>
      <c r="AC1" s="876"/>
    </row>
    <row r="2" spans="1:29" s="295" customFormat="1" ht="18.600000000000001" customHeight="1">
      <c r="A2" s="832" t="s">
        <v>165</v>
      </c>
      <c r="B2" s="832" t="s">
        <v>713</v>
      </c>
      <c r="C2" s="877" t="s">
        <v>89</v>
      </c>
      <c r="D2" s="877"/>
      <c r="E2" s="877"/>
      <c r="F2" s="877" t="s">
        <v>90</v>
      </c>
      <c r="G2" s="877"/>
      <c r="H2" s="877"/>
      <c r="I2" s="877" t="s">
        <v>85</v>
      </c>
      <c r="J2" s="877"/>
      <c r="K2" s="877"/>
      <c r="L2" s="877" t="s">
        <v>86</v>
      </c>
      <c r="M2" s="877"/>
      <c r="N2" s="877"/>
      <c r="O2" s="877" t="s">
        <v>91</v>
      </c>
      <c r="P2" s="877"/>
      <c r="Q2" s="877"/>
      <c r="R2" s="877" t="s">
        <v>92</v>
      </c>
      <c r="S2" s="877"/>
      <c r="T2" s="877"/>
      <c r="U2" s="877" t="s">
        <v>93</v>
      </c>
      <c r="V2" s="877"/>
      <c r="W2" s="877"/>
      <c r="X2" s="877" t="s">
        <v>94</v>
      </c>
      <c r="Y2" s="877"/>
      <c r="Z2" s="877"/>
      <c r="AA2" s="877" t="s">
        <v>12</v>
      </c>
      <c r="AB2" s="877"/>
      <c r="AC2" s="877"/>
    </row>
    <row r="3" spans="1:29" ht="18.600000000000001" customHeight="1">
      <c r="A3" s="833"/>
      <c r="B3" s="833"/>
      <c r="C3" s="474" t="s">
        <v>87</v>
      </c>
      <c r="D3" s="474" t="s">
        <v>88</v>
      </c>
      <c r="E3" s="474" t="s">
        <v>12</v>
      </c>
      <c r="F3" s="474" t="s">
        <v>87</v>
      </c>
      <c r="G3" s="474" t="s">
        <v>88</v>
      </c>
      <c r="H3" s="474" t="s">
        <v>12</v>
      </c>
      <c r="I3" s="474" t="s">
        <v>87</v>
      </c>
      <c r="J3" s="474" t="s">
        <v>88</v>
      </c>
      <c r="K3" s="474" t="s">
        <v>12</v>
      </c>
      <c r="L3" s="474" t="s">
        <v>87</v>
      </c>
      <c r="M3" s="474" t="s">
        <v>88</v>
      </c>
      <c r="N3" s="474" t="s">
        <v>12</v>
      </c>
      <c r="O3" s="474" t="s">
        <v>87</v>
      </c>
      <c r="P3" s="474" t="s">
        <v>88</v>
      </c>
      <c r="Q3" s="474" t="s">
        <v>12</v>
      </c>
      <c r="R3" s="474" t="s">
        <v>87</v>
      </c>
      <c r="S3" s="474" t="s">
        <v>88</v>
      </c>
      <c r="T3" s="474" t="s">
        <v>12</v>
      </c>
      <c r="U3" s="474" t="s">
        <v>87</v>
      </c>
      <c r="V3" s="474" t="s">
        <v>88</v>
      </c>
      <c r="W3" s="474" t="s">
        <v>12</v>
      </c>
      <c r="X3" s="474" t="s">
        <v>87</v>
      </c>
      <c r="Y3" s="474" t="s">
        <v>88</v>
      </c>
      <c r="Z3" s="474" t="s">
        <v>12</v>
      </c>
      <c r="AA3" s="474" t="s">
        <v>87</v>
      </c>
      <c r="AB3" s="474" t="s">
        <v>88</v>
      </c>
      <c r="AC3" s="474" t="s">
        <v>12</v>
      </c>
    </row>
    <row r="4" spans="1:29" s="736" customFormat="1" ht="12.75">
      <c r="A4" s="735">
        <v>1</v>
      </c>
      <c r="B4" s="735">
        <v>2</v>
      </c>
      <c r="C4" s="735">
        <v>3</v>
      </c>
      <c r="D4" s="735">
        <v>4</v>
      </c>
      <c r="E4" s="735">
        <v>5</v>
      </c>
      <c r="F4" s="735">
        <v>6</v>
      </c>
      <c r="G4" s="735">
        <v>7</v>
      </c>
      <c r="H4" s="735">
        <v>8</v>
      </c>
      <c r="I4" s="735">
        <v>9</v>
      </c>
      <c r="J4" s="735">
        <v>10</v>
      </c>
      <c r="K4" s="735">
        <v>11</v>
      </c>
      <c r="L4" s="735">
        <v>12</v>
      </c>
      <c r="M4" s="735">
        <v>13</v>
      </c>
      <c r="N4" s="735">
        <v>14</v>
      </c>
      <c r="O4" s="735">
        <v>15</v>
      </c>
      <c r="P4" s="735">
        <v>16</v>
      </c>
      <c r="Q4" s="735">
        <v>17</v>
      </c>
      <c r="R4" s="735">
        <v>18</v>
      </c>
      <c r="S4" s="735">
        <v>19</v>
      </c>
      <c r="T4" s="735">
        <v>20</v>
      </c>
      <c r="U4" s="735">
        <v>21</v>
      </c>
      <c r="V4" s="735">
        <v>22</v>
      </c>
      <c r="W4" s="735">
        <v>23</v>
      </c>
      <c r="X4" s="735">
        <v>24</v>
      </c>
      <c r="Y4" s="735">
        <v>25</v>
      </c>
      <c r="Z4" s="735">
        <v>26</v>
      </c>
      <c r="AA4" s="735">
        <v>27</v>
      </c>
      <c r="AB4" s="735">
        <v>28</v>
      </c>
      <c r="AC4" s="735">
        <v>29</v>
      </c>
    </row>
    <row r="5" spans="1:29" ht="24" customHeight="1">
      <c r="A5" s="294">
        <v>1</v>
      </c>
      <c r="B5" s="289" t="s">
        <v>15</v>
      </c>
      <c r="C5" s="290">
        <v>95</v>
      </c>
      <c r="D5" s="290">
        <v>16</v>
      </c>
      <c r="E5" s="290">
        <v>111</v>
      </c>
      <c r="F5" s="290">
        <v>0</v>
      </c>
      <c r="G5" s="290">
        <v>0</v>
      </c>
      <c r="H5" s="290">
        <v>0</v>
      </c>
      <c r="I5" s="290">
        <v>207</v>
      </c>
      <c r="J5" s="290">
        <v>127</v>
      </c>
      <c r="K5" s="290">
        <v>334</v>
      </c>
      <c r="L5" s="290">
        <v>1266</v>
      </c>
      <c r="M5" s="290">
        <v>375</v>
      </c>
      <c r="N5" s="290">
        <v>1641</v>
      </c>
      <c r="O5" s="290">
        <v>0</v>
      </c>
      <c r="P5" s="290">
        <v>0</v>
      </c>
      <c r="Q5" s="290">
        <v>0</v>
      </c>
      <c r="R5" s="290">
        <v>1</v>
      </c>
      <c r="S5" s="290">
        <v>2</v>
      </c>
      <c r="T5" s="290">
        <v>3</v>
      </c>
      <c r="U5" s="290">
        <v>0</v>
      </c>
      <c r="V5" s="290">
        <v>0</v>
      </c>
      <c r="W5" s="290">
        <v>0</v>
      </c>
      <c r="X5" s="290">
        <v>2</v>
      </c>
      <c r="Y5" s="290">
        <v>3</v>
      </c>
      <c r="Z5" s="290">
        <v>5</v>
      </c>
      <c r="AA5" s="290">
        <v>1571</v>
      </c>
      <c r="AB5" s="290">
        <v>523</v>
      </c>
      <c r="AC5" s="646">
        <v>2094</v>
      </c>
    </row>
    <row r="6" spans="1:29" ht="24" customHeight="1">
      <c r="A6" s="294">
        <v>2</v>
      </c>
      <c r="B6" s="289" t="s">
        <v>16</v>
      </c>
      <c r="C6" s="290">
        <v>0</v>
      </c>
      <c r="D6" s="290">
        <v>0</v>
      </c>
      <c r="E6" s="290">
        <v>0</v>
      </c>
      <c r="F6" s="290">
        <v>0</v>
      </c>
      <c r="G6" s="290">
        <v>0</v>
      </c>
      <c r="H6" s="290">
        <v>0</v>
      </c>
      <c r="I6" s="290">
        <v>3</v>
      </c>
      <c r="J6" s="290">
        <v>0</v>
      </c>
      <c r="K6" s="290">
        <v>3</v>
      </c>
      <c r="L6" s="290">
        <v>2</v>
      </c>
      <c r="M6" s="290">
        <v>0</v>
      </c>
      <c r="N6" s="290">
        <v>2</v>
      </c>
      <c r="O6" s="290">
        <v>0</v>
      </c>
      <c r="P6" s="290">
        <v>0</v>
      </c>
      <c r="Q6" s="290">
        <v>0</v>
      </c>
      <c r="R6" s="290">
        <v>0</v>
      </c>
      <c r="S6" s="290">
        <v>0</v>
      </c>
      <c r="T6" s="290">
        <v>0</v>
      </c>
      <c r="U6" s="290">
        <v>0</v>
      </c>
      <c r="V6" s="290">
        <v>0</v>
      </c>
      <c r="W6" s="290">
        <v>0</v>
      </c>
      <c r="X6" s="290">
        <v>0</v>
      </c>
      <c r="Y6" s="290">
        <v>0</v>
      </c>
      <c r="Z6" s="290">
        <v>0</v>
      </c>
      <c r="AA6" s="290">
        <v>5</v>
      </c>
      <c r="AB6" s="290">
        <v>0</v>
      </c>
      <c r="AC6" s="646">
        <v>5</v>
      </c>
    </row>
    <row r="7" spans="1:29" ht="24" customHeight="1">
      <c r="A7" s="294">
        <v>3</v>
      </c>
      <c r="B7" s="289" t="s">
        <v>17</v>
      </c>
      <c r="C7" s="290">
        <v>48</v>
      </c>
      <c r="D7" s="290">
        <v>5</v>
      </c>
      <c r="E7" s="290">
        <v>53</v>
      </c>
      <c r="F7" s="290">
        <v>0</v>
      </c>
      <c r="G7" s="290">
        <v>0</v>
      </c>
      <c r="H7" s="290">
        <v>0</v>
      </c>
      <c r="I7" s="290">
        <v>29</v>
      </c>
      <c r="J7" s="290">
        <v>22</v>
      </c>
      <c r="K7" s="290">
        <v>51</v>
      </c>
      <c r="L7" s="290">
        <v>55</v>
      </c>
      <c r="M7" s="290">
        <v>22</v>
      </c>
      <c r="N7" s="290">
        <v>77</v>
      </c>
      <c r="O7" s="290">
        <v>0</v>
      </c>
      <c r="P7" s="290">
        <v>0</v>
      </c>
      <c r="Q7" s="290">
        <v>0</v>
      </c>
      <c r="R7" s="290">
        <v>0</v>
      </c>
      <c r="S7" s="290">
        <v>0</v>
      </c>
      <c r="T7" s="290">
        <v>0</v>
      </c>
      <c r="U7" s="290">
        <v>0</v>
      </c>
      <c r="V7" s="290">
        <v>0</v>
      </c>
      <c r="W7" s="290">
        <v>0</v>
      </c>
      <c r="X7" s="290">
        <v>1</v>
      </c>
      <c r="Y7" s="290">
        <v>1</v>
      </c>
      <c r="Z7" s="290">
        <v>2</v>
      </c>
      <c r="AA7" s="290">
        <v>133</v>
      </c>
      <c r="AB7" s="290">
        <v>50</v>
      </c>
      <c r="AC7" s="646">
        <v>183</v>
      </c>
    </row>
    <row r="8" spans="1:29" ht="24" customHeight="1">
      <c r="A8" s="294">
        <v>4</v>
      </c>
      <c r="B8" s="289" t="s">
        <v>18</v>
      </c>
      <c r="C8" s="290">
        <v>14</v>
      </c>
      <c r="D8" s="290">
        <v>0</v>
      </c>
      <c r="E8" s="290">
        <v>14</v>
      </c>
      <c r="F8" s="290">
        <v>0</v>
      </c>
      <c r="G8" s="290">
        <v>0</v>
      </c>
      <c r="H8" s="290">
        <v>0</v>
      </c>
      <c r="I8" s="290">
        <v>44</v>
      </c>
      <c r="J8" s="290">
        <v>17</v>
      </c>
      <c r="K8" s="290">
        <v>61</v>
      </c>
      <c r="L8" s="290">
        <v>74</v>
      </c>
      <c r="M8" s="290">
        <v>6</v>
      </c>
      <c r="N8" s="290">
        <v>80</v>
      </c>
      <c r="O8" s="290">
        <v>0</v>
      </c>
      <c r="P8" s="290">
        <v>0</v>
      </c>
      <c r="Q8" s="290">
        <v>0</v>
      </c>
      <c r="R8" s="290">
        <v>38</v>
      </c>
      <c r="S8" s="290">
        <v>4</v>
      </c>
      <c r="T8" s="290">
        <v>42</v>
      </c>
      <c r="U8" s="290">
        <v>2</v>
      </c>
      <c r="V8" s="290">
        <v>0</v>
      </c>
      <c r="W8" s="290">
        <v>2</v>
      </c>
      <c r="X8" s="290">
        <v>0</v>
      </c>
      <c r="Y8" s="290">
        <v>0</v>
      </c>
      <c r="Z8" s="290">
        <v>0</v>
      </c>
      <c r="AA8" s="290">
        <v>172</v>
      </c>
      <c r="AB8" s="290">
        <v>27</v>
      </c>
      <c r="AC8" s="646">
        <v>199</v>
      </c>
    </row>
    <row r="9" spans="1:29" ht="24" customHeight="1">
      <c r="A9" s="294">
        <v>5</v>
      </c>
      <c r="B9" s="289" t="s">
        <v>19</v>
      </c>
      <c r="C9" s="290">
        <v>26</v>
      </c>
      <c r="D9" s="290">
        <v>11</v>
      </c>
      <c r="E9" s="290">
        <v>37</v>
      </c>
      <c r="F9" s="290">
        <v>0</v>
      </c>
      <c r="G9" s="290">
        <v>0</v>
      </c>
      <c r="H9" s="290">
        <v>0</v>
      </c>
      <c r="I9" s="290">
        <v>52</v>
      </c>
      <c r="J9" s="290">
        <v>18</v>
      </c>
      <c r="K9" s="290">
        <v>70</v>
      </c>
      <c r="L9" s="290">
        <v>151</v>
      </c>
      <c r="M9" s="290">
        <v>33</v>
      </c>
      <c r="N9" s="290">
        <v>184</v>
      </c>
      <c r="O9" s="290">
        <v>1</v>
      </c>
      <c r="P9" s="290">
        <v>1</v>
      </c>
      <c r="Q9" s="290">
        <v>2</v>
      </c>
      <c r="R9" s="290">
        <v>0</v>
      </c>
      <c r="S9" s="290">
        <v>0</v>
      </c>
      <c r="T9" s="290">
        <v>0</v>
      </c>
      <c r="U9" s="290">
        <v>0</v>
      </c>
      <c r="V9" s="290">
        <v>0</v>
      </c>
      <c r="W9" s="290">
        <v>0</v>
      </c>
      <c r="X9" s="290">
        <v>0</v>
      </c>
      <c r="Y9" s="290">
        <v>0</v>
      </c>
      <c r="Z9" s="290">
        <v>0</v>
      </c>
      <c r="AA9" s="290">
        <v>230</v>
      </c>
      <c r="AB9" s="290">
        <v>63</v>
      </c>
      <c r="AC9" s="646">
        <v>293</v>
      </c>
    </row>
    <row r="10" spans="1:29" ht="24" customHeight="1">
      <c r="A10" s="294">
        <v>6</v>
      </c>
      <c r="B10" s="289" t="s">
        <v>20</v>
      </c>
      <c r="C10" s="290">
        <v>1</v>
      </c>
      <c r="D10" s="290">
        <v>0</v>
      </c>
      <c r="E10" s="290">
        <v>1</v>
      </c>
      <c r="F10" s="290">
        <v>0</v>
      </c>
      <c r="G10" s="290">
        <v>0</v>
      </c>
      <c r="H10" s="290">
        <v>0</v>
      </c>
      <c r="I10" s="290">
        <v>5</v>
      </c>
      <c r="J10" s="290">
        <v>4</v>
      </c>
      <c r="K10" s="290">
        <v>9</v>
      </c>
      <c r="L10" s="290">
        <v>73</v>
      </c>
      <c r="M10" s="290">
        <v>25</v>
      </c>
      <c r="N10" s="290">
        <v>98</v>
      </c>
      <c r="O10" s="290">
        <v>0</v>
      </c>
      <c r="P10" s="290">
        <v>0</v>
      </c>
      <c r="Q10" s="290">
        <v>0</v>
      </c>
      <c r="R10" s="290">
        <v>0</v>
      </c>
      <c r="S10" s="290">
        <v>0</v>
      </c>
      <c r="T10" s="290">
        <v>0</v>
      </c>
      <c r="U10" s="290">
        <v>0</v>
      </c>
      <c r="V10" s="290">
        <v>0</v>
      </c>
      <c r="W10" s="290">
        <v>0</v>
      </c>
      <c r="X10" s="290">
        <v>0</v>
      </c>
      <c r="Y10" s="290">
        <v>0</v>
      </c>
      <c r="Z10" s="290">
        <v>0</v>
      </c>
      <c r="AA10" s="290">
        <v>79</v>
      </c>
      <c r="AB10" s="290">
        <v>29</v>
      </c>
      <c r="AC10" s="646">
        <v>108</v>
      </c>
    </row>
    <row r="11" spans="1:29" ht="24" customHeight="1">
      <c r="A11" s="294">
        <v>7</v>
      </c>
      <c r="B11" s="289" t="s">
        <v>23</v>
      </c>
      <c r="C11" s="290">
        <v>122</v>
      </c>
      <c r="D11" s="290">
        <v>55</v>
      </c>
      <c r="E11" s="290">
        <v>177</v>
      </c>
      <c r="F11" s="290">
        <v>5</v>
      </c>
      <c r="G11" s="290">
        <v>7</v>
      </c>
      <c r="H11" s="290">
        <v>12</v>
      </c>
      <c r="I11" s="290">
        <v>338</v>
      </c>
      <c r="J11" s="290">
        <v>184</v>
      </c>
      <c r="K11" s="290">
        <v>522</v>
      </c>
      <c r="L11" s="290">
        <v>867</v>
      </c>
      <c r="M11" s="290">
        <v>620</v>
      </c>
      <c r="N11" s="290">
        <v>1487</v>
      </c>
      <c r="O11" s="290">
        <v>12</v>
      </c>
      <c r="P11" s="290">
        <v>7</v>
      </c>
      <c r="Q11" s="290">
        <v>19</v>
      </c>
      <c r="R11" s="290">
        <v>5</v>
      </c>
      <c r="S11" s="290">
        <v>11</v>
      </c>
      <c r="T11" s="290">
        <v>16</v>
      </c>
      <c r="U11" s="290">
        <v>2</v>
      </c>
      <c r="V11" s="290">
        <v>6</v>
      </c>
      <c r="W11" s="290">
        <v>8</v>
      </c>
      <c r="X11" s="290">
        <v>61</v>
      </c>
      <c r="Y11" s="290">
        <v>43</v>
      </c>
      <c r="Z11" s="290">
        <v>104</v>
      </c>
      <c r="AA11" s="290">
        <v>1412</v>
      </c>
      <c r="AB11" s="290">
        <v>933</v>
      </c>
      <c r="AC11" s="646">
        <v>2345</v>
      </c>
    </row>
    <row r="12" spans="1:29" ht="24" customHeight="1">
      <c r="A12" s="294">
        <v>8</v>
      </c>
      <c r="B12" s="289" t="s">
        <v>24</v>
      </c>
      <c r="C12" s="290">
        <v>3</v>
      </c>
      <c r="D12" s="290">
        <v>1</v>
      </c>
      <c r="E12" s="290">
        <v>4</v>
      </c>
      <c r="F12" s="290">
        <v>1</v>
      </c>
      <c r="G12" s="290">
        <v>0</v>
      </c>
      <c r="H12" s="290">
        <v>1</v>
      </c>
      <c r="I12" s="290">
        <v>24</v>
      </c>
      <c r="J12" s="290">
        <v>13</v>
      </c>
      <c r="K12" s="290">
        <v>37</v>
      </c>
      <c r="L12" s="290">
        <v>223</v>
      </c>
      <c r="M12" s="290">
        <v>54</v>
      </c>
      <c r="N12" s="290">
        <v>277</v>
      </c>
      <c r="O12" s="290">
        <v>1</v>
      </c>
      <c r="P12" s="290">
        <v>0</v>
      </c>
      <c r="Q12" s="290">
        <v>1</v>
      </c>
      <c r="R12" s="290">
        <v>0</v>
      </c>
      <c r="S12" s="290">
        <v>0</v>
      </c>
      <c r="T12" s="290">
        <v>0</v>
      </c>
      <c r="U12" s="290">
        <v>5</v>
      </c>
      <c r="V12" s="290">
        <v>0</v>
      </c>
      <c r="W12" s="290">
        <v>5</v>
      </c>
      <c r="X12" s="290">
        <v>4</v>
      </c>
      <c r="Y12" s="290">
        <v>3</v>
      </c>
      <c r="Z12" s="290">
        <v>7</v>
      </c>
      <c r="AA12" s="290">
        <v>261</v>
      </c>
      <c r="AB12" s="290">
        <v>71</v>
      </c>
      <c r="AC12" s="646">
        <v>332</v>
      </c>
    </row>
    <row r="13" spans="1:29" ht="24" customHeight="1">
      <c r="A13" s="294">
        <v>9</v>
      </c>
      <c r="B13" s="289" t="s">
        <v>25</v>
      </c>
      <c r="C13" s="290">
        <v>27</v>
      </c>
      <c r="D13" s="290">
        <v>7</v>
      </c>
      <c r="E13" s="290">
        <v>34</v>
      </c>
      <c r="F13" s="290">
        <v>1</v>
      </c>
      <c r="G13" s="290">
        <v>0</v>
      </c>
      <c r="H13" s="290">
        <v>1</v>
      </c>
      <c r="I13" s="290">
        <v>185</v>
      </c>
      <c r="J13" s="290">
        <v>74</v>
      </c>
      <c r="K13" s="290">
        <v>259</v>
      </c>
      <c r="L13" s="290">
        <v>1322</v>
      </c>
      <c r="M13" s="290">
        <v>515</v>
      </c>
      <c r="N13" s="290">
        <v>1837</v>
      </c>
      <c r="O13" s="290">
        <v>3</v>
      </c>
      <c r="P13" s="290">
        <v>5</v>
      </c>
      <c r="Q13" s="290">
        <v>8</v>
      </c>
      <c r="R13" s="290">
        <v>56</v>
      </c>
      <c r="S13" s="290">
        <v>25</v>
      </c>
      <c r="T13" s="290">
        <v>81</v>
      </c>
      <c r="U13" s="290">
        <v>0</v>
      </c>
      <c r="V13" s="290">
        <v>0</v>
      </c>
      <c r="W13" s="290">
        <v>0</v>
      </c>
      <c r="X13" s="290">
        <v>2</v>
      </c>
      <c r="Y13" s="290">
        <v>5</v>
      </c>
      <c r="Z13" s="290">
        <v>7</v>
      </c>
      <c r="AA13" s="290">
        <v>1596</v>
      </c>
      <c r="AB13" s="290">
        <v>631</v>
      </c>
      <c r="AC13" s="646">
        <v>2227</v>
      </c>
    </row>
    <row r="14" spans="1:29" ht="24" customHeight="1">
      <c r="A14" s="294">
        <v>10</v>
      </c>
      <c r="B14" s="289" t="s">
        <v>26</v>
      </c>
      <c r="C14" s="290">
        <v>39</v>
      </c>
      <c r="D14" s="290">
        <v>13</v>
      </c>
      <c r="E14" s="290">
        <v>52</v>
      </c>
      <c r="F14" s="290">
        <v>0</v>
      </c>
      <c r="G14" s="290">
        <v>0</v>
      </c>
      <c r="H14" s="290">
        <v>0</v>
      </c>
      <c r="I14" s="290">
        <v>214</v>
      </c>
      <c r="J14" s="290">
        <v>58</v>
      </c>
      <c r="K14" s="290">
        <v>272</v>
      </c>
      <c r="L14" s="290">
        <v>1051</v>
      </c>
      <c r="M14" s="290">
        <v>423</v>
      </c>
      <c r="N14" s="290">
        <v>1474</v>
      </c>
      <c r="O14" s="290">
        <v>0</v>
      </c>
      <c r="P14" s="290">
        <v>0</v>
      </c>
      <c r="Q14" s="290">
        <v>0</v>
      </c>
      <c r="R14" s="290">
        <v>462</v>
      </c>
      <c r="S14" s="290">
        <v>50</v>
      </c>
      <c r="T14" s="290">
        <v>512</v>
      </c>
      <c r="U14" s="290">
        <v>0</v>
      </c>
      <c r="V14" s="290">
        <v>0</v>
      </c>
      <c r="W14" s="290">
        <v>0</v>
      </c>
      <c r="X14" s="290">
        <v>8</v>
      </c>
      <c r="Y14" s="290">
        <v>3</v>
      </c>
      <c r="Z14" s="290">
        <v>11</v>
      </c>
      <c r="AA14" s="290">
        <v>1774</v>
      </c>
      <c r="AB14" s="290">
        <v>547</v>
      </c>
      <c r="AC14" s="646">
        <v>2321</v>
      </c>
    </row>
    <row r="15" spans="1:29" ht="24" customHeight="1">
      <c r="A15" s="294">
        <v>11</v>
      </c>
      <c r="B15" s="289" t="s">
        <v>27</v>
      </c>
      <c r="C15" s="290">
        <v>27</v>
      </c>
      <c r="D15" s="290">
        <v>4</v>
      </c>
      <c r="E15" s="290">
        <v>31</v>
      </c>
      <c r="F15" s="290">
        <v>0</v>
      </c>
      <c r="G15" s="290">
        <v>0</v>
      </c>
      <c r="H15" s="290">
        <v>0</v>
      </c>
      <c r="I15" s="290">
        <v>154</v>
      </c>
      <c r="J15" s="290">
        <v>45</v>
      </c>
      <c r="K15" s="290">
        <v>199</v>
      </c>
      <c r="L15" s="290">
        <v>493</v>
      </c>
      <c r="M15" s="290">
        <v>130</v>
      </c>
      <c r="N15" s="290">
        <v>623</v>
      </c>
      <c r="O15" s="290">
        <v>0</v>
      </c>
      <c r="P15" s="290">
        <v>0</v>
      </c>
      <c r="Q15" s="290">
        <v>0</v>
      </c>
      <c r="R15" s="290">
        <v>1</v>
      </c>
      <c r="S15" s="290">
        <v>0</v>
      </c>
      <c r="T15" s="290">
        <v>1</v>
      </c>
      <c r="U15" s="290">
        <v>0</v>
      </c>
      <c r="V15" s="290">
        <v>0</v>
      </c>
      <c r="W15" s="290">
        <v>0</v>
      </c>
      <c r="X15" s="290">
        <v>22</v>
      </c>
      <c r="Y15" s="290">
        <v>10</v>
      </c>
      <c r="Z15" s="290">
        <v>32</v>
      </c>
      <c r="AA15" s="290">
        <v>697</v>
      </c>
      <c r="AB15" s="290">
        <v>189</v>
      </c>
      <c r="AC15" s="646">
        <v>886</v>
      </c>
    </row>
    <row r="16" spans="1:29" ht="24" customHeight="1">
      <c r="A16" s="294">
        <v>12</v>
      </c>
      <c r="B16" s="289" t="s">
        <v>57</v>
      </c>
      <c r="C16" s="290">
        <v>0</v>
      </c>
      <c r="D16" s="290">
        <v>0</v>
      </c>
      <c r="E16" s="290">
        <v>0</v>
      </c>
      <c r="F16" s="290">
        <v>0</v>
      </c>
      <c r="G16" s="290">
        <v>0</v>
      </c>
      <c r="H16" s="290">
        <v>0</v>
      </c>
      <c r="I16" s="290">
        <v>5</v>
      </c>
      <c r="J16" s="290">
        <v>2</v>
      </c>
      <c r="K16" s="290">
        <v>7</v>
      </c>
      <c r="L16" s="290">
        <v>8</v>
      </c>
      <c r="M16" s="290">
        <v>1</v>
      </c>
      <c r="N16" s="290">
        <v>9</v>
      </c>
      <c r="O16" s="290">
        <v>0</v>
      </c>
      <c r="P16" s="290">
        <v>0</v>
      </c>
      <c r="Q16" s="290">
        <v>0</v>
      </c>
      <c r="R16" s="290">
        <v>0</v>
      </c>
      <c r="S16" s="290">
        <v>0</v>
      </c>
      <c r="T16" s="290">
        <v>0</v>
      </c>
      <c r="U16" s="290">
        <v>0</v>
      </c>
      <c r="V16" s="290">
        <v>0</v>
      </c>
      <c r="W16" s="290">
        <v>0</v>
      </c>
      <c r="X16" s="290">
        <v>0</v>
      </c>
      <c r="Y16" s="290">
        <v>0</v>
      </c>
      <c r="Z16" s="290">
        <v>0</v>
      </c>
      <c r="AA16" s="290">
        <v>13</v>
      </c>
      <c r="AB16" s="290">
        <v>3</v>
      </c>
      <c r="AC16" s="646">
        <v>16</v>
      </c>
    </row>
    <row r="17" spans="1:29" ht="24" customHeight="1">
      <c r="A17" s="294">
        <v>13</v>
      </c>
      <c r="B17" s="289" t="s">
        <v>29</v>
      </c>
      <c r="C17" s="290">
        <v>5</v>
      </c>
      <c r="D17" s="290">
        <v>2</v>
      </c>
      <c r="E17" s="290">
        <v>7</v>
      </c>
      <c r="F17" s="290">
        <v>0</v>
      </c>
      <c r="G17" s="290">
        <v>0</v>
      </c>
      <c r="H17" s="290">
        <v>0</v>
      </c>
      <c r="I17" s="290">
        <v>9</v>
      </c>
      <c r="J17" s="290">
        <v>7</v>
      </c>
      <c r="K17" s="290">
        <v>16</v>
      </c>
      <c r="L17" s="290">
        <v>20</v>
      </c>
      <c r="M17" s="290">
        <v>4</v>
      </c>
      <c r="N17" s="290">
        <v>24</v>
      </c>
      <c r="O17" s="290">
        <v>0</v>
      </c>
      <c r="P17" s="290">
        <v>0</v>
      </c>
      <c r="Q17" s="290">
        <v>0</v>
      </c>
      <c r="R17" s="290">
        <v>0</v>
      </c>
      <c r="S17" s="290">
        <v>0</v>
      </c>
      <c r="T17" s="290">
        <v>0</v>
      </c>
      <c r="U17" s="290">
        <v>0</v>
      </c>
      <c r="V17" s="290">
        <v>0</v>
      </c>
      <c r="W17" s="290">
        <v>0</v>
      </c>
      <c r="X17" s="290">
        <v>0</v>
      </c>
      <c r="Y17" s="290">
        <v>0</v>
      </c>
      <c r="Z17" s="290">
        <v>0</v>
      </c>
      <c r="AA17" s="290">
        <v>34</v>
      </c>
      <c r="AB17" s="290">
        <v>13</v>
      </c>
      <c r="AC17" s="646">
        <v>47</v>
      </c>
    </row>
    <row r="18" spans="1:29" ht="24" customHeight="1">
      <c r="A18" s="294">
        <v>14</v>
      </c>
      <c r="B18" s="289" t="s">
        <v>30</v>
      </c>
      <c r="C18" s="290">
        <v>192</v>
      </c>
      <c r="D18" s="290">
        <v>57</v>
      </c>
      <c r="E18" s="290">
        <v>249</v>
      </c>
      <c r="F18" s="290">
        <v>3</v>
      </c>
      <c r="G18" s="290">
        <v>1</v>
      </c>
      <c r="H18" s="290">
        <v>4</v>
      </c>
      <c r="I18" s="290">
        <v>821</v>
      </c>
      <c r="J18" s="290">
        <v>637</v>
      </c>
      <c r="K18" s="290">
        <v>1458</v>
      </c>
      <c r="L18" s="290">
        <v>4634</v>
      </c>
      <c r="M18" s="290">
        <v>3640</v>
      </c>
      <c r="N18" s="290">
        <v>8274</v>
      </c>
      <c r="O18" s="290">
        <v>1</v>
      </c>
      <c r="P18" s="290">
        <v>2</v>
      </c>
      <c r="Q18" s="290">
        <v>3</v>
      </c>
      <c r="R18" s="290">
        <v>96</v>
      </c>
      <c r="S18" s="290">
        <v>92</v>
      </c>
      <c r="T18" s="290">
        <v>188</v>
      </c>
      <c r="U18" s="290">
        <v>0</v>
      </c>
      <c r="V18" s="290">
        <v>2</v>
      </c>
      <c r="W18" s="290">
        <v>2</v>
      </c>
      <c r="X18" s="290">
        <v>17</v>
      </c>
      <c r="Y18" s="290">
        <v>36</v>
      </c>
      <c r="Z18" s="290">
        <v>53</v>
      </c>
      <c r="AA18" s="290">
        <v>5764</v>
      </c>
      <c r="AB18" s="290">
        <v>4467</v>
      </c>
      <c r="AC18" s="646">
        <v>10231</v>
      </c>
    </row>
    <row r="19" spans="1:29" ht="24" customHeight="1">
      <c r="A19" s="294">
        <v>15</v>
      </c>
      <c r="B19" s="289" t="s">
        <v>31</v>
      </c>
      <c r="C19" s="290">
        <v>22</v>
      </c>
      <c r="D19" s="290">
        <v>8</v>
      </c>
      <c r="E19" s="290">
        <v>30</v>
      </c>
      <c r="F19" s="290">
        <v>0</v>
      </c>
      <c r="G19" s="290">
        <v>0</v>
      </c>
      <c r="H19" s="290">
        <v>0</v>
      </c>
      <c r="I19" s="290">
        <v>66</v>
      </c>
      <c r="J19" s="290">
        <v>27</v>
      </c>
      <c r="K19" s="290">
        <v>93</v>
      </c>
      <c r="L19" s="290">
        <v>113</v>
      </c>
      <c r="M19" s="290">
        <v>65</v>
      </c>
      <c r="N19" s="290">
        <v>178</v>
      </c>
      <c r="O19" s="290">
        <v>0</v>
      </c>
      <c r="P19" s="290">
        <v>0</v>
      </c>
      <c r="Q19" s="290">
        <v>0</v>
      </c>
      <c r="R19" s="290">
        <v>0</v>
      </c>
      <c r="S19" s="290">
        <v>0</v>
      </c>
      <c r="T19" s="290">
        <v>0</v>
      </c>
      <c r="U19" s="290">
        <v>0</v>
      </c>
      <c r="V19" s="290">
        <v>0</v>
      </c>
      <c r="W19" s="290">
        <v>0</v>
      </c>
      <c r="X19" s="290">
        <v>0</v>
      </c>
      <c r="Y19" s="290">
        <v>1</v>
      </c>
      <c r="Z19" s="290">
        <v>1</v>
      </c>
      <c r="AA19" s="290">
        <v>201</v>
      </c>
      <c r="AB19" s="290">
        <v>101</v>
      </c>
      <c r="AC19" s="646">
        <v>302</v>
      </c>
    </row>
    <row r="20" spans="1:29" ht="24" customHeight="1">
      <c r="A20" s="294">
        <v>16</v>
      </c>
      <c r="B20" s="289" t="s">
        <v>761</v>
      </c>
      <c r="C20" s="290">
        <v>0</v>
      </c>
      <c r="D20" s="290">
        <v>0</v>
      </c>
      <c r="E20" s="290">
        <v>0</v>
      </c>
      <c r="F20" s="290">
        <v>0</v>
      </c>
      <c r="G20" s="290">
        <v>0</v>
      </c>
      <c r="H20" s="290">
        <v>0</v>
      </c>
      <c r="I20" s="290">
        <v>0</v>
      </c>
      <c r="J20" s="290">
        <v>0</v>
      </c>
      <c r="K20" s="290">
        <v>0</v>
      </c>
      <c r="L20" s="290">
        <v>0</v>
      </c>
      <c r="M20" s="290">
        <v>6</v>
      </c>
      <c r="N20" s="290">
        <v>6</v>
      </c>
      <c r="O20" s="290">
        <v>0</v>
      </c>
      <c r="P20" s="290">
        <v>0</v>
      </c>
      <c r="Q20" s="290">
        <v>0</v>
      </c>
      <c r="R20" s="290">
        <v>0</v>
      </c>
      <c r="S20" s="290">
        <v>0</v>
      </c>
      <c r="T20" s="290">
        <v>0</v>
      </c>
      <c r="U20" s="290">
        <v>0</v>
      </c>
      <c r="V20" s="290">
        <v>0</v>
      </c>
      <c r="W20" s="290">
        <v>0</v>
      </c>
      <c r="X20" s="290">
        <v>0</v>
      </c>
      <c r="Y20" s="290">
        <v>0</v>
      </c>
      <c r="Z20" s="290">
        <v>0</v>
      </c>
      <c r="AA20" s="290">
        <v>0</v>
      </c>
      <c r="AB20" s="290">
        <v>6</v>
      </c>
      <c r="AC20" s="646">
        <v>6</v>
      </c>
    </row>
    <row r="21" spans="1:29" ht="24" customHeight="1">
      <c r="A21" s="294">
        <v>17</v>
      </c>
      <c r="B21" s="289" t="s">
        <v>33</v>
      </c>
      <c r="C21" s="290">
        <v>7</v>
      </c>
      <c r="D21" s="290">
        <v>4</v>
      </c>
      <c r="E21" s="290">
        <v>11</v>
      </c>
      <c r="F21" s="290">
        <v>0</v>
      </c>
      <c r="G21" s="290">
        <v>0</v>
      </c>
      <c r="H21" s="290">
        <v>0</v>
      </c>
      <c r="I21" s="290">
        <v>40</v>
      </c>
      <c r="J21" s="290">
        <v>9</v>
      </c>
      <c r="K21" s="290">
        <v>49</v>
      </c>
      <c r="L21" s="290">
        <v>370</v>
      </c>
      <c r="M21" s="290">
        <v>152</v>
      </c>
      <c r="N21" s="290">
        <v>522</v>
      </c>
      <c r="O21" s="290">
        <v>0</v>
      </c>
      <c r="P21" s="290">
        <v>0</v>
      </c>
      <c r="Q21" s="290">
        <v>0</v>
      </c>
      <c r="R21" s="290">
        <v>26</v>
      </c>
      <c r="S21" s="290">
        <v>2</v>
      </c>
      <c r="T21" s="290">
        <v>28</v>
      </c>
      <c r="U21" s="290">
        <v>0</v>
      </c>
      <c r="V21" s="290">
        <v>0</v>
      </c>
      <c r="W21" s="290">
        <v>0</v>
      </c>
      <c r="X21" s="290">
        <v>1</v>
      </c>
      <c r="Y21" s="290">
        <v>1</v>
      </c>
      <c r="Z21" s="290">
        <v>2</v>
      </c>
      <c r="AA21" s="290">
        <v>444</v>
      </c>
      <c r="AB21" s="290">
        <v>168</v>
      </c>
      <c r="AC21" s="646">
        <v>612</v>
      </c>
    </row>
    <row r="22" spans="1:29" ht="24" customHeight="1">
      <c r="A22" s="294">
        <v>18</v>
      </c>
      <c r="B22" s="289" t="s">
        <v>34</v>
      </c>
      <c r="C22" s="290">
        <v>87</v>
      </c>
      <c r="D22" s="290">
        <v>33</v>
      </c>
      <c r="E22" s="290">
        <v>120</v>
      </c>
      <c r="F22" s="290">
        <v>3</v>
      </c>
      <c r="G22" s="290">
        <v>4</v>
      </c>
      <c r="H22" s="290">
        <v>7</v>
      </c>
      <c r="I22" s="290">
        <v>678</v>
      </c>
      <c r="J22" s="290">
        <v>377</v>
      </c>
      <c r="K22" s="290">
        <v>1055</v>
      </c>
      <c r="L22" s="290">
        <v>2009</v>
      </c>
      <c r="M22" s="290">
        <v>1336</v>
      </c>
      <c r="N22" s="290">
        <v>3345</v>
      </c>
      <c r="O22" s="290">
        <v>1</v>
      </c>
      <c r="P22" s="290">
        <v>4</v>
      </c>
      <c r="Q22" s="290">
        <v>5</v>
      </c>
      <c r="R22" s="290">
        <v>16</v>
      </c>
      <c r="S22" s="290">
        <v>42</v>
      </c>
      <c r="T22" s="290">
        <v>58</v>
      </c>
      <c r="U22" s="290">
        <v>0</v>
      </c>
      <c r="V22" s="290">
        <v>1</v>
      </c>
      <c r="W22" s="290">
        <v>1</v>
      </c>
      <c r="X22" s="290">
        <v>2</v>
      </c>
      <c r="Y22" s="290">
        <v>6</v>
      </c>
      <c r="Z22" s="290">
        <v>8</v>
      </c>
      <c r="AA22" s="290">
        <v>2796</v>
      </c>
      <c r="AB22" s="290">
        <v>1803</v>
      </c>
      <c r="AC22" s="646">
        <v>4599</v>
      </c>
    </row>
    <row r="23" spans="1:29" ht="24" customHeight="1">
      <c r="A23" s="294">
        <v>19</v>
      </c>
      <c r="B23" s="289" t="s">
        <v>35</v>
      </c>
      <c r="C23" s="290">
        <v>7</v>
      </c>
      <c r="D23" s="290">
        <v>2</v>
      </c>
      <c r="E23" s="290">
        <v>9</v>
      </c>
      <c r="F23" s="290">
        <v>0</v>
      </c>
      <c r="G23" s="290">
        <v>0</v>
      </c>
      <c r="H23" s="290">
        <v>0</v>
      </c>
      <c r="I23" s="290">
        <v>13</v>
      </c>
      <c r="J23" s="290">
        <v>2</v>
      </c>
      <c r="K23" s="290">
        <v>15</v>
      </c>
      <c r="L23" s="290">
        <v>0</v>
      </c>
      <c r="M23" s="290">
        <v>0</v>
      </c>
      <c r="N23" s="290">
        <v>0</v>
      </c>
      <c r="O23" s="290">
        <v>0</v>
      </c>
      <c r="P23" s="290">
        <v>0</v>
      </c>
      <c r="Q23" s="290">
        <v>0</v>
      </c>
      <c r="R23" s="290">
        <v>0</v>
      </c>
      <c r="S23" s="290">
        <v>0</v>
      </c>
      <c r="T23" s="290">
        <v>0</v>
      </c>
      <c r="U23" s="290">
        <v>0</v>
      </c>
      <c r="V23" s="290">
        <v>0</v>
      </c>
      <c r="W23" s="290">
        <v>0</v>
      </c>
      <c r="X23" s="290">
        <v>0</v>
      </c>
      <c r="Y23" s="290">
        <v>0</v>
      </c>
      <c r="Z23" s="290">
        <v>0</v>
      </c>
      <c r="AA23" s="290">
        <v>20</v>
      </c>
      <c r="AB23" s="290">
        <v>4</v>
      </c>
      <c r="AC23" s="646">
        <v>24</v>
      </c>
    </row>
    <row r="24" spans="1:29" ht="24" customHeight="1">
      <c r="A24" s="294">
        <v>20</v>
      </c>
      <c r="B24" s="289" t="s">
        <v>36</v>
      </c>
      <c r="C24" s="290">
        <v>5</v>
      </c>
      <c r="D24" s="290">
        <v>2</v>
      </c>
      <c r="E24" s="290">
        <v>7</v>
      </c>
      <c r="F24" s="290">
        <v>0</v>
      </c>
      <c r="G24" s="290">
        <v>0</v>
      </c>
      <c r="H24" s="290">
        <v>0</v>
      </c>
      <c r="I24" s="290">
        <v>6</v>
      </c>
      <c r="J24" s="290">
        <v>4</v>
      </c>
      <c r="K24" s="290">
        <v>10</v>
      </c>
      <c r="L24" s="290">
        <v>60</v>
      </c>
      <c r="M24" s="290">
        <v>30</v>
      </c>
      <c r="N24" s="290">
        <v>90</v>
      </c>
      <c r="O24" s="290">
        <v>0</v>
      </c>
      <c r="P24" s="290">
        <v>0</v>
      </c>
      <c r="Q24" s="290">
        <v>0</v>
      </c>
      <c r="R24" s="290">
        <v>0</v>
      </c>
      <c r="S24" s="290">
        <v>0</v>
      </c>
      <c r="T24" s="290">
        <v>0</v>
      </c>
      <c r="U24" s="290">
        <v>0</v>
      </c>
      <c r="V24" s="290">
        <v>0</v>
      </c>
      <c r="W24" s="290">
        <v>0</v>
      </c>
      <c r="X24" s="290">
        <v>0</v>
      </c>
      <c r="Y24" s="290">
        <v>0</v>
      </c>
      <c r="Z24" s="290">
        <v>0</v>
      </c>
      <c r="AA24" s="290">
        <v>71</v>
      </c>
      <c r="AB24" s="290">
        <v>36</v>
      </c>
      <c r="AC24" s="646">
        <v>107</v>
      </c>
    </row>
    <row r="25" spans="1:29" ht="24" customHeight="1">
      <c r="A25" s="294">
        <v>21</v>
      </c>
      <c r="B25" s="289" t="s">
        <v>37</v>
      </c>
      <c r="C25" s="290">
        <v>1</v>
      </c>
      <c r="D25" s="290">
        <v>0</v>
      </c>
      <c r="E25" s="290">
        <v>1</v>
      </c>
      <c r="F25" s="290">
        <v>0</v>
      </c>
      <c r="G25" s="290">
        <v>0</v>
      </c>
      <c r="H25" s="290">
        <v>0</v>
      </c>
      <c r="I25" s="290">
        <v>0</v>
      </c>
      <c r="J25" s="290">
        <v>0</v>
      </c>
      <c r="K25" s="290">
        <v>0</v>
      </c>
      <c r="L25" s="290">
        <v>0</v>
      </c>
      <c r="M25" s="290">
        <v>0</v>
      </c>
      <c r="N25" s="290">
        <v>0</v>
      </c>
      <c r="O25" s="290">
        <v>0</v>
      </c>
      <c r="P25" s="290">
        <v>0</v>
      </c>
      <c r="Q25" s="290">
        <v>0</v>
      </c>
      <c r="R25" s="290">
        <v>0</v>
      </c>
      <c r="S25" s="290">
        <v>0</v>
      </c>
      <c r="T25" s="290">
        <v>0</v>
      </c>
      <c r="U25" s="290">
        <v>0</v>
      </c>
      <c r="V25" s="290">
        <v>0</v>
      </c>
      <c r="W25" s="290">
        <v>0</v>
      </c>
      <c r="X25" s="290">
        <v>0</v>
      </c>
      <c r="Y25" s="290">
        <v>0</v>
      </c>
      <c r="Z25" s="290">
        <v>0</v>
      </c>
      <c r="AA25" s="290">
        <v>1</v>
      </c>
      <c r="AB25" s="290">
        <v>0</v>
      </c>
      <c r="AC25" s="646">
        <v>1</v>
      </c>
    </row>
    <row r="26" spans="1:29" ht="24" customHeight="1">
      <c r="A26" s="294">
        <v>22</v>
      </c>
      <c r="B26" s="289" t="s">
        <v>38</v>
      </c>
      <c r="C26" s="290">
        <v>0</v>
      </c>
      <c r="D26" s="290">
        <v>0</v>
      </c>
      <c r="E26" s="290">
        <v>0</v>
      </c>
      <c r="F26" s="290">
        <v>0</v>
      </c>
      <c r="G26" s="290">
        <v>0</v>
      </c>
      <c r="H26" s="290">
        <v>0</v>
      </c>
      <c r="I26" s="290">
        <v>0</v>
      </c>
      <c r="J26" s="290">
        <v>0</v>
      </c>
      <c r="K26" s="290">
        <v>0</v>
      </c>
      <c r="L26" s="290">
        <v>2</v>
      </c>
      <c r="M26" s="290">
        <v>2</v>
      </c>
      <c r="N26" s="290">
        <v>4</v>
      </c>
      <c r="O26" s="290">
        <v>0</v>
      </c>
      <c r="P26" s="290">
        <v>0</v>
      </c>
      <c r="Q26" s="290">
        <v>0</v>
      </c>
      <c r="R26" s="290">
        <v>0</v>
      </c>
      <c r="S26" s="290">
        <v>0</v>
      </c>
      <c r="T26" s="290">
        <v>0</v>
      </c>
      <c r="U26" s="290">
        <v>0</v>
      </c>
      <c r="V26" s="290">
        <v>0</v>
      </c>
      <c r="W26" s="290">
        <v>0</v>
      </c>
      <c r="X26" s="290">
        <v>0</v>
      </c>
      <c r="Y26" s="290">
        <v>0</v>
      </c>
      <c r="Z26" s="290">
        <v>0</v>
      </c>
      <c r="AA26" s="290">
        <v>2</v>
      </c>
      <c r="AB26" s="290">
        <v>2</v>
      </c>
      <c r="AC26" s="646">
        <v>4</v>
      </c>
    </row>
    <row r="27" spans="1:29" ht="24" customHeight="1">
      <c r="A27" s="294">
        <v>23</v>
      </c>
      <c r="B27" s="289" t="s">
        <v>39</v>
      </c>
      <c r="C27" s="290">
        <v>34</v>
      </c>
      <c r="D27" s="290">
        <v>24</v>
      </c>
      <c r="E27" s="290">
        <v>58</v>
      </c>
      <c r="F27" s="290">
        <v>0</v>
      </c>
      <c r="G27" s="290">
        <v>0</v>
      </c>
      <c r="H27" s="290">
        <v>0</v>
      </c>
      <c r="I27" s="290">
        <v>112</v>
      </c>
      <c r="J27" s="290">
        <v>46</v>
      </c>
      <c r="K27" s="290">
        <v>158</v>
      </c>
      <c r="L27" s="290">
        <v>634</v>
      </c>
      <c r="M27" s="290">
        <v>309</v>
      </c>
      <c r="N27" s="290">
        <v>943</v>
      </c>
      <c r="O27" s="290">
        <v>0</v>
      </c>
      <c r="P27" s="290">
        <v>0</v>
      </c>
      <c r="Q27" s="290">
        <v>0</v>
      </c>
      <c r="R27" s="290">
        <v>0</v>
      </c>
      <c r="S27" s="290">
        <v>0</v>
      </c>
      <c r="T27" s="290">
        <v>0</v>
      </c>
      <c r="U27" s="290">
        <v>0</v>
      </c>
      <c r="V27" s="290">
        <v>0</v>
      </c>
      <c r="W27" s="290">
        <v>0</v>
      </c>
      <c r="X27" s="290">
        <v>0</v>
      </c>
      <c r="Y27" s="290">
        <v>0</v>
      </c>
      <c r="Z27" s="290">
        <v>0</v>
      </c>
      <c r="AA27" s="290">
        <v>780</v>
      </c>
      <c r="AB27" s="290">
        <v>379</v>
      </c>
      <c r="AC27" s="646">
        <v>1159</v>
      </c>
    </row>
    <row r="28" spans="1:29" ht="24" customHeight="1">
      <c r="A28" s="294">
        <v>24</v>
      </c>
      <c r="B28" s="289" t="s">
        <v>40</v>
      </c>
      <c r="C28" s="290">
        <v>0</v>
      </c>
      <c r="D28" s="290">
        <v>0</v>
      </c>
      <c r="E28" s="290">
        <v>0</v>
      </c>
      <c r="F28" s="290">
        <v>0</v>
      </c>
      <c r="G28" s="290">
        <v>0</v>
      </c>
      <c r="H28" s="290">
        <v>0</v>
      </c>
      <c r="I28" s="290">
        <v>7</v>
      </c>
      <c r="J28" s="290">
        <v>7</v>
      </c>
      <c r="K28" s="290">
        <v>14</v>
      </c>
      <c r="L28" s="290">
        <v>8</v>
      </c>
      <c r="M28" s="290">
        <v>8</v>
      </c>
      <c r="N28" s="290">
        <v>16</v>
      </c>
      <c r="O28" s="290">
        <v>0</v>
      </c>
      <c r="P28" s="290">
        <v>0</v>
      </c>
      <c r="Q28" s="290">
        <v>0</v>
      </c>
      <c r="R28" s="290">
        <v>0</v>
      </c>
      <c r="S28" s="290">
        <v>0</v>
      </c>
      <c r="T28" s="290">
        <v>0</v>
      </c>
      <c r="U28" s="290">
        <v>0</v>
      </c>
      <c r="V28" s="290">
        <v>2</v>
      </c>
      <c r="W28" s="290">
        <v>2</v>
      </c>
      <c r="X28" s="290">
        <v>0</v>
      </c>
      <c r="Y28" s="290">
        <v>0</v>
      </c>
      <c r="Z28" s="290">
        <v>0</v>
      </c>
      <c r="AA28" s="290">
        <v>15</v>
      </c>
      <c r="AB28" s="290">
        <v>17</v>
      </c>
      <c r="AC28" s="646">
        <v>32</v>
      </c>
    </row>
    <row r="29" spans="1:29" ht="24" customHeight="1">
      <c r="A29" s="294">
        <v>25</v>
      </c>
      <c r="B29" s="289" t="s">
        <v>41</v>
      </c>
      <c r="C29" s="290">
        <v>64</v>
      </c>
      <c r="D29" s="290">
        <v>5</v>
      </c>
      <c r="E29" s="290">
        <v>69</v>
      </c>
      <c r="F29" s="290">
        <v>0</v>
      </c>
      <c r="G29" s="290">
        <v>1</v>
      </c>
      <c r="H29" s="290">
        <v>1</v>
      </c>
      <c r="I29" s="290">
        <v>585</v>
      </c>
      <c r="J29" s="290">
        <v>165</v>
      </c>
      <c r="K29" s="290">
        <v>750</v>
      </c>
      <c r="L29" s="290">
        <v>2690</v>
      </c>
      <c r="M29" s="290">
        <v>1154</v>
      </c>
      <c r="N29" s="290">
        <v>3844</v>
      </c>
      <c r="O29" s="290">
        <v>0</v>
      </c>
      <c r="P29" s="290">
        <v>1</v>
      </c>
      <c r="Q29" s="290">
        <v>1</v>
      </c>
      <c r="R29" s="290">
        <v>179</v>
      </c>
      <c r="S29" s="290">
        <v>36</v>
      </c>
      <c r="T29" s="290">
        <v>215</v>
      </c>
      <c r="U29" s="290">
        <v>0</v>
      </c>
      <c r="V29" s="290">
        <v>0</v>
      </c>
      <c r="W29" s="290">
        <v>0</v>
      </c>
      <c r="X29" s="290">
        <v>39</v>
      </c>
      <c r="Y29" s="290">
        <v>47</v>
      </c>
      <c r="Z29" s="290">
        <v>86</v>
      </c>
      <c r="AA29" s="290">
        <v>3557</v>
      </c>
      <c r="AB29" s="290">
        <v>1409</v>
      </c>
      <c r="AC29" s="646">
        <v>4966</v>
      </c>
    </row>
    <row r="30" spans="1:29" ht="24" customHeight="1">
      <c r="A30" s="294">
        <v>26</v>
      </c>
      <c r="B30" s="289" t="s">
        <v>42</v>
      </c>
      <c r="C30" s="290">
        <v>25</v>
      </c>
      <c r="D30" s="290">
        <v>5</v>
      </c>
      <c r="E30" s="290">
        <v>30</v>
      </c>
      <c r="F30" s="290">
        <v>0</v>
      </c>
      <c r="G30" s="290">
        <v>0</v>
      </c>
      <c r="H30" s="290">
        <v>0</v>
      </c>
      <c r="I30" s="290">
        <v>128</v>
      </c>
      <c r="J30" s="290">
        <v>38</v>
      </c>
      <c r="K30" s="290">
        <v>166</v>
      </c>
      <c r="L30" s="290">
        <v>779</v>
      </c>
      <c r="M30" s="290">
        <v>213</v>
      </c>
      <c r="N30" s="290">
        <v>992</v>
      </c>
      <c r="O30" s="290">
        <v>0</v>
      </c>
      <c r="P30" s="290">
        <v>0</v>
      </c>
      <c r="Q30" s="290">
        <v>0</v>
      </c>
      <c r="R30" s="290">
        <v>181</v>
      </c>
      <c r="S30" s="290">
        <v>0</v>
      </c>
      <c r="T30" s="290">
        <v>181</v>
      </c>
      <c r="U30" s="290">
        <v>0</v>
      </c>
      <c r="V30" s="290">
        <v>0</v>
      </c>
      <c r="W30" s="290">
        <v>0</v>
      </c>
      <c r="X30" s="290">
        <v>5</v>
      </c>
      <c r="Y30" s="290">
        <v>8</v>
      </c>
      <c r="Z30" s="290">
        <v>13</v>
      </c>
      <c r="AA30" s="290">
        <v>1118</v>
      </c>
      <c r="AB30" s="290">
        <v>264</v>
      </c>
      <c r="AC30" s="646">
        <v>1382</v>
      </c>
    </row>
    <row r="31" spans="1:29" ht="24" customHeight="1">
      <c r="A31" s="294">
        <v>27</v>
      </c>
      <c r="B31" s="289" t="s">
        <v>43</v>
      </c>
      <c r="C31" s="290">
        <v>0</v>
      </c>
      <c r="D31" s="290">
        <v>0</v>
      </c>
      <c r="E31" s="290">
        <v>0</v>
      </c>
      <c r="F31" s="290">
        <v>0</v>
      </c>
      <c r="G31" s="290">
        <v>0</v>
      </c>
      <c r="H31" s="290">
        <v>0</v>
      </c>
      <c r="I31" s="290">
        <v>5</v>
      </c>
      <c r="J31" s="290">
        <v>15</v>
      </c>
      <c r="K31" s="290">
        <v>20</v>
      </c>
      <c r="L31" s="290">
        <v>120</v>
      </c>
      <c r="M31" s="290">
        <v>123</v>
      </c>
      <c r="N31" s="290">
        <v>243</v>
      </c>
      <c r="O31" s="290">
        <v>0</v>
      </c>
      <c r="P31" s="290">
        <v>0</v>
      </c>
      <c r="Q31" s="290">
        <v>0</v>
      </c>
      <c r="R31" s="290">
        <v>1</v>
      </c>
      <c r="S31" s="290">
        <v>3</v>
      </c>
      <c r="T31" s="290">
        <v>4</v>
      </c>
      <c r="U31" s="290">
        <v>0</v>
      </c>
      <c r="V31" s="290">
        <v>0</v>
      </c>
      <c r="W31" s="290">
        <v>0</v>
      </c>
      <c r="X31" s="290">
        <v>1</v>
      </c>
      <c r="Y31" s="290">
        <v>4</v>
      </c>
      <c r="Z31" s="290">
        <v>5</v>
      </c>
      <c r="AA31" s="290">
        <v>127</v>
      </c>
      <c r="AB31" s="290">
        <v>145</v>
      </c>
      <c r="AC31" s="646">
        <v>272</v>
      </c>
    </row>
    <row r="32" spans="1:29" ht="24" customHeight="1">
      <c r="A32" s="294">
        <v>28</v>
      </c>
      <c r="B32" s="289" t="s">
        <v>44</v>
      </c>
      <c r="C32" s="290">
        <v>41</v>
      </c>
      <c r="D32" s="290">
        <v>23</v>
      </c>
      <c r="E32" s="290">
        <v>64</v>
      </c>
      <c r="F32" s="290">
        <v>4</v>
      </c>
      <c r="G32" s="290">
        <v>2</v>
      </c>
      <c r="H32" s="290">
        <v>6</v>
      </c>
      <c r="I32" s="290">
        <v>463</v>
      </c>
      <c r="J32" s="290">
        <v>285</v>
      </c>
      <c r="K32" s="290">
        <v>748</v>
      </c>
      <c r="L32" s="290">
        <v>1873</v>
      </c>
      <c r="M32" s="290">
        <v>1256</v>
      </c>
      <c r="N32" s="290">
        <v>3129</v>
      </c>
      <c r="O32" s="290">
        <v>11</v>
      </c>
      <c r="P32" s="290">
        <v>3</v>
      </c>
      <c r="Q32" s="290">
        <v>14</v>
      </c>
      <c r="R32" s="290">
        <v>36</v>
      </c>
      <c r="S32" s="290">
        <v>29</v>
      </c>
      <c r="T32" s="290">
        <v>65</v>
      </c>
      <c r="U32" s="290">
        <v>55</v>
      </c>
      <c r="V32" s="290">
        <v>371</v>
      </c>
      <c r="W32" s="290">
        <v>426</v>
      </c>
      <c r="X32" s="290">
        <v>4</v>
      </c>
      <c r="Y32" s="290">
        <v>5</v>
      </c>
      <c r="Z32" s="290">
        <v>9</v>
      </c>
      <c r="AA32" s="290">
        <v>2487</v>
      </c>
      <c r="AB32" s="290">
        <v>1974</v>
      </c>
      <c r="AC32" s="646">
        <v>4461</v>
      </c>
    </row>
    <row r="33" spans="1:29" ht="24" customHeight="1">
      <c r="A33" s="294">
        <v>29</v>
      </c>
      <c r="B33" s="289" t="s">
        <v>134</v>
      </c>
      <c r="C33" s="290">
        <v>21</v>
      </c>
      <c r="D33" s="290">
        <v>11</v>
      </c>
      <c r="E33" s="290">
        <v>32</v>
      </c>
      <c r="F33" s="290">
        <v>0</v>
      </c>
      <c r="G33" s="290">
        <v>0</v>
      </c>
      <c r="H33" s="290">
        <v>0</v>
      </c>
      <c r="I33" s="290">
        <v>143</v>
      </c>
      <c r="J33" s="290">
        <v>80</v>
      </c>
      <c r="K33" s="290">
        <v>223</v>
      </c>
      <c r="L33" s="290">
        <v>1569</v>
      </c>
      <c r="M33" s="290">
        <v>339</v>
      </c>
      <c r="N33" s="290">
        <v>1908</v>
      </c>
      <c r="O33" s="290">
        <v>6</v>
      </c>
      <c r="P33" s="290">
        <v>4</v>
      </c>
      <c r="Q33" s="290">
        <v>10</v>
      </c>
      <c r="R33" s="290">
        <v>15</v>
      </c>
      <c r="S33" s="290">
        <v>1</v>
      </c>
      <c r="T33" s="290">
        <v>16</v>
      </c>
      <c r="U33" s="290">
        <v>0</v>
      </c>
      <c r="V33" s="290">
        <v>0</v>
      </c>
      <c r="W33" s="290">
        <v>0</v>
      </c>
      <c r="X33" s="290">
        <v>30</v>
      </c>
      <c r="Y33" s="290">
        <v>42</v>
      </c>
      <c r="Z33" s="290">
        <v>72</v>
      </c>
      <c r="AA33" s="290">
        <v>1784</v>
      </c>
      <c r="AB33" s="290">
        <v>477</v>
      </c>
      <c r="AC33" s="646">
        <v>2261</v>
      </c>
    </row>
    <row r="34" spans="1:29" ht="24" customHeight="1">
      <c r="A34" s="294">
        <v>30</v>
      </c>
      <c r="B34" s="289" t="s">
        <v>45</v>
      </c>
      <c r="C34" s="290">
        <v>0</v>
      </c>
      <c r="D34" s="290">
        <v>0</v>
      </c>
      <c r="E34" s="290">
        <v>0</v>
      </c>
      <c r="F34" s="290">
        <v>0</v>
      </c>
      <c r="G34" s="290">
        <v>0</v>
      </c>
      <c r="H34" s="290">
        <v>0</v>
      </c>
      <c r="I34" s="290">
        <v>0</v>
      </c>
      <c r="J34" s="290">
        <v>8</v>
      </c>
      <c r="K34" s="290">
        <v>8</v>
      </c>
      <c r="L34" s="290">
        <v>6</v>
      </c>
      <c r="M34" s="290">
        <v>3</v>
      </c>
      <c r="N34" s="290">
        <v>9</v>
      </c>
      <c r="O34" s="290">
        <v>0</v>
      </c>
      <c r="P34" s="290">
        <v>0</v>
      </c>
      <c r="Q34" s="290">
        <v>0</v>
      </c>
      <c r="R34" s="290">
        <v>0</v>
      </c>
      <c r="S34" s="290">
        <v>1</v>
      </c>
      <c r="T34" s="290">
        <v>1</v>
      </c>
      <c r="U34" s="290">
        <v>0</v>
      </c>
      <c r="V34" s="290">
        <v>0</v>
      </c>
      <c r="W34" s="290">
        <v>0</v>
      </c>
      <c r="X34" s="290">
        <v>1</v>
      </c>
      <c r="Y34" s="290">
        <v>0</v>
      </c>
      <c r="Z34" s="290">
        <v>1</v>
      </c>
      <c r="AA34" s="290">
        <v>7</v>
      </c>
      <c r="AB34" s="290">
        <v>12</v>
      </c>
      <c r="AC34" s="646">
        <v>19</v>
      </c>
    </row>
    <row r="35" spans="1:29" ht="24" customHeight="1">
      <c r="A35" s="294">
        <v>31</v>
      </c>
      <c r="B35" s="289" t="s">
        <v>47</v>
      </c>
      <c r="C35" s="290">
        <v>333</v>
      </c>
      <c r="D35" s="290">
        <v>63</v>
      </c>
      <c r="E35" s="290">
        <v>396</v>
      </c>
      <c r="F35" s="290">
        <v>11</v>
      </c>
      <c r="G35" s="290">
        <v>0</v>
      </c>
      <c r="H35" s="290">
        <v>11</v>
      </c>
      <c r="I35" s="290">
        <v>896</v>
      </c>
      <c r="J35" s="290">
        <v>234</v>
      </c>
      <c r="K35" s="290">
        <v>1130</v>
      </c>
      <c r="L35" s="290">
        <v>2266</v>
      </c>
      <c r="M35" s="290">
        <v>940</v>
      </c>
      <c r="N35" s="290">
        <v>3206</v>
      </c>
      <c r="O35" s="290">
        <v>1</v>
      </c>
      <c r="P35" s="290">
        <v>6</v>
      </c>
      <c r="Q35" s="290">
        <v>7</v>
      </c>
      <c r="R35" s="290">
        <v>160</v>
      </c>
      <c r="S35" s="290">
        <v>67</v>
      </c>
      <c r="T35" s="290">
        <v>227</v>
      </c>
      <c r="U35" s="290">
        <v>16</v>
      </c>
      <c r="V35" s="290">
        <v>1</v>
      </c>
      <c r="W35" s="290">
        <v>17</v>
      </c>
      <c r="X35" s="290">
        <v>49</v>
      </c>
      <c r="Y35" s="290">
        <v>46</v>
      </c>
      <c r="Z35" s="290">
        <v>95</v>
      </c>
      <c r="AA35" s="290">
        <v>3732</v>
      </c>
      <c r="AB35" s="290">
        <v>1357</v>
      </c>
      <c r="AC35" s="646">
        <v>5089</v>
      </c>
    </row>
    <row r="36" spans="1:29" ht="24" customHeight="1">
      <c r="A36" s="294">
        <v>32</v>
      </c>
      <c r="B36" s="289" t="s">
        <v>46</v>
      </c>
      <c r="C36" s="290">
        <v>14</v>
      </c>
      <c r="D36" s="290">
        <v>0</v>
      </c>
      <c r="E36" s="290">
        <v>14</v>
      </c>
      <c r="F36" s="290">
        <v>0</v>
      </c>
      <c r="G36" s="290">
        <v>0</v>
      </c>
      <c r="H36" s="290">
        <v>0</v>
      </c>
      <c r="I36" s="290">
        <v>177</v>
      </c>
      <c r="J36" s="290">
        <v>41</v>
      </c>
      <c r="K36" s="290">
        <v>218</v>
      </c>
      <c r="L36" s="290">
        <v>962</v>
      </c>
      <c r="M36" s="290">
        <v>263</v>
      </c>
      <c r="N36" s="290">
        <v>1225</v>
      </c>
      <c r="O36" s="290">
        <v>0</v>
      </c>
      <c r="P36" s="290">
        <v>0</v>
      </c>
      <c r="Q36" s="290">
        <v>0</v>
      </c>
      <c r="R36" s="290">
        <v>94</v>
      </c>
      <c r="S36" s="290">
        <v>2</v>
      </c>
      <c r="T36" s="290">
        <v>96</v>
      </c>
      <c r="U36" s="290">
        <v>0</v>
      </c>
      <c r="V36" s="290">
        <v>0</v>
      </c>
      <c r="W36" s="290">
        <v>0</v>
      </c>
      <c r="X36" s="290">
        <v>0</v>
      </c>
      <c r="Y36" s="290">
        <v>1</v>
      </c>
      <c r="Z36" s="290">
        <v>1</v>
      </c>
      <c r="AA36" s="290">
        <v>1247</v>
      </c>
      <c r="AB36" s="290">
        <v>307</v>
      </c>
      <c r="AC36" s="646">
        <v>1554</v>
      </c>
    </row>
    <row r="37" spans="1:29" s="298" customFormat="1" ht="24" customHeight="1">
      <c r="A37" s="294">
        <v>33</v>
      </c>
      <c r="B37" s="291" t="s">
        <v>48</v>
      </c>
      <c r="C37" s="647">
        <v>22</v>
      </c>
      <c r="D37" s="292">
        <v>5</v>
      </c>
      <c r="E37" s="647">
        <v>27</v>
      </c>
      <c r="F37" s="647">
        <v>0</v>
      </c>
      <c r="G37" s="647">
        <v>2</v>
      </c>
      <c r="H37" s="647">
        <v>2</v>
      </c>
      <c r="I37" s="647">
        <v>152</v>
      </c>
      <c r="J37" s="647">
        <v>92</v>
      </c>
      <c r="K37" s="647">
        <v>244</v>
      </c>
      <c r="L37" s="647">
        <v>513</v>
      </c>
      <c r="M37" s="647">
        <v>394</v>
      </c>
      <c r="N37" s="647">
        <v>907</v>
      </c>
      <c r="O37" s="647">
        <v>4</v>
      </c>
      <c r="P37" s="647">
        <v>0</v>
      </c>
      <c r="Q37" s="647">
        <v>4</v>
      </c>
      <c r="R37" s="647">
        <v>9</v>
      </c>
      <c r="S37" s="647">
        <v>3</v>
      </c>
      <c r="T37" s="647">
        <v>12</v>
      </c>
      <c r="U37" s="647">
        <v>2</v>
      </c>
      <c r="V37" s="647">
        <v>6</v>
      </c>
      <c r="W37" s="647">
        <v>8</v>
      </c>
      <c r="X37" s="647">
        <v>4</v>
      </c>
      <c r="Y37" s="647">
        <v>3</v>
      </c>
      <c r="Z37" s="647">
        <v>7</v>
      </c>
      <c r="AA37" s="647">
        <v>706</v>
      </c>
      <c r="AB37" s="647">
        <v>505</v>
      </c>
      <c r="AC37" s="737">
        <v>1211</v>
      </c>
    </row>
    <row r="38" spans="1:29" ht="22.9" customHeight="1">
      <c r="A38" s="870" t="s">
        <v>49</v>
      </c>
      <c r="B38" s="870"/>
      <c r="C38" s="737">
        <f>SUM(C5:C37)</f>
        <v>1282</v>
      </c>
      <c r="D38" s="737">
        <f t="shared" ref="D38:AC38" si="0">SUM(D5:D37)</f>
        <v>356</v>
      </c>
      <c r="E38" s="737">
        <f t="shared" si="0"/>
        <v>1638</v>
      </c>
      <c r="F38" s="737">
        <f t="shared" si="0"/>
        <v>28</v>
      </c>
      <c r="G38" s="737">
        <f t="shared" si="0"/>
        <v>17</v>
      </c>
      <c r="H38" s="737">
        <f t="shared" si="0"/>
        <v>45</v>
      </c>
      <c r="I38" s="737">
        <f t="shared" si="0"/>
        <v>5561</v>
      </c>
      <c r="J38" s="737">
        <f t="shared" si="0"/>
        <v>2638</v>
      </c>
      <c r="K38" s="737">
        <f t="shared" si="0"/>
        <v>8199</v>
      </c>
      <c r="L38" s="737">
        <f t="shared" si="0"/>
        <v>24213</v>
      </c>
      <c r="M38" s="737">
        <f t="shared" si="0"/>
        <v>12441</v>
      </c>
      <c r="N38" s="737">
        <f t="shared" si="0"/>
        <v>36654</v>
      </c>
      <c r="O38" s="737">
        <f t="shared" si="0"/>
        <v>41</v>
      </c>
      <c r="P38" s="737">
        <f t="shared" si="0"/>
        <v>33</v>
      </c>
      <c r="Q38" s="737">
        <f t="shared" si="0"/>
        <v>74</v>
      </c>
      <c r="R38" s="737">
        <f t="shared" si="0"/>
        <v>1376</v>
      </c>
      <c r="S38" s="737">
        <f t="shared" si="0"/>
        <v>370</v>
      </c>
      <c r="T38" s="737">
        <f t="shared" si="0"/>
        <v>1746</v>
      </c>
      <c r="U38" s="737">
        <f t="shared" si="0"/>
        <v>82</v>
      </c>
      <c r="V38" s="737">
        <f t="shared" si="0"/>
        <v>389</v>
      </c>
      <c r="W38" s="737">
        <f t="shared" si="0"/>
        <v>471</v>
      </c>
      <c r="X38" s="737">
        <f t="shared" si="0"/>
        <v>253</v>
      </c>
      <c r="Y38" s="737">
        <f t="shared" si="0"/>
        <v>268</v>
      </c>
      <c r="Z38" s="737">
        <f t="shared" si="0"/>
        <v>521</v>
      </c>
      <c r="AA38" s="737">
        <f t="shared" si="0"/>
        <v>32836</v>
      </c>
      <c r="AB38" s="737">
        <f t="shared" si="0"/>
        <v>16512</v>
      </c>
      <c r="AC38" s="737">
        <f t="shared" si="0"/>
        <v>49348</v>
      </c>
    </row>
  </sheetData>
  <mergeCells count="15">
    <mergeCell ref="A38:B38"/>
    <mergeCell ref="A2:A3"/>
    <mergeCell ref="C1:K1"/>
    <mergeCell ref="L1:T1"/>
    <mergeCell ref="U1:AC1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70866141732283472" right="0.39370078740157483" top="0.51181102362204722" bottom="0.51181102362204722" header="0.31496062992125984" footer="0.31496062992125984"/>
  <pageSetup paperSize="9" scale="81" firstPageNumber="60" orientation="portrait" useFirstPageNumber="1" r:id="rId1"/>
  <headerFooter>
    <oddFooter>&amp;LAISHE 2019-20&amp;CT-17</oddFooter>
  </headerFooter>
  <colBreaks count="2" manualBreakCount="2">
    <brk id="11" max="1048575" man="1"/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rgb="FF00B050"/>
  </sheetPr>
  <dimension ref="A1:E142"/>
  <sheetViews>
    <sheetView view="pageBreakPreview" topLeftCell="A115" zoomScaleSheetLayoutView="100" workbookViewId="0">
      <selection activeCell="E131" sqref="E131:E141"/>
    </sheetView>
  </sheetViews>
  <sheetFormatPr defaultColWidth="9.140625" defaultRowHeight="14.25"/>
  <cols>
    <col min="1" max="1" width="7.140625" style="80" bestFit="1" customWidth="1"/>
    <col min="2" max="2" width="60.140625" style="226" customWidth="1"/>
    <col min="3" max="5" width="11" style="80" customWidth="1"/>
    <col min="6" max="16384" width="9.140625" style="80"/>
  </cols>
  <sheetData>
    <row r="1" spans="1:5" s="475" customFormat="1" ht="36.75" customHeight="1">
      <c r="A1" s="446" t="s">
        <v>135</v>
      </c>
      <c r="B1" s="849" t="s">
        <v>860</v>
      </c>
      <c r="C1" s="849"/>
      <c r="D1" s="849"/>
      <c r="E1" s="849"/>
    </row>
    <row r="2" spans="1:5" ht="27.75" customHeight="1">
      <c r="A2" s="216" t="s">
        <v>165</v>
      </c>
      <c r="B2" s="216" t="s">
        <v>785</v>
      </c>
      <c r="C2" s="426" t="s">
        <v>708</v>
      </c>
      <c r="D2" s="426" t="s">
        <v>709</v>
      </c>
      <c r="E2" s="426" t="s">
        <v>12</v>
      </c>
    </row>
    <row r="3" spans="1:5">
      <c r="A3" s="287">
        <v>1</v>
      </c>
      <c r="B3" s="287">
        <v>2</v>
      </c>
      <c r="C3" s="287">
        <v>3</v>
      </c>
      <c r="D3" s="287">
        <v>4</v>
      </c>
      <c r="E3" s="287">
        <v>5</v>
      </c>
    </row>
    <row r="4" spans="1:5" ht="15.6" customHeight="1">
      <c r="A4" s="220">
        <v>1</v>
      </c>
      <c r="B4" s="221" t="s">
        <v>266</v>
      </c>
      <c r="C4" s="222">
        <v>7959</v>
      </c>
      <c r="D4" s="222">
        <v>1544</v>
      </c>
      <c r="E4" s="222">
        <v>9503</v>
      </c>
    </row>
    <row r="5" spans="1:5" ht="15.6" customHeight="1">
      <c r="A5" s="220">
        <v>2</v>
      </c>
      <c r="B5" s="221" t="s">
        <v>262</v>
      </c>
      <c r="C5" s="222">
        <v>2461</v>
      </c>
      <c r="D5" s="222">
        <v>1503</v>
      </c>
      <c r="E5" s="222">
        <v>3964</v>
      </c>
    </row>
    <row r="6" spans="1:5" ht="15.6" customHeight="1">
      <c r="A6" s="220">
        <v>3</v>
      </c>
      <c r="B6" s="221" t="s">
        <v>270</v>
      </c>
      <c r="C6" s="222">
        <v>2267</v>
      </c>
      <c r="D6" s="222">
        <v>1023</v>
      </c>
      <c r="E6" s="222">
        <v>3290</v>
      </c>
    </row>
    <row r="7" spans="1:5" ht="15.6" customHeight="1">
      <c r="A7" s="220">
        <v>4</v>
      </c>
      <c r="B7" s="221" t="s">
        <v>265</v>
      </c>
      <c r="C7" s="222">
        <v>2235</v>
      </c>
      <c r="D7" s="222">
        <v>361</v>
      </c>
      <c r="E7" s="222">
        <v>2596</v>
      </c>
    </row>
    <row r="8" spans="1:5" ht="15.6" customHeight="1">
      <c r="A8" s="220">
        <v>5</v>
      </c>
      <c r="B8" s="221" t="s">
        <v>274</v>
      </c>
      <c r="C8" s="222">
        <v>1667</v>
      </c>
      <c r="D8" s="222">
        <v>784</v>
      </c>
      <c r="E8" s="222">
        <v>2451</v>
      </c>
    </row>
    <row r="9" spans="1:5" ht="15.6" customHeight="1">
      <c r="A9" s="220">
        <v>6</v>
      </c>
      <c r="B9" s="221" t="s">
        <v>261</v>
      </c>
      <c r="C9" s="222">
        <v>1080</v>
      </c>
      <c r="D9" s="222">
        <v>1215</v>
      </c>
      <c r="E9" s="222">
        <v>2295</v>
      </c>
    </row>
    <row r="10" spans="1:5" ht="15.6" customHeight="1">
      <c r="A10" s="220">
        <v>7</v>
      </c>
      <c r="B10" s="221" t="s">
        <v>263</v>
      </c>
      <c r="C10" s="222">
        <v>1230</v>
      </c>
      <c r="D10" s="222">
        <v>698</v>
      </c>
      <c r="E10" s="222">
        <v>1928</v>
      </c>
    </row>
    <row r="11" spans="1:5" ht="15.6" customHeight="1">
      <c r="A11" s="220">
        <v>8</v>
      </c>
      <c r="B11" s="221" t="s">
        <v>269</v>
      </c>
      <c r="C11" s="222">
        <v>1623</v>
      </c>
      <c r="D11" s="222">
        <v>197</v>
      </c>
      <c r="E11" s="222">
        <v>1820</v>
      </c>
    </row>
    <row r="12" spans="1:5" ht="15.6" customHeight="1">
      <c r="A12" s="220">
        <v>9</v>
      </c>
      <c r="B12" s="221" t="s">
        <v>273</v>
      </c>
      <c r="C12" s="222">
        <v>731</v>
      </c>
      <c r="D12" s="222">
        <v>1048</v>
      </c>
      <c r="E12" s="222">
        <v>1779</v>
      </c>
    </row>
    <row r="13" spans="1:5" ht="15.6" customHeight="1">
      <c r="A13" s="220">
        <v>10</v>
      </c>
      <c r="B13" s="221" t="s">
        <v>191</v>
      </c>
      <c r="C13" s="222">
        <v>1167</v>
      </c>
      <c r="D13" s="222">
        <v>540</v>
      </c>
      <c r="E13" s="222">
        <v>1707</v>
      </c>
    </row>
    <row r="14" spans="1:5" ht="15.6" customHeight="1">
      <c r="A14" s="220">
        <v>11</v>
      </c>
      <c r="B14" s="221" t="s">
        <v>190</v>
      </c>
      <c r="C14" s="222">
        <v>1139</v>
      </c>
      <c r="D14" s="222">
        <v>481</v>
      </c>
      <c r="E14" s="222">
        <v>1620</v>
      </c>
    </row>
    <row r="15" spans="1:5" ht="15.6" customHeight="1">
      <c r="A15" s="220">
        <v>12</v>
      </c>
      <c r="B15" s="221" t="s">
        <v>179</v>
      </c>
      <c r="C15" s="222">
        <v>1262</v>
      </c>
      <c r="D15" s="222">
        <v>352</v>
      </c>
      <c r="E15" s="222">
        <v>1614</v>
      </c>
    </row>
    <row r="16" spans="1:5" ht="15.6" customHeight="1">
      <c r="A16" s="220">
        <v>13</v>
      </c>
      <c r="B16" s="221" t="s">
        <v>341</v>
      </c>
      <c r="C16" s="222">
        <v>1320</v>
      </c>
      <c r="D16" s="222">
        <v>188</v>
      </c>
      <c r="E16" s="222">
        <v>1508</v>
      </c>
    </row>
    <row r="17" spans="1:5" ht="15.6" customHeight="1">
      <c r="A17" s="220">
        <v>14</v>
      </c>
      <c r="B17" s="221" t="s">
        <v>189</v>
      </c>
      <c r="C17" s="222">
        <v>872</v>
      </c>
      <c r="D17" s="222">
        <v>576</v>
      </c>
      <c r="E17" s="222">
        <v>1448</v>
      </c>
    </row>
    <row r="18" spans="1:5" ht="15.6" customHeight="1">
      <c r="A18" s="220">
        <v>15</v>
      </c>
      <c r="B18" s="221" t="s">
        <v>272</v>
      </c>
      <c r="C18" s="222">
        <v>87</v>
      </c>
      <c r="D18" s="222">
        <v>1022</v>
      </c>
      <c r="E18" s="222">
        <v>1109</v>
      </c>
    </row>
    <row r="19" spans="1:5" ht="15.6" customHeight="1">
      <c r="A19" s="220">
        <v>16</v>
      </c>
      <c r="B19" s="221" t="s">
        <v>193</v>
      </c>
      <c r="C19" s="222">
        <v>863</v>
      </c>
      <c r="D19" s="222">
        <v>143</v>
      </c>
      <c r="E19" s="222">
        <v>1006</v>
      </c>
    </row>
    <row r="20" spans="1:5" ht="15.6" customHeight="1">
      <c r="A20" s="220">
        <v>17</v>
      </c>
      <c r="B20" s="221" t="s">
        <v>267</v>
      </c>
      <c r="C20" s="222">
        <v>378</v>
      </c>
      <c r="D20" s="222">
        <v>417</v>
      </c>
      <c r="E20" s="222">
        <v>795</v>
      </c>
    </row>
    <row r="21" spans="1:5" ht="15.6" customHeight="1">
      <c r="A21" s="220">
        <v>18</v>
      </c>
      <c r="B21" s="221" t="s">
        <v>285</v>
      </c>
      <c r="C21" s="222">
        <v>292</v>
      </c>
      <c r="D21" s="222">
        <v>423</v>
      </c>
      <c r="E21" s="222">
        <v>715</v>
      </c>
    </row>
    <row r="22" spans="1:5" ht="15.6" customHeight="1">
      <c r="A22" s="220">
        <v>19</v>
      </c>
      <c r="B22" s="221" t="s">
        <v>277</v>
      </c>
      <c r="C22" s="222">
        <v>248</v>
      </c>
      <c r="D22" s="222">
        <v>403</v>
      </c>
      <c r="E22" s="222">
        <v>651</v>
      </c>
    </row>
    <row r="23" spans="1:5" ht="15.6" customHeight="1">
      <c r="A23" s="220">
        <v>20</v>
      </c>
      <c r="B23" s="221" t="s">
        <v>210</v>
      </c>
      <c r="C23" s="222">
        <v>254</v>
      </c>
      <c r="D23" s="222">
        <v>302</v>
      </c>
      <c r="E23" s="222">
        <v>556</v>
      </c>
    </row>
    <row r="24" spans="1:5" ht="15.6" customHeight="1">
      <c r="A24" s="220">
        <v>21</v>
      </c>
      <c r="B24" s="221" t="s">
        <v>268</v>
      </c>
      <c r="C24" s="222">
        <v>295</v>
      </c>
      <c r="D24" s="222">
        <v>205</v>
      </c>
      <c r="E24" s="222">
        <v>500</v>
      </c>
    </row>
    <row r="25" spans="1:5" ht="15.6" customHeight="1">
      <c r="A25" s="220">
        <v>22</v>
      </c>
      <c r="B25" s="221" t="s">
        <v>271</v>
      </c>
      <c r="C25" s="222">
        <v>212</v>
      </c>
      <c r="D25" s="222">
        <v>271</v>
      </c>
      <c r="E25" s="222">
        <v>483</v>
      </c>
    </row>
    <row r="26" spans="1:5" ht="15.6" customHeight="1">
      <c r="A26" s="220">
        <v>23</v>
      </c>
      <c r="B26" s="221" t="s">
        <v>347</v>
      </c>
      <c r="C26" s="222">
        <v>82</v>
      </c>
      <c r="D26" s="222">
        <v>389</v>
      </c>
      <c r="E26" s="222">
        <v>471</v>
      </c>
    </row>
    <row r="27" spans="1:5" ht="15.6" customHeight="1">
      <c r="A27" s="220">
        <v>24</v>
      </c>
      <c r="B27" s="221" t="s">
        <v>304</v>
      </c>
      <c r="C27" s="222">
        <v>203</v>
      </c>
      <c r="D27" s="222">
        <v>235</v>
      </c>
      <c r="E27" s="222">
        <v>438</v>
      </c>
    </row>
    <row r="28" spans="1:5" ht="15.6" customHeight="1">
      <c r="A28" s="220">
        <v>25</v>
      </c>
      <c r="B28" s="221" t="s">
        <v>348</v>
      </c>
      <c r="C28" s="222">
        <v>137</v>
      </c>
      <c r="D28" s="222">
        <v>152</v>
      </c>
      <c r="E28" s="222">
        <v>289</v>
      </c>
    </row>
    <row r="29" spans="1:5" ht="15.6" customHeight="1">
      <c r="A29" s="220">
        <v>26</v>
      </c>
      <c r="B29" s="221" t="s">
        <v>276</v>
      </c>
      <c r="C29" s="222">
        <v>200</v>
      </c>
      <c r="D29" s="222">
        <v>58</v>
      </c>
      <c r="E29" s="222">
        <v>258</v>
      </c>
    </row>
    <row r="30" spans="1:5" ht="15.6" customHeight="1">
      <c r="A30" s="220">
        <v>27</v>
      </c>
      <c r="B30" s="221" t="s">
        <v>192</v>
      </c>
      <c r="C30" s="222">
        <v>174</v>
      </c>
      <c r="D30" s="222">
        <v>74</v>
      </c>
      <c r="E30" s="222">
        <v>248</v>
      </c>
    </row>
    <row r="31" spans="1:5" ht="15.6" customHeight="1">
      <c r="A31" s="220">
        <v>28</v>
      </c>
      <c r="B31" s="221" t="s">
        <v>296</v>
      </c>
      <c r="C31" s="222">
        <v>97</v>
      </c>
      <c r="D31" s="222">
        <v>150</v>
      </c>
      <c r="E31" s="222">
        <v>247</v>
      </c>
    </row>
    <row r="32" spans="1:5" ht="15.6" customHeight="1">
      <c r="A32" s="220">
        <v>29</v>
      </c>
      <c r="B32" s="221" t="s">
        <v>199</v>
      </c>
      <c r="C32" s="222">
        <v>202</v>
      </c>
      <c r="D32" s="222">
        <v>44</v>
      </c>
      <c r="E32" s="222">
        <v>246</v>
      </c>
    </row>
    <row r="33" spans="1:5" ht="15.6" customHeight="1">
      <c r="A33" s="220">
        <v>30</v>
      </c>
      <c r="B33" s="221" t="s">
        <v>293</v>
      </c>
      <c r="C33" s="222">
        <v>139</v>
      </c>
      <c r="D33" s="222">
        <v>71</v>
      </c>
      <c r="E33" s="222">
        <v>210</v>
      </c>
    </row>
    <row r="34" spans="1:5" ht="15.6" customHeight="1">
      <c r="A34" s="220">
        <v>31</v>
      </c>
      <c r="B34" s="221" t="s">
        <v>281</v>
      </c>
      <c r="C34" s="222">
        <v>77</v>
      </c>
      <c r="D34" s="222">
        <v>119</v>
      </c>
      <c r="E34" s="222">
        <v>196</v>
      </c>
    </row>
    <row r="35" spans="1:5" ht="15.6" customHeight="1">
      <c r="A35" s="220">
        <v>32</v>
      </c>
      <c r="B35" s="221" t="s">
        <v>280</v>
      </c>
      <c r="C35" s="222">
        <v>133</v>
      </c>
      <c r="D35" s="222">
        <v>56</v>
      </c>
      <c r="E35" s="222">
        <v>189</v>
      </c>
    </row>
    <row r="36" spans="1:5" ht="15.6" customHeight="1">
      <c r="A36" s="220">
        <v>33</v>
      </c>
      <c r="B36" s="221" t="s">
        <v>264</v>
      </c>
      <c r="C36" s="222">
        <v>16</v>
      </c>
      <c r="D36" s="222">
        <v>154</v>
      </c>
      <c r="E36" s="222">
        <v>170</v>
      </c>
    </row>
    <row r="37" spans="1:5" ht="15.6" customHeight="1">
      <c r="A37" s="220">
        <v>34</v>
      </c>
      <c r="B37" s="221" t="s">
        <v>194</v>
      </c>
      <c r="C37" s="222">
        <v>143</v>
      </c>
      <c r="D37" s="222">
        <v>25</v>
      </c>
      <c r="E37" s="222">
        <v>168</v>
      </c>
    </row>
    <row r="38" spans="1:5" ht="15.6" customHeight="1">
      <c r="A38" s="220">
        <v>35</v>
      </c>
      <c r="B38" s="221" t="s">
        <v>284</v>
      </c>
      <c r="C38" s="222">
        <v>102</v>
      </c>
      <c r="D38" s="222">
        <v>54</v>
      </c>
      <c r="E38" s="222">
        <v>156</v>
      </c>
    </row>
    <row r="39" spans="1:5" ht="15.6" customHeight="1">
      <c r="A39" s="220">
        <v>36</v>
      </c>
      <c r="B39" s="221" t="s">
        <v>200</v>
      </c>
      <c r="C39" s="222">
        <v>92</v>
      </c>
      <c r="D39" s="222">
        <v>54</v>
      </c>
      <c r="E39" s="222">
        <v>146</v>
      </c>
    </row>
    <row r="40" spans="1:5" ht="15.6" customHeight="1">
      <c r="A40" s="220">
        <v>37</v>
      </c>
      <c r="B40" s="221" t="s">
        <v>343</v>
      </c>
      <c r="C40" s="222">
        <v>15</v>
      </c>
      <c r="D40" s="222">
        <v>98</v>
      </c>
      <c r="E40" s="222">
        <v>113</v>
      </c>
    </row>
    <row r="41" spans="1:5" ht="15.6" customHeight="1">
      <c r="A41" s="220">
        <v>38</v>
      </c>
      <c r="B41" s="221" t="s">
        <v>202</v>
      </c>
      <c r="C41" s="222">
        <v>80</v>
      </c>
      <c r="D41" s="222">
        <v>28</v>
      </c>
      <c r="E41" s="222">
        <v>108</v>
      </c>
    </row>
    <row r="42" spans="1:5" ht="15.6" customHeight="1">
      <c r="A42" s="220">
        <v>39</v>
      </c>
      <c r="B42" s="221" t="s">
        <v>195</v>
      </c>
      <c r="C42" s="222">
        <v>99</v>
      </c>
      <c r="D42" s="222">
        <v>6</v>
      </c>
      <c r="E42" s="222">
        <v>105</v>
      </c>
    </row>
    <row r="43" spans="1:5" ht="15.6" customHeight="1">
      <c r="A43" s="220">
        <v>40</v>
      </c>
      <c r="B43" s="221" t="s">
        <v>239</v>
      </c>
      <c r="C43" s="222">
        <v>69</v>
      </c>
      <c r="D43" s="222">
        <v>34</v>
      </c>
      <c r="E43" s="222">
        <v>103</v>
      </c>
    </row>
    <row r="44" spans="1:5" ht="15.6" customHeight="1">
      <c r="A44" s="220">
        <v>41</v>
      </c>
      <c r="B44" s="221" t="s">
        <v>204</v>
      </c>
      <c r="C44" s="222">
        <v>3</v>
      </c>
      <c r="D44" s="222">
        <v>93</v>
      </c>
      <c r="E44" s="222">
        <v>96</v>
      </c>
    </row>
    <row r="45" spans="1:5" ht="15.6" customHeight="1">
      <c r="A45" s="220">
        <v>42</v>
      </c>
      <c r="B45" s="221" t="s">
        <v>287</v>
      </c>
      <c r="C45" s="222">
        <v>37</v>
      </c>
      <c r="D45" s="222">
        <v>56</v>
      </c>
      <c r="E45" s="222">
        <v>93</v>
      </c>
    </row>
    <row r="46" spans="1:5" ht="28.5">
      <c r="A46" s="220">
        <v>43</v>
      </c>
      <c r="B46" s="221" t="s">
        <v>297</v>
      </c>
      <c r="C46" s="222">
        <v>71</v>
      </c>
      <c r="D46" s="222">
        <v>21</v>
      </c>
      <c r="E46" s="222">
        <v>92</v>
      </c>
    </row>
    <row r="47" spans="1:5" ht="15.6" customHeight="1">
      <c r="A47" s="220">
        <v>44</v>
      </c>
      <c r="B47" s="221" t="s">
        <v>350</v>
      </c>
      <c r="C47" s="222">
        <v>52</v>
      </c>
      <c r="D47" s="222">
        <v>29</v>
      </c>
      <c r="E47" s="222">
        <v>81</v>
      </c>
    </row>
    <row r="48" spans="1:5" ht="15.6" customHeight="1">
      <c r="A48" s="220">
        <v>45</v>
      </c>
      <c r="B48" s="221" t="s">
        <v>345</v>
      </c>
      <c r="C48" s="222">
        <v>30</v>
      </c>
      <c r="D48" s="222">
        <v>50</v>
      </c>
      <c r="E48" s="222">
        <v>80</v>
      </c>
    </row>
    <row r="49" spans="1:5" ht="15.6" customHeight="1">
      <c r="A49" s="220">
        <v>46</v>
      </c>
      <c r="B49" s="221" t="s">
        <v>294</v>
      </c>
      <c r="C49" s="222">
        <v>37</v>
      </c>
      <c r="D49" s="222">
        <v>41</v>
      </c>
      <c r="E49" s="222">
        <v>78</v>
      </c>
    </row>
    <row r="50" spans="1:5" ht="15.6" customHeight="1">
      <c r="A50" s="220">
        <v>47</v>
      </c>
      <c r="B50" s="221" t="s">
        <v>340</v>
      </c>
      <c r="C50" s="222">
        <v>41</v>
      </c>
      <c r="D50" s="222">
        <v>33</v>
      </c>
      <c r="E50" s="222">
        <v>74</v>
      </c>
    </row>
    <row r="51" spans="1:5" ht="15.6" customHeight="1">
      <c r="A51" s="220">
        <v>48</v>
      </c>
      <c r="B51" s="221" t="s">
        <v>214</v>
      </c>
      <c r="C51" s="222">
        <v>32</v>
      </c>
      <c r="D51" s="222">
        <v>40</v>
      </c>
      <c r="E51" s="222">
        <v>72</v>
      </c>
    </row>
    <row r="52" spans="1:5" ht="15.6" customHeight="1">
      <c r="A52" s="220">
        <v>49</v>
      </c>
      <c r="B52" s="221" t="s">
        <v>300</v>
      </c>
      <c r="C52" s="222">
        <v>34</v>
      </c>
      <c r="D52" s="222">
        <v>38</v>
      </c>
      <c r="E52" s="222">
        <v>72</v>
      </c>
    </row>
    <row r="53" spans="1:5" ht="30.6" customHeight="1">
      <c r="A53" s="220">
        <v>50</v>
      </c>
      <c r="B53" s="221" t="s">
        <v>353</v>
      </c>
      <c r="C53" s="222">
        <v>31</v>
      </c>
      <c r="D53" s="222">
        <v>41</v>
      </c>
      <c r="E53" s="222">
        <v>72</v>
      </c>
    </row>
    <row r="54" spans="1:5" ht="15.6" customHeight="1">
      <c r="A54" s="220">
        <v>51</v>
      </c>
      <c r="B54" s="221" t="s">
        <v>249</v>
      </c>
      <c r="C54" s="222">
        <v>42</v>
      </c>
      <c r="D54" s="222">
        <v>27</v>
      </c>
      <c r="E54" s="222">
        <v>69</v>
      </c>
    </row>
    <row r="55" spans="1:5" ht="15.6" customHeight="1">
      <c r="A55" s="220">
        <v>52</v>
      </c>
      <c r="B55" s="221" t="s">
        <v>275</v>
      </c>
      <c r="C55" s="222">
        <v>61</v>
      </c>
      <c r="D55" s="222">
        <v>5</v>
      </c>
      <c r="E55" s="222">
        <v>66</v>
      </c>
    </row>
    <row r="56" spans="1:5" ht="15.6" customHeight="1">
      <c r="A56" s="220">
        <v>53</v>
      </c>
      <c r="B56" s="221" t="s">
        <v>198</v>
      </c>
      <c r="C56" s="222">
        <v>62</v>
      </c>
      <c r="D56" s="222">
        <v>2</v>
      </c>
      <c r="E56" s="222">
        <v>64</v>
      </c>
    </row>
    <row r="57" spans="1:5" ht="15.6" customHeight="1">
      <c r="A57" s="220">
        <v>54</v>
      </c>
      <c r="B57" s="221" t="s">
        <v>212</v>
      </c>
      <c r="C57" s="222">
        <v>27</v>
      </c>
      <c r="D57" s="222">
        <v>29</v>
      </c>
      <c r="E57" s="222">
        <v>56</v>
      </c>
    </row>
    <row r="58" spans="1:5" ht="28.5">
      <c r="A58" s="220">
        <v>55</v>
      </c>
      <c r="B58" s="221" t="s">
        <v>309</v>
      </c>
      <c r="C58" s="222">
        <v>5</v>
      </c>
      <c r="D58" s="222">
        <v>46</v>
      </c>
      <c r="E58" s="222">
        <v>51</v>
      </c>
    </row>
    <row r="59" spans="1:5" ht="15.6" customHeight="1">
      <c r="A59" s="220">
        <v>56</v>
      </c>
      <c r="B59" s="221" t="s">
        <v>283</v>
      </c>
      <c r="C59" s="222">
        <v>15</v>
      </c>
      <c r="D59" s="222">
        <v>33</v>
      </c>
      <c r="E59" s="222">
        <v>48</v>
      </c>
    </row>
    <row r="60" spans="1:5" ht="15.6" customHeight="1">
      <c r="A60" s="220">
        <v>57</v>
      </c>
      <c r="B60" s="221" t="s">
        <v>196</v>
      </c>
      <c r="C60" s="222">
        <v>16</v>
      </c>
      <c r="D60" s="222">
        <v>30</v>
      </c>
      <c r="E60" s="222">
        <v>46</v>
      </c>
    </row>
    <row r="61" spans="1:5" ht="15.6" customHeight="1">
      <c r="A61" s="220">
        <v>58</v>
      </c>
      <c r="B61" s="221" t="s">
        <v>286</v>
      </c>
      <c r="C61" s="222">
        <v>20</v>
      </c>
      <c r="D61" s="222">
        <v>26</v>
      </c>
      <c r="E61" s="222">
        <v>46</v>
      </c>
    </row>
    <row r="62" spans="1:5" ht="15.6" customHeight="1">
      <c r="A62" s="220">
        <v>59</v>
      </c>
      <c r="B62" s="221" t="s">
        <v>188</v>
      </c>
      <c r="C62" s="222">
        <v>28</v>
      </c>
      <c r="D62" s="222">
        <v>17</v>
      </c>
      <c r="E62" s="222">
        <v>45</v>
      </c>
    </row>
    <row r="63" spans="1:5" ht="15.6" customHeight="1">
      <c r="A63" s="220">
        <v>60</v>
      </c>
      <c r="B63" s="221" t="s">
        <v>342</v>
      </c>
      <c r="C63" s="222">
        <v>11</v>
      </c>
      <c r="D63" s="222">
        <v>33</v>
      </c>
      <c r="E63" s="222">
        <v>44</v>
      </c>
    </row>
    <row r="64" spans="1:5" ht="28.5">
      <c r="A64" s="220">
        <v>61</v>
      </c>
      <c r="B64" s="221" t="s">
        <v>301</v>
      </c>
      <c r="C64" s="222">
        <v>25</v>
      </c>
      <c r="D64" s="222">
        <v>15</v>
      </c>
      <c r="E64" s="222">
        <v>40</v>
      </c>
    </row>
    <row r="65" spans="1:5" ht="15.6" customHeight="1">
      <c r="A65" s="220">
        <v>62</v>
      </c>
      <c r="B65" s="221" t="s">
        <v>288</v>
      </c>
      <c r="C65" s="222">
        <v>13</v>
      </c>
      <c r="D65" s="222">
        <v>25</v>
      </c>
      <c r="E65" s="222">
        <v>38</v>
      </c>
    </row>
    <row r="66" spans="1:5" ht="15.6" customHeight="1">
      <c r="A66" s="220">
        <v>63</v>
      </c>
      <c r="B66" s="221" t="s">
        <v>208</v>
      </c>
      <c r="C66" s="222">
        <v>28</v>
      </c>
      <c r="D66" s="222">
        <v>9</v>
      </c>
      <c r="E66" s="222">
        <v>37</v>
      </c>
    </row>
    <row r="67" spans="1:5" ht="15.6" customHeight="1">
      <c r="A67" s="220">
        <v>64</v>
      </c>
      <c r="B67" s="221" t="s">
        <v>321</v>
      </c>
      <c r="C67" s="222">
        <v>18</v>
      </c>
      <c r="D67" s="222">
        <v>18</v>
      </c>
      <c r="E67" s="222">
        <v>36</v>
      </c>
    </row>
    <row r="68" spans="1:5" ht="15.6" customHeight="1">
      <c r="A68" s="220">
        <v>65</v>
      </c>
      <c r="B68" s="221" t="s">
        <v>289</v>
      </c>
      <c r="C68" s="222">
        <v>24</v>
      </c>
      <c r="D68" s="222">
        <v>10</v>
      </c>
      <c r="E68" s="222">
        <v>34</v>
      </c>
    </row>
    <row r="69" spans="1:5" ht="15.6" customHeight="1">
      <c r="A69" s="220">
        <v>66</v>
      </c>
      <c r="B69" s="221" t="s">
        <v>315</v>
      </c>
      <c r="C69" s="222">
        <v>19</v>
      </c>
      <c r="D69" s="222">
        <v>15</v>
      </c>
      <c r="E69" s="222">
        <v>34</v>
      </c>
    </row>
    <row r="70" spans="1:5" ht="15.6" customHeight="1">
      <c r="A70" s="220">
        <v>67</v>
      </c>
      <c r="B70" s="221" t="s">
        <v>207</v>
      </c>
      <c r="C70" s="222">
        <v>21</v>
      </c>
      <c r="D70" s="222">
        <v>9</v>
      </c>
      <c r="E70" s="222">
        <v>30</v>
      </c>
    </row>
    <row r="71" spans="1:5" ht="15.6" customHeight="1">
      <c r="A71" s="220">
        <v>68</v>
      </c>
      <c r="B71" s="221" t="s">
        <v>282</v>
      </c>
      <c r="C71" s="222">
        <v>14</v>
      </c>
      <c r="D71" s="222">
        <v>16</v>
      </c>
      <c r="E71" s="222">
        <v>30</v>
      </c>
    </row>
    <row r="72" spans="1:5" ht="15.6" customHeight="1">
      <c r="A72" s="220">
        <v>69</v>
      </c>
      <c r="B72" s="221" t="s">
        <v>229</v>
      </c>
      <c r="C72" s="222">
        <v>18</v>
      </c>
      <c r="D72" s="222">
        <v>9</v>
      </c>
      <c r="E72" s="222">
        <v>27</v>
      </c>
    </row>
    <row r="73" spans="1:5" ht="15.6" customHeight="1">
      <c r="A73" s="220">
        <v>70</v>
      </c>
      <c r="B73" s="221" t="s">
        <v>299</v>
      </c>
      <c r="C73" s="222">
        <v>16</v>
      </c>
      <c r="D73" s="222">
        <v>9</v>
      </c>
      <c r="E73" s="222">
        <v>25</v>
      </c>
    </row>
    <row r="74" spans="1:5" ht="15.6" customHeight="1">
      <c r="A74" s="220">
        <v>71</v>
      </c>
      <c r="B74" s="221" t="s">
        <v>352</v>
      </c>
      <c r="C74" s="222">
        <v>12</v>
      </c>
      <c r="D74" s="222">
        <v>12</v>
      </c>
      <c r="E74" s="222">
        <v>24</v>
      </c>
    </row>
    <row r="75" spans="1:5" ht="15.6" customHeight="1">
      <c r="A75" s="220">
        <v>72</v>
      </c>
      <c r="B75" s="221" t="s">
        <v>224</v>
      </c>
      <c r="C75" s="222">
        <v>13</v>
      </c>
      <c r="D75" s="222">
        <v>9</v>
      </c>
      <c r="E75" s="222">
        <v>22</v>
      </c>
    </row>
    <row r="76" spans="1:5" ht="15.6" customHeight="1">
      <c r="A76" s="220">
        <v>73</v>
      </c>
      <c r="B76" s="221" t="s">
        <v>222</v>
      </c>
      <c r="C76" s="222">
        <v>11</v>
      </c>
      <c r="D76" s="222">
        <v>11</v>
      </c>
      <c r="E76" s="222">
        <v>22</v>
      </c>
    </row>
    <row r="77" spans="1:5" ht="15.6" customHeight="1">
      <c r="A77" s="220">
        <v>74</v>
      </c>
      <c r="B77" s="221" t="s">
        <v>351</v>
      </c>
      <c r="C77" s="222">
        <v>3</v>
      </c>
      <c r="D77" s="222">
        <v>14</v>
      </c>
      <c r="E77" s="222">
        <v>17</v>
      </c>
    </row>
    <row r="78" spans="1:5" ht="15.6" customHeight="1">
      <c r="A78" s="220">
        <v>75</v>
      </c>
      <c r="B78" s="221" t="s">
        <v>216</v>
      </c>
      <c r="C78" s="222">
        <v>16</v>
      </c>
      <c r="D78" s="222">
        <v>1</v>
      </c>
      <c r="E78" s="222">
        <v>17</v>
      </c>
    </row>
    <row r="79" spans="1:5" ht="15.6" customHeight="1">
      <c r="A79" s="220">
        <v>76</v>
      </c>
      <c r="B79" s="221" t="s">
        <v>279</v>
      </c>
      <c r="C79" s="222">
        <v>14</v>
      </c>
      <c r="D79" s="222">
        <v>2</v>
      </c>
      <c r="E79" s="222">
        <v>16</v>
      </c>
    </row>
    <row r="80" spans="1:5" ht="15.6" customHeight="1">
      <c r="A80" s="220">
        <v>77</v>
      </c>
      <c r="B80" s="221" t="s">
        <v>213</v>
      </c>
      <c r="C80" s="222">
        <v>12</v>
      </c>
      <c r="D80" s="222">
        <v>4</v>
      </c>
      <c r="E80" s="222">
        <v>16</v>
      </c>
    </row>
    <row r="81" spans="1:5" ht="15.6" customHeight="1">
      <c r="A81" s="220">
        <v>78</v>
      </c>
      <c r="B81" s="221" t="s">
        <v>215</v>
      </c>
      <c r="C81" s="222">
        <v>9</v>
      </c>
      <c r="D81" s="222">
        <v>5</v>
      </c>
      <c r="E81" s="222">
        <v>14</v>
      </c>
    </row>
    <row r="82" spans="1:5" ht="17.25" customHeight="1">
      <c r="A82" s="220">
        <v>79</v>
      </c>
      <c r="B82" s="221" t="s">
        <v>313</v>
      </c>
      <c r="C82" s="222">
        <v>7</v>
      </c>
      <c r="D82" s="222">
        <v>7</v>
      </c>
      <c r="E82" s="222">
        <v>14</v>
      </c>
    </row>
    <row r="83" spans="1:5" ht="15.6" customHeight="1">
      <c r="A83" s="220">
        <v>80</v>
      </c>
      <c r="B83" s="221" t="s">
        <v>332</v>
      </c>
      <c r="C83" s="222">
        <v>10</v>
      </c>
      <c r="D83" s="222">
        <v>4</v>
      </c>
      <c r="E83" s="222">
        <v>14</v>
      </c>
    </row>
    <row r="84" spans="1:5" ht="15.6" customHeight="1">
      <c r="A84" s="220">
        <v>81</v>
      </c>
      <c r="B84" s="221" t="s">
        <v>218</v>
      </c>
      <c r="C84" s="222">
        <v>10</v>
      </c>
      <c r="D84" s="222">
        <v>4</v>
      </c>
      <c r="E84" s="222">
        <v>14</v>
      </c>
    </row>
    <row r="85" spans="1:5" ht="15.6" customHeight="1">
      <c r="A85" s="220">
        <v>82</v>
      </c>
      <c r="B85" s="221" t="s">
        <v>355</v>
      </c>
      <c r="C85" s="222">
        <v>5</v>
      </c>
      <c r="D85" s="222">
        <v>9</v>
      </c>
      <c r="E85" s="222">
        <v>14</v>
      </c>
    </row>
    <row r="86" spans="1:5" ht="15.6" customHeight="1">
      <c r="A86" s="220">
        <v>83</v>
      </c>
      <c r="B86" s="221" t="s">
        <v>306</v>
      </c>
      <c r="C86" s="222">
        <v>3</v>
      </c>
      <c r="D86" s="222">
        <v>11</v>
      </c>
      <c r="E86" s="222">
        <v>14</v>
      </c>
    </row>
    <row r="87" spans="1:5" ht="15.6" customHeight="1">
      <c r="A87" s="220">
        <v>84</v>
      </c>
      <c r="B87" s="221" t="s">
        <v>226</v>
      </c>
      <c r="C87" s="222">
        <v>7</v>
      </c>
      <c r="D87" s="222">
        <v>6</v>
      </c>
      <c r="E87" s="222">
        <v>13</v>
      </c>
    </row>
    <row r="88" spans="1:5" ht="15.6" customHeight="1">
      <c r="A88" s="220">
        <v>85</v>
      </c>
      <c r="B88" s="221" t="s">
        <v>181</v>
      </c>
      <c r="C88" s="222">
        <v>10</v>
      </c>
      <c r="D88" s="222">
        <v>3</v>
      </c>
      <c r="E88" s="222">
        <v>13</v>
      </c>
    </row>
    <row r="89" spans="1:5" ht="15.6" customHeight="1">
      <c r="A89" s="220">
        <v>86</v>
      </c>
      <c r="B89" s="221" t="s">
        <v>225</v>
      </c>
      <c r="C89" s="222">
        <v>8</v>
      </c>
      <c r="D89" s="222">
        <v>5</v>
      </c>
      <c r="E89" s="222">
        <v>13</v>
      </c>
    </row>
    <row r="90" spans="1:5" ht="30" customHeight="1">
      <c r="A90" s="220">
        <v>87</v>
      </c>
      <c r="B90" s="221" t="s">
        <v>243</v>
      </c>
      <c r="C90" s="222">
        <v>8</v>
      </c>
      <c r="D90" s="222">
        <v>4</v>
      </c>
      <c r="E90" s="222">
        <v>12</v>
      </c>
    </row>
    <row r="91" spans="1:5" ht="28.5">
      <c r="A91" s="220">
        <v>88</v>
      </c>
      <c r="B91" s="221" t="s">
        <v>248</v>
      </c>
      <c r="C91" s="222">
        <v>7</v>
      </c>
      <c r="D91" s="222">
        <v>5</v>
      </c>
      <c r="E91" s="222">
        <v>12</v>
      </c>
    </row>
    <row r="92" spans="1:5" ht="15.6" customHeight="1">
      <c r="A92" s="220">
        <v>89</v>
      </c>
      <c r="B92" s="221" t="s">
        <v>354</v>
      </c>
      <c r="C92" s="222">
        <v>5</v>
      </c>
      <c r="D92" s="222">
        <v>5</v>
      </c>
      <c r="E92" s="222">
        <v>10</v>
      </c>
    </row>
    <row r="93" spans="1:5" ht="15.6" customHeight="1">
      <c r="A93" s="220">
        <v>90</v>
      </c>
      <c r="B93" s="221" t="s">
        <v>203</v>
      </c>
      <c r="C93" s="222">
        <v>6</v>
      </c>
      <c r="D93" s="222">
        <v>4</v>
      </c>
      <c r="E93" s="222">
        <v>10</v>
      </c>
    </row>
    <row r="94" spans="1:5" ht="15.6" customHeight="1">
      <c r="A94" s="220">
        <v>91</v>
      </c>
      <c r="B94" s="221" t="s">
        <v>305</v>
      </c>
      <c r="C94" s="222">
        <v>5</v>
      </c>
      <c r="D94" s="222">
        <v>4</v>
      </c>
      <c r="E94" s="222">
        <v>9</v>
      </c>
    </row>
    <row r="95" spans="1:5" ht="15.6" customHeight="1">
      <c r="A95" s="220">
        <v>92</v>
      </c>
      <c r="B95" s="221" t="s">
        <v>316</v>
      </c>
      <c r="C95" s="222">
        <v>4</v>
      </c>
      <c r="D95" s="222">
        <v>4</v>
      </c>
      <c r="E95" s="222">
        <v>8</v>
      </c>
    </row>
    <row r="96" spans="1:5" ht="15.6" customHeight="1">
      <c r="A96" s="220">
        <v>93</v>
      </c>
      <c r="B96" s="221" t="s">
        <v>197</v>
      </c>
      <c r="C96" s="222">
        <v>5</v>
      </c>
      <c r="D96" s="222">
        <v>3</v>
      </c>
      <c r="E96" s="222">
        <v>8</v>
      </c>
    </row>
    <row r="97" spans="1:5" ht="15.6" customHeight="1">
      <c r="A97" s="220">
        <v>94</v>
      </c>
      <c r="B97" s="221" t="s">
        <v>302</v>
      </c>
      <c r="C97" s="222">
        <v>6</v>
      </c>
      <c r="D97" s="222">
        <v>2</v>
      </c>
      <c r="E97" s="222">
        <v>8</v>
      </c>
    </row>
    <row r="98" spans="1:5" ht="15.6" customHeight="1">
      <c r="A98" s="220">
        <v>95</v>
      </c>
      <c r="B98" s="221" t="s">
        <v>220</v>
      </c>
      <c r="C98" s="222">
        <v>8</v>
      </c>
      <c r="D98" s="222">
        <v>0</v>
      </c>
      <c r="E98" s="222">
        <v>8</v>
      </c>
    </row>
    <row r="99" spans="1:5" ht="15.6" customHeight="1">
      <c r="A99" s="220">
        <v>96</v>
      </c>
      <c r="B99" s="221" t="s">
        <v>763</v>
      </c>
      <c r="C99" s="222">
        <v>4</v>
      </c>
      <c r="D99" s="222">
        <v>3</v>
      </c>
      <c r="E99" s="222">
        <v>7</v>
      </c>
    </row>
    <row r="100" spans="1:5" ht="15.6" customHeight="1">
      <c r="A100" s="220">
        <v>97</v>
      </c>
      <c r="B100" s="221" t="s">
        <v>182</v>
      </c>
      <c r="C100" s="222">
        <v>7</v>
      </c>
      <c r="D100" s="222">
        <v>0</v>
      </c>
      <c r="E100" s="222">
        <v>7</v>
      </c>
    </row>
    <row r="101" spans="1:5" ht="15.6" customHeight="1">
      <c r="A101" s="220">
        <v>98</v>
      </c>
      <c r="B101" s="221" t="s">
        <v>230</v>
      </c>
      <c r="C101" s="222">
        <v>4</v>
      </c>
      <c r="D101" s="222">
        <v>3</v>
      </c>
      <c r="E101" s="222">
        <v>7</v>
      </c>
    </row>
    <row r="102" spans="1:5" ht="15.6" customHeight="1">
      <c r="A102" s="220">
        <v>99</v>
      </c>
      <c r="B102" s="221" t="s">
        <v>356</v>
      </c>
      <c r="C102" s="222">
        <v>4</v>
      </c>
      <c r="D102" s="222">
        <v>3</v>
      </c>
      <c r="E102" s="222">
        <v>7</v>
      </c>
    </row>
    <row r="103" spans="1:5" ht="15.6" customHeight="1">
      <c r="A103" s="220">
        <v>100</v>
      </c>
      <c r="B103" s="221" t="s">
        <v>221</v>
      </c>
      <c r="C103" s="222">
        <v>3</v>
      </c>
      <c r="D103" s="222">
        <v>3</v>
      </c>
      <c r="E103" s="222">
        <v>6</v>
      </c>
    </row>
    <row r="104" spans="1:5" ht="15.6" customHeight="1">
      <c r="A104" s="220">
        <v>101</v>
      </c>
      <c r="B104" s="221" t="s">
        <v>323</v>
      </c>
      <c r="C104" s="222">
        <v>4</v>
      </c>
      <c r="D104" s="222">
        <v>2</v>
      </c>
      <c r="E104" s="222">
        <v>6</v>
      </c>
    </row>
    <row r="105" spans="1:5" ht="15.6" customHeight="1">
      <c r="A105" s="220">
        <v>102</v>
      </c>
      <c r="B105" s="221" t="s">
        <v>311</v>
      </c>
      <c r="C105" s="222">
        <v>1</v>
      </c>
      <c r="D105" s="222">
        <v>5</v>
      </c>
      <c r="E105" s="222">
        <v>6</v>
      </c>
    </row>
    <row r="106" spans="1:5" ht="15.6" customHeight="1">
      <c r="A106" s="220">
        <v>103</v>
      </c>
      <c r="B106" s="221" t="s">
        <v>201</v>
      </c>
      <c r="C106" s="222">
        <v>4</v>
      </c>
      <c r="D106" s="222">
        <v>1</v>
      </c>
      <c r="E106" s="222">
        <v>5</v>
      </c>
    </row>
    <row r="107" spans="1:5" ht="15.6" customHeight="1">
      <c r="A107" s="220">
        <v>104</v>
      </c>
      <c r="B107" s="221" t="s">
        <v>292</v>
      </c>
      <c r="C107" s="222">
        <v>4</v>
      </c>
      <c r="D107" s="222">
        <v>1</v>
      </c>
      <c r="E107" s="222">
        <v>5</v>
      </c>
    </row>
    <row r="108" spans="1:5" ht="15.6" customHeight="1">
      <c r="A108" s="220">
        <v>105</v>
      </c>
      <c r="B108" s="221" t="s">
        <v>206</v>
      </c>
      <c r="C108" s="222">
        <v>4</v>
      </c>
      <c r="D108" s="222">
        <v>0</v>
      </c>
      <c r="E108" s="222">
        <v>4</v>
      </c>
    </row>
    <row r="109" spans="1:5" ht="15.6" customHeight="1">
      <c r="A109" s="220">
        <v>106</v>
      </c>
      <c r="B109" s="221" t="s">
        <v>235</v>
      </c>
      <c r="C109" s="222">
        <v>1</v>
      </c>
      <c r="D109" s="222">
        <v>3</v>
      </c>
      <c r="E109" s="222">
        <v>4</v>
      </c>
    </row>
    <row r="110" spans="1:5" ht="15.6" customHeight="1">
      <c r="A110" s="220">
        <v>107</v>
      </c>
      <c r="B110" s="221" t="s">
        <v>227</v>
      </c>
      <c r="C110" s="222">
        <v>1</v>
      </c>
      <c r="D110" s="222">
        <v>3</v>
      </c>
      <c r="E110" s="222">
        <v>4</v>
      </c>
    </row>
    <row r="111" spans="1:5" ht="15.6" customHeight="1">
      <c r="A111" s="220">
        <v>108</v>
      </c>
      <c r="B111" s="221" t="s">
        <v>303</v>
      </c>
      <c r="C111" s="222">
        <v>2</v>
      </c>
      <c r="D111" s="222">
        <v>2</v>
      </c>
      <c r="E111" s="222">
        <v>4</v>
      </c>
    </row>
    <row r="112" spans="1:5" ht="15.6" customHeight="1">
      <c r="A112" s="220">
        <v>109</v>
      </c>
      <c r="B112" s="221" t="s">
        <v>219</v>
      </c>
      <c r="C112" s="222">
        <v>2</v>
      </c>
      <c r="D112" s="222">
        <v>2</v>
      </c>
      <c r="E112" s="222">
        <v>4</v>
      </c>
    </row>
    <row r="113" spans="1:5" ht="15.6" customHeight="1">
      <c r="A113" s="220">
        <v>110</v>
      </c>
      <c r="B113" s="221" t="s">
        <v>180</v>
      </c>
      <c r="C113" s="222">
        <v>3</v>
      </c>
      <c r="D113" s="222">
        <v>1</v>
      </c>
      <c r="E113" s="222">
        <v>4</v>
      </c>
    </row>
    <row r="114" spans="1:5" ht="15.6" customHeight="1">
      <c r="A114" s="220">
        <v>111</v>
      </c>
      <c r="B114" s="221" t="s">
        <v>290</v>
      </c>
      <c r="C114" s="222">
        <v>2</v>
      </c>
      <c r="D114" s="222">
        <v>1</v>
      </c>
      <c r="E114" s="222">
        <v>3</v>
      </c>
    </row>
    <row r="115" spans="1:5" ht="15.6" customHeight="1">
      <c r="A115" s="220">
        <v>112</v>
      </c>
      <c r="B115" s="221" t="s">
        <v>312</v>
      </c>
      <c r="C115" s="222">
        <v>2</v>
      </c>
      <c r="D115" s="222">
        <v>1</v>
      </c>
      <c r="E115" s="222">
        <v>3</v>
      </c>
    </row>
    <row r="116" spans="1:5" ht="15.6" customHeight="1">
      <c r="A116" s="220">
        <v>113</v>
      </c>
      <c r="B116" s="221" t="s">
        <v>217</v>
      </c>
      <c r="C116" s="222">
        <v>3</v>
      </c>
      <c r="D116" s="222">
        <v>0</v>
      </c>
      <c r="E116" s="222">
        <v>3</v>
      </c>
    </row>
    <row r="117" spans="1:5" ht="15.6" customHeight="1">
      <c r="A117" s="220">
        <v>114</v>
      </c>
      <c r="B117" s="221" t="s">
        <v>307</v>
      </c>
      <c r="C117" s="222">
        <v>0</v>
      </c>
      <c r="D117" s="222">
        <v>3</v>
      </c>
      <c r="E117" s="222">
        <v>3</v>
      </c>
    </row>
    <row r="118" spans="1:5" ht="15.6" customHeight="1">
      <c r="A118" s="220">
        <v>115</v>
      </c>
      <c r="B118" s="221" t="s">
        <v>349</v>
      </c>
      <c r="C118" s="222">
        <v>1</v>
      </c>
      <c r="D118" s="222">
        <v>2</v>
      </c>
      <c r="E118" s="222">
        <v>3</v>
      </c>
    </row>
    <row r="119" spans="1:5" ht="28.5">
      <c r="A119" s="220">
        <v>116</v>
      </c>
      <c r="B119" s="221" t="s">
        <v>308</v>
      </c>
      <c r="C119" s="222">
        <v>2</v>
      </c>
      <c r="D119" s="222">
        <v>1</v>
      </c>
      <c r="E119" s="222">
        <v>3</v>
      </c>
    </row>
    <row r="120" spans="1:5" ht="15.6" customHeight="1">
      <c r="A120" s="220">
        <v>117</v>
      </c>
      <c r="B120" s="221" t="s">
        <v>234</v>
      </c>
      <c r="C120" s="222">
        <v>2</v>
      </c>
      <c r="D120" s="222">
        <v>0</v>
      </c>
      <c r="E120" s="222">
        <v>2</v>
      </c>
    </row>
    <row r="121" spans="1:5" ht="15.6" customHeight="1">
      <c r="A121" s="220">
        <v>118</v>
      </c>
      <c r="B121" s="221" t="s">
        <v>252</v>
      </c>
      <c r="C121" s="222">
        <v>2</v>
      </c>
      <c r="D121" s="222">
        <v>0</v>
      </c>
      <c r="E121" s="222">
        <v>2</v>
      </c>
    </row>
    <row r="122" spans="1:5" ht="15.6" customHeight="1">
      <c r="A122" s="220">
        <v>119</v>
      </c>
      <c r="B122" s="221" t="s">
        <v>770</v>
      </c>
      <c r="C122" s="222">
        <v>0</v>
      </c>
      <c r="D122" s="222">
        <v>2</v>
      </c>
      <c r="E122" s="222">
        <v>2</v>
      </c>
    </row>
    <row r="123" spans="1:5" ht="28.5">
      <c r="A123" s="220">
        <v>120</v>
      </c>
      <c r="B123" s="221" t="s">
        <v>260</v>
      </c>
      <c r="C123" s="222">
        <v>2</v>
      </c>
      <c r="D123" s="222">
        <v>0</v>
      </c>
      <c r="E123" s="222">
        <v>2</v>
      </c>
    </row>
    <row r="124" spans="1:5" ht="15.6" customHeight="1">
      <c r="A124" s="220">
        <v>121</v>
      </c>
      <c r="B124" s="221" t="s">
        <v>324</v>
      </c>
      <c r="C124" s="222">
        <v>1</v>
      </c>
      <c r="D124" s="222">
        <v>1</v>
      </c>
      <c r="E124" s="222">
        <v>2</v>
      </c>
    </row>
    <row r="125" spans="1:5" ht="15.6" customHeight="1">
      <c r="A125" s="220">
        <v>122</v>
      </c>
      <c r="B125" s="221" t="s">
        <v>331</v>
      </c>
      <c r="C125" s="222">
        <v>2</v>
      </c>
      <c r="D125" s="222">
        <v>0</v>
      </c>
      <c r="E125" s="222">
        <v>2</v>
      </c>
    </row>
    <row r="126" spans="1:5" ht="15.6" customHeight="1">
      <c r="A126" s="220">
        <v>123</v>
      </c>
      <c r="B126" s="221" t="s">
        <v>314</v>
      </c>
      <c r="C126" s="222">
        <v>1</v>
      </c>
      <c r="D126" s="222">
        <v>1</v>
      </c>
      <c r="E126" s="222">
        <v>2</v>
      </c>
    </row>
    <row r="127" spans="1:5" ht="15.6" customHeight="1">
      <c r="A127" s="220">
        <v>124</v>
      </c>
      <c r="B127" s="221" t="s">
        <v>250</v>
      </c>
      <c r="C127" s="222">
        <v>2</v>
      </c>
      <c r="D127" s="222">
        <v>0</v>
      </c>
      <c r="E127" s="222">
        <v>2</v>
      </c>
    </row>
    <row r="128" spans="1:5" ht="15.6" customHeight="1">
      <c r="A128" s="220">
        <v>125</v>
      </c>
      <c r="B128" s="221" t="s">
        <v>359</v>
      </c>
      <c r="C128" s="222">
        <v>2</v>
      </c>
      <c r="D128" s="222">
        <v>0</v>
      </c>
      <c r="E128" s="222">
        <v>2</v>
      </c>
    </row>
    <row r="129" spans="1:5" ht="15.6" customHeight="1">
      <c r="A129" s="220">
        <v>126</v>
      </c>
      <c r="B129" s="221" t="s">
        <v>318</v>
      </c>
      <c r="C129" s="222">
        <v>0</v>
      </c>
      <c r="D129" s="222">
        <v>2</v>
      </c>
      <c r="E129" s="222">
        <v>2</v>
      </c>
    </row>
    <row r="130" spans="1:5" ht="15.6" customHeight="1">
      <c r="A130" s="220">
        <v>127</v>
      </c>
      <c r="B130" s="221" t="s">
        <v>358</v>
      </c>
      <c r="C130" s="222">
        <v>1</v>
      </c>
      <c r="D130" s="222">
        <v>1</v>
      </c>
      <c r="E130" s="222">
        <v>2</v>
      </c>
    </row>
    <row r="131" spans="1:5" ht="28.9" customHeight="1">
      <c r="A131" s="220">
        <v>128</v>
      </c>
      <c r="B131" s="221" t="s">
        <v>242</v>
      </c>
      <c r="C131" s="222">
        <v>1</v>
      </c>
      <c r="D131" s="222">
        <v>0</v>
      </c>
      <c r="E131" s="222">
        <v>1</v>
      </c>
    </row>
    <row r="132" spans="1:5" ht="15.6" customHeight="1">
      <c r="A132" s="220">
        <v>129</v>
      </c>
      <c r="B132" s="221" t="s">
        <v>223</v>
      </c>
      <c r="C132" s="222">
        <v>0</v>
      </c>
      <c r="D132" s="222">
        <v>1</v>
      </c>
      <c r="E132" s="222">
        <v>1</v>
      </c>
    </row>
    <row r="133" spans="1:5" ht="15.6" customHeight="1">
      <c r="A133" s="220">
        <v>130</v>
      </c>
      <c r="B133" s="221" t="s">
        <v>209</v>
      </c>
      <c r="C133" s="222">
        <v>1</v>
      </c>
      <c r="D133" s="222">
        <v>0</v>
      </c>
      <c r="E133" s="222">
        <v>1</v>
      </c>
    </row>
    <row r="134" spans="1:5" ht="15.6" customHeight="1">
      <c r="A134" s="220">
        <v>131</v>
      </c>
      <c r="B134" s="221" t="s">
        <v>326</v>
      </c>
      <c r="C134" s="292">
        <v>1</v>
      </c>
      <c r="D134" s="292">
        <v>0</v>
      </c>
      <c r="E134" s="292">
        <v>1</v>
      </c>
    </row>
    <row r="135" spans="1:5" ht="15.6" customHeight="1">
      <c r="A135" s="220">
        <v>132</v>
      </c>
      <c r="B135" s="221" t="s">
        <v>344</v>
      </c>
      <c r="C135" s="224">
        <v>0</v>
      </c>
      <c r="D135" s="224">
        <v>1</v>
      </c>
      <c r="E135" s="224">
        <v>1</v>
      </c>
    </row>
    <row r="136" spans="1:5" ht="15.6" customHeight="1">
      <c r="A136" s="220">
        <v>133</v>
      </c>
      <c r="B136" s="221" t="s">
        <v>237</v>
      </c>
      <c r="C136" s="222">
        <v>0</v>
      </c>
      <c r="D136" s="222">
        <v>1</v>
      </c>
      <c r="E136" s="222">
        <v>1</v>
      </c>
    </row>
    <row r="137" spans="1:5" ht="32.450000000000003" customHeight="1">
      <c r="A137" s="220">
        <v>134</v>
      </c>
      <c r="B137" s="221" t="s">
        <v>310</v>
      </c>
      <c r="C137" s="224">
        <v>1</v>
      </c>
      <c r="D137" s="224">
        <v>0</v>
      </c>
      <c r="E137" s="224">
        <v>1</v>
      </c>
    </row>
    <row r="138" spans="1:5" ht="15.6" customHeight="1">
      <c r="A138" s="220">
        <v>135</v>
      </c>
      <c r="B138" s="221" t="s">
        <v>211</v>
      </c>
      <c r="C138" s="224">
        <v>1</v>
      </c>
      <c r="D138" s="224">
        <v>0</v>
      </c>
      <c r="E138" s="224">
        <v>1</v>
      </c>
    </row>
    <row r="139" spans="1:5" ht="15.6" customHeight="1">
      <c r="A139" s="220">
        <v>136</v>
      </c>
      <c r="B139" s="221" t="s">
        <v>257</v>
      </c>
      <c r="C139" s="224">
        <v>0</v>
      </c>
      <c r="D139" s="224">
        <v>1</v>
      </c>
      <c r="E139" s="224">
        <v>1</v>
      </c>
    </row>
    <row r="140" spans="1:5" ht="15.6" customHeight="1">
      <c r="A140" s="220">
        <v>137</v>
      </c>
      <c r="B140" s="221" t="s">
        <v>205</v>
      </c>
      <c r="C140" s="224">
        <v>1</v>
      </c>
      <c r="D140" s="224">
        <v>0</v>
      </c>
      <c r="E140" s="224">
        <v>1</v>
      </c>
    </row>
    <row r="141" spans="1:5" ht="15.6" customHeight="1">
      <c r="A141" s="220">
        <v>138</v>
      </c>
      <c r="B141" s="221" t="s">
        <v>256</v>
      </c>
      <c r="C141" s="224">
        <v>0</v>
      </c>
      <c r="D141" s="224">
        <v>1</v>
      </c>
      <c r="E141" s="224">
        <v>1</v>
      </c>
    </row>
    <row r="142" spans="1:5" ht="23.25" customHeight="1">
      <c r="A142" s="878" t="s">
        <v>60</v>
      </c>
      <c r="B142" s="878"/>
      <c r="C142" s="737">
        <f>SUM(C4:C141)</f>
        <v>32836</v>
      </c>
      <c r="D142" s="737">
        <f t="shared" ref="D142:E142" si="0">SUM(D4:D141)</f>
        <v>16512</v>
      </c>
      <c r="E142" s="737">
        <f t="shared" si="0"/>
        <v>49348</v>
      </c>
    </row>
  </sheetData>
  <sortState xmlns:xlrd2="http://schemas.microsoft.com/office/spreadsheetml/2017/richdata2" ref="A4:E133">
    <sortCondition descending="1" ref="E4:E133"/>
  </sortState>
  <mergeCells count="2">
    <mergeCell ref="A142:B142"/>
    <mergeCell ref="B1:E1"/>
  </mergeCells>
  <pageMargins left="0.5" right="0.5" top="0.5" bottom="0.5" header="0.31496062992126" footer="0.31496062992126"/>
  <pageSetup paperSize="9" scale="80" firstPageNumber="63" orientation="portrait" useFirstPageNumber="1" r:id="rId1"/>
  <headerFooter>
    <oddFooter>&amp;LAISHE 2019-20&amp;CT-18</oddFooter>
  </headerFooter>
  <rowBreaks count="2" manualBreakCount="2">
    <brk id="58" max="4" man="1"/>
    <brk id="115" max="4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rgb="FF00B050"/>
  </sheetPr>
  <dimension ref="A1:K42"/>
  <sheetViews>
    <sheetView view="pageBreakPreview" topLeftCell="A19" zoomScaleSheetLayoutView="100" workbookViewId="0">
      <selection activeCell="G16" sqref="G16"/>
    </sheetView>
  </sheetViews>
  <sheetFormatPr defaultRowHeight="15.75"/>
  <cols>
    <col min="1" max="1" width="5.140625" style="54" customWidth="1"/>
    <col min="2" max="2" width="25.140625" style="54" customWidth="1"/>
    <col min="3" max="3" width="6.85546875" style="54" customWidth="1"/>
    <col min="4" max="4" width="9.140625" style="54" customWidth="1"/>
    <col min="5" max="6" width="8" style="54" customWidth="1"/>
    <col min="7" max="7" width="9.140625" style="54" customWidth="1"/>
    <col min="8" max="9" width="8" style="54" customWidth="1"/>
    <col min="10" max="10" width="9.140625" style="54" customWidth="1"/>
    <col min="11" max="11" width="8" style="54" customWidth="1"/>
    <col min="12" max="218" width="9.140625" style="54"/>
    <col min="219" max="219" width="5.140625" style="54" customWidth="1"/>
    <col min="220" max="220" width="20" style="54" customWidth="1"/>
    <col min="221" max="241" width="11.7109375" style="54" customWidth="1"/>
    <col min="242" max="474" width="9.140625" style="54"/>
    <col min="475" max="475" width="5.140625" style="54" customWidth="1"/>
    <col min="476" max="476" width="20" style="54" customWidth="1"/>
    <col min="477" max="497" width="11.7109375" style="54" customWidth="1"/>
    <col min="498" max="730" width="9.140625" style="54"/>
    <col min="731" max="731" width="5.140625" style="54" customWidth="1"/>
    <col min="732" max="732" width="20" style="54" customWidth="1"/>
    <col min="733" max="753" width="11.7109375" style="54" customWidth="1"/>
    <col min="754" max="986" width="9.140625" style="54"/>
    <col min="987" max="987" width="5.140625" style="54" customWidth="1"/>
    <col min="988" max="988" width="20" style="54" customWidth="1"/>
    <col min="989" max="1009" width="11.7109375" style="54" customWidth="1"/>
    <col min="1010" max="1242" width="9.140625" style="54"/>
    <col min="1243" max="1243" width="5.140625" style="54" customWidth="1"/>
    <col min="1244" max="1244" width="20" style="54" customWidth="1"/>
    <col min="1245" max="1265" width="11.7109375" style="54" customWidth="1"/>
    <col min="1266" max="1498" width="9.140625" style="54"/>
    <col min="1499" max="1499" width="5.140625" style="54" customWidth="1"/>
    <col min="1500" max="1500" width="20" style="54" customWidth="1"/>
    <col min="1501" max="1521" width="11.7109375" style="54" customWidth="1"/>
    <col min="1522" max="1754" width="9.140625" style="54"/>
    <col min="1755" max="1755" width="5.140625" style="54" customWidth="1"/>
    <col min="1756" max="1756" width="20" style="54" customWidth="1"/>
    <col min="1757" max="1777" width="11.7109375" style="54" customWidth="1"/>
    <col min="1778" max="2010" width="9.140625" style="54"/>
    <col min="2011" max="2011" width="5.140625" style="54" customWidth="1"/>
    <col min="2012" max="2012" width="20" style="54" customWidth="1"/>
    <col min="2013" max="2033" width="11.7109375" style="54" customWidth="1"/>
    <col min="2034" max="2266" width="9.140625" style="54"/>
    <col min="2267" max="2267" width="5.140625" style="54" customWidth="1"/>
    <col min="2268" max="2268" width="20" style="54" customWidth="1"/>
    <col min="2269" max="2289" width="11.7109375" style="54" customWidth="1"/>
    <col min="2290" max="2522" width="9.140625" style="54"/>
    <col min="2523" max="2523" width="5.140625" style="54" customWidth="1"/>
    <col min="2524" max="2524" width="20" style="54" customWidth="1"/>
    <col min="2525" max="2545" width="11.7109375" style="54" customWidth="1"/>
    <col min="2546" max="2778" width="9.140625" style="54"/>
    <col min="2779" max="2779" width="5.140625" style="54" customWidth="1"/>
    <col min="2780" max="2780" width="20" style="54" customWidth="1"/>
    <col min="2781" max="2801" width="11.7109375" style="54" customWidth="1"/>
    <col min="2802" max="3034" width="9.140625" style="54"/>
    <col min="3035" max="3035" width="5.140625" style="54" customWidth="1"/>
    <col min="3036" max="3036" width="20" style="54" customWidth="1"/>
    <col min="3037" max="3057" width="11.7109375" style="54" customWidth="1"/>
    <col min="3058" max="3290" width="9.140625" style="54"/>
    <col min="3291" max="3291" width="5.140625" style="54" customWidth="1"/>
    <col min="3292" max="3292" width="20" style="54" customWidth="1"/>
    <col min="3293" max="3313" width="11.7109375" style="54" customWidth="1"/>
    <col min="3314" max="3546" width="9.140625" style="54"/>
    <col min="3547" max="3547" width="5.140625" style="54" customWidth="1"/>
    <col min="3548" max="3548" width="20" style="54" customWidth="1"/>
    <col min="3549" max="3569" width="11.7109375" style="54" customWidth="1"/>
    <col min="3570" max="3802" width="9.140625" style="54"/>
    <col min="3803" max="3803" width="5.140625" style="54" customWidth="1"/>
    <col min="3804" max="3804" width="20" style="54" customWidth="1"/>
    <col min="3805" max="3825" width="11.7109375" style="54" customWidth="1"/>
    <col min="3826" max="4058" width="9.140625" style="54"/>
    <col min="4059" max="4059" width="5.140625" style="54" customWidth="1"/>
    <col min="4060" max="4060" width="20" style="54" customWidth="1"/>
    <col min="4061" max="4081" width="11.7109375" style="54" customWidth="1"/>
    <col min="4082" max="4314" width="9.140625" style="54"/>
    <col min="4315" max="4315" width="5.140625" style="54" customWidth="1"/>
    <col min="4316" max="4316" width="20" style="54" customWidth="1"/>
    <col min="4317" max="4337" width="11.7109375" style="54" customWidth="1"/>
    <col min="4338" max="4570" width="9.140625" style="54"/>
    <col min="4571" max="4571" width="5.140625" style="54" customWidth="1"/>
    <col min="4572" max="4572" width="20" style="54" customWidth="1"/>
    <col min="4573" max="4593" width="11.7109375" style="54" customWidth="1"/>
    <col min="4594" max="4826" width="9.140625" style="54"/>
    <col min="4827" max="4827" width="5.140625" style="54" customWidth="1"/>
    <col min="4828" max="4828" width="20" style="54" customWidth="1"/>
    <col min="4829" max="4849" width="11.7109375" style="54" customWidth="1"/>
    <col min="4850" max="5082" width="9.140625" style="54"/>
    <col min="5083" max="5083" width="5.140625" style="54" customWidth="1"/>
    <col min="5084" max="5084" width="20" style="54" customWidth="1"/>
    <col min="5085" max="5105" width="11.7109375" style="54" customWidth="1"/>
    <col min="5106" max="5338" width="9.140625" style="54"/>
    <col min="5339" max="5339" width="5.140625" style="54" customWidth="1"/>
    <col min="5340" max="5340" width="20" style="54" customWidth="1"/>
    <col min="5341" max="5361" width="11.7109375" style="54" customWidth="1"/>
    <col min="5362" max="5594" width="9.140625" style="54"/>
    <col min="5595" max="5595" width="5.140625" style="54" customWidth="1"/>
    <col min="5596" max="5596" width="20" style="54" customWidth="1"/>
    <col min="5597" max="5617" width="11.7109375" style="54" customWidth="1"/>
    <col min="5618" max="5850" width="9.140625" style="54"/>
    <col min="5851" max="5851" width="5.140625" style="54" customWidth="1"/>
    <col min="5852" max="5852" width="20" style="54" customWidth="1"/>
    <col min="5853" max="5873" width="11.7109375" style="54" customWidth="1"/>
    <col min="5874" max="6106" width="9.140625" style="54"/>
    <col min="6107" max="6107" width="5.140625" style="54" customWidth="1"/>
    <col min="6108" max="6108" width="20" style="54" customWidth="1"/>
    <col min="6109" max="6129" width="11.7109375" style="54" customWidth="1"/>
    <col min="6130" max="6362" width="9.140625" style="54"/>
    <col min="6363" max="6363" width="5.140625" style="54" customWidth="1"/>
    <col min="6364" max="6364" width="20" style="54" customWidth="1"/>
    <col min="6365" max="6385" width="11.7109375" style="54" customWidth="1"/>
    <col min="6386" max="6618" width="9.140625" style="54"/>
    <col min="6619" max="6619" width="5.140625" style="54" customWidth="1"/>
    <col min="6620" max="6620" width="20" style="54" customWidth="1"/>
    <col min="6621" max="6641" width="11.7109375" style="54" customWidth="1"/>
    <col min="6642" max="6874" width="9.140625" style="54"/>
    <col min="6875" max="6875" width="5.140625" style="54" customWidth="1"/>
    <col min="6876" max="6876" width="20" style="54" customWidth="1"/>
    <col min="6877" max="6897" width="11.7109375" style="54" customWidth="1"/>
    <col min="6898" max="7130" width="9.140625" style="54"/>
    <col min="7131" max="7131" width="5.140625" style="54" customWidth="1"/>
    <col min="7132" max="7132" width="20" style="54" customWidth="1"/>
    <col min="7133" max="7153" width="11.7109375" style="54" customWidth="1"/>
    <col min="7154" max="7386" width="9.140625" style="54"/>
    <col min="7387" max="7387" width="5.140625" style="54" customWidth="1"/>
    <col min="7388" max="7388" width="20" style="54" customWidth="1"/>
    <col min="7389" max="7409" width="11.7109375" style="54" customWidth="1"/>
    <col min="7410" max="7642" width="9.140625" style="54"/>
    <col min="7643" max="7643" width="5.140625" style="54" customWidth="1"/>
    <col min="7644" max="7644" width="20" style="54" customWidth="1"/>
    <col min="7645" max="7665" width="11.7109375" style="54" customWidth="1"/>
    <col min="7666" max="7898" width="9.140625" style="54"/>
    <col min="7899" max="7899" width="5.140625" style="54" customWidth="1"/>
    <col min="7900" max="7900" width="20" style="54" customWidth="1"/>
    <col min="7901" max="7921" width="11.7109375" style="54" customWidth="1"/>
    <col min="7922" max="8154" width="9.140625" style="54"/>
    <col min="8155" max="8155" width="5.140625" style="54" customWidth="1"/>
    <col min="8156" max="8156" width="20" style="54" customWidth="1"/>
    <col min="8157" max="8177" width="11.7109375" style="54" customWidth="1"/>
    <col min="8178" max="8410" width="9.140625" style="54"/>
    <col min="8411" max="8411" width="5.140625" style="54" customWidth="1"/>
    <col min="8412" max="8412" width="20" style="54" customWidth="1"/>
    <col min="8413" max="8433" width="11.7109375" style="54" customWidth="1"/>
    <col min="8434" max="8666" width="9.140625" style="54"/>
    <col min="8667" max="8667" width="5.140625" style="54" customWidth="1"/>
    <col min="8668" max="8668" width="20" style="54" customWidth="1"/>
    <col min="8669" max="8689" width="11.7109375" style="54" customWidth="1"/>
    <col min="8690" max="8922" width="9.140625" style="54"/>
    <col min="8923" max="8923" width="5.140625" style="54" customWidth="1"/>
    <col min="8924" max="8924" width="20" style="54" customWidth="1"/>
    <col min="8925" max="8945" width="11.7109375" style="54" customWidth="1"/>
    <col min="8946" max="9178" width="9.140625" style="54"/>
    <col min="9179" max="9179" width="5.140625" style="54" customWidth="1"/>
    <col min="9180" max="9180" width="20" style="54" customWidth="1"/>
    <col min="9181" max="9201" width="11.7109375" style="54" customWidth="1"/>
    <col min="9202" max="9434" width="9.140625" style="54"/>
    <col min="9435" max="9435" width="5.140625" style="54" customWidth="1"/>
    <col min="9436" max="9436" width="20" style="54" customWidth="1"/>
    <col min="9437" max="9457" width="11.7109375" style="54" customWidth="1"/>
    <col min="9458" max="9690" width="9.140625" style="54"/>
    <col min="9691" max="9691" width="5.140625" style="54" customWidth="1"/>
    <col min="9692" max="9692" width="20" style="54" customWidth="1"/>
    <col min="9693" max="9713" width="11.7109375" style="54" customWidth="1"/>
    <col min="9714" max="9946" width="9.140625" style="54"/>
    <col min="9947" max="9947" width="5.140625" style="54" customWidth="1"/>
    <col min="9948" max="9948" width="20" style="54" customWidth="1"/>
    <col min="9949" max="9969" width="11.7109375" style="54" customWidth="1"/>
    <col min="9970" max="10202" width="9.140625" style="54"/>
    <col min="10203" max="10203" width="5.140625" style="54" customWidth="1"/>
    <col min="10204" max="10204" width="20" style="54" customWidth="1"/>
    <col min="10205" max="10225" width="11.7109375" style="54" customWidth="1"/>
    <col min="10226" max="10458" width="9.140625" style="54"/>
    <col min="10459" max="10459" width="5.140625" style="54" customWidth="1"/>
    <col min="10460" max="10460" width="20" style="54" customWidth="1"/>
    <col min="10461" max="10481" width="11.7109375" style="54" customWidth="1"/>
    <col min="10482" max="10714" width="9.140625" style="54"/>
    <col min="10715" max="10715" width="5.140625" style="54" customWidth="1"/>
    <col min="10716" max="10716" width="20" style="54" customWidth="1"/>
    <col min="10717" max="10737" width="11.7109375" style="54" customWidth="1"/>
    <col min="10738" max="10970" width="9.140625" style="54"/>
    <col min="10971" max="10971" width="5.140625" style="54" customWidth="1"/>
    <col min="10972" max="10972" width="20" style="54" customWidth="1"/>
    <col min="10973" max="10993" width="11.7109375" style="54" customWidth="1"/>
    <col min="10994" max="11226" width="9.140625" style="54"/>
    <col min="11227" max="11227" width="5.140625" style="54" customWidth="1"/>
    <col min="11228" max="11228" width="20" style="54" customWidth="1"/>
    <col min="11229" max="11249" width="11.7109375" style="54" customWidth="1"/>
    <col min="11250" max="11482" width="9.140625" style="54"/>
    <col min="11483" max="11483" width="5.140625" style="54" customWidth="1"/>
    <col min="11484" max="11484" width="20" style="54" customWidth="1"/>
    <col min="11485" max="11505" width="11.7109375" style="54" customWidth="1"/>
    <col min="11506" max="11738" width="9.140625" style="54"/>
    <col min="11739" max="11739" width="5.140625" style="54" customWidth="1"/>
    <col min="11740" max="11740" width="20" style="54" customWidth="1"/>
    <col min="11741" max="11761" width="11.7109375" style="54" customWidth="1"/>
    <col min="11762" max="11994" width="9.140625" style="54"/>
    <col min="11995" max="11995" width="5.140625" style="54" customWidth="1"/>
    <col min="11996" max="11996" width="20" style="54" customWidth="1"/>
    <col min="11997" max="12017" width="11.7109375" style="54" customWidth="1"/>
    <col min="12018" max="12250" width="9.140625" style="54"/>
    <col min="12251" max="12251" width="5.140625" style="54" customWidth="1"/>
    <col min="12252" max="12252" width="20" style="54" customWidth="1"/>
    <col min="12253" max="12273" width="11.7109375" style="54" customWidth="1"/>
    <col min="12274" max="12506" width="9.140625" style="54"/>
    <col min="12507" max="12507" width="5.140625" style="54" customWidth="1"/>
    <col min="12508" max="12508" width="20" style="54" customWidth="1"/>
    <col min="12509" max="12529" width="11.7109375" style="54" customWidth="1"/>
    <col min="12530" max="12762" width="9.140625" style="54"/>
    <col min="12763" max="12763" width="5.140625" style="54" customWidth="1"/>
    <col min="12764" max="12764" width="20" style="54" customWidth="1"/>
    <col min="12765" max="12785" width="11.7109375" style="54" customWidth="1"/>
    <col min="12786" max="13018" width="9.140625" style="54"/>
    <col min="13019" max="13019" width="5.140625" style="54" customWidth="1"/>
    <col min="13020" max="13020" width="20" style="54" customWidth="1"/>
    <col min="13021" max="13041" width="11.7109375" style="54" customWidth="1"/>
    <col min="13042" max="13274" width="9.140625" style="54"/>
    <col min="13275" max="13275" width="5.140625" style="54" customWidth="1"/>
    <col min="13276" max="13276" width="20" style="54" customWidth="1"/>
    <col min="13277" max="13297" width="11.7109375" style="54" customWidth="1"/>
    <col min="13298" max="13530" width="9.140625" style="54"/>
    <col min="13531" max="13531" width="5.140625" style="54" customWidth="1"/>
    <col min="13532" max="13532" width="20" style="54" customWidth="1"/>
    <col min="13533" max="13553" width="11.7109375" style="54" customWidth="1"/>
    <col min="13554" max="13786" width="9.140625" style="54"/>
    <col min="13787" max="13787" width="5.140625" style="54" customWidth="1"/>
    <col min="13788" max="13788" width="20" style="54" customWidth="1"/>
    <col min="13789" max="13809" width="11.7109375" style="54" customWidth="1"/>
    <col min="13810" max="14042" width="9.140625" style="54"/>
    <col min="14043" max="14043" width="5.140625" style="54" customWidth="1"/>
    <col min="14044" max="14044" width="20" style="54" customWidth="1"/>
    <col min="14045" max="14065" width="11.7109375" style="54" customWidth="1"/>
    <col min="14066" max="14298" width="9.140625" style="54"/>
    <col min="14299" max="14299" width="5.140625" style="54" customWidth="1"/>
    <col min="14300" max="14300" width="20" style="54" customWidth="1"/>
    <col min="14301" max="14321" width="11.7109375" style="54" customWidth="1"/>
    <col min="14322" max="14554" width="9.140625" style="54"/>
    <col min="14555" max="14555" width="5.140625" style="54" customWidth="1"/>
    <col min="14556" max="14556" width="20" style="54" customWidth="1"/>
    <col min="14557" max="14577" width="11.7109375" style="54" customWidth="1"/>
    <col min="14578" max="14810" width="9.140625" style="54"/>
    <col min="14811" max="14811" width="5.140625" style="54" customWidth="1"/>
    <col min="14812" max="14812" width="20" style="54" customWidth="1"/>
    <col min="14813" max="14833" width="11.7109375" style="54" customWidth="1"/>
    <col min="14834" max="15066" width="9.140625" style="54"/>
    <col min="15067" max="15067" width="5.140625" style="54" customWidth="1"/>
    <col min="15068" max="15068" width="20" style="54" customWidth="1"/>
    <col min="15069" max="15089" width="11.7109375" style="54" customWidth="1"/>
    <col min="15090" max="15322" width="9.140625" style="54"/>
    <col min="15323" max="15323" width="5.140625" style="54" customWidth="1"/>
    <col min="15324" max="15324" width="20" style="54" customWidth="1"/>
    <col min="15325" max="15345" width="11.7109375" style="54" customWidth="1"/>
    <col min="15346" max="15578" width="9.140625" style="54"/>
    <col min="15579" max="15579" width="5.140625" style="54" customWidth="1"/>
    <col min="15580" max="15580" width="20" style="54" customWidth="1"/>
    <col min="15581" max="15601" width="11.7109375" style="54" customWidth="1"/>
    <col min="15602" max="15834" width="9.140625" style="54"/>
    <col min="15835" max="15835" width="5.140625" style="54" customWidth="1"/>
    <col min="15836" max="15836" width="20" style="54" customWidth="1"/>
    <col min="15837" max="15857" width="11.7109375" style="54" customWidth="1"/>
    <col min="15858" max="16090" width="9.140625" style="54"/>
    <col min="16091" max="16091" width="5.140625" style="54" customWidth="1"/>
    <col min="16092" max="16092" width="20" style="54" customWidth="1"/>
    <col min="16093" max="16113" width="11.7109375" style="54" customWidth="1"/>
    <col min="16114" max="16384" width="9.140625" style="54"/>
  </cols>
  <sheetData>
    <row r="1" spans="1:11" ht="24" customHeight="1">
      <c r="A1" s="881" t="s">
        <v>861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</row>
    <row r="2" spans="1:11" s="55" customFormat="1" ht="25.5" customHeight="1">
      <c r="A2" s="883" t="s">
        <v>80</v>
      </c>
      <c r="B2" s="883" t="s">
        <v>713</v>
      </c>
      <c r="C2" s="885" t="s">
        <v>133</v>
      </c>
      <c r="D2" s="885"/>
      <c r="E2" s="885"/>
      <c r="F2" s="885" t="s">
        <v>110</v>
      </c>
      <c r="G2" s="885"/>
      <c r="H2" s="885"/>
      <c r="I2" s="885" t="s">
        <v>111</v>
      </c>
      <c r="J2" s="885"/>
      <c r="K2" s="885"/>
    </row>
    <row r="3" spans="1:11" s="55" customFormat="1" ht="25.5" customHeight="1">
      <c r="A3" s="884"/>
      <c r="B3" s="884"/>
      <c r="C3" s="399" t="s">
        <v>87</v>
      </c>
      <c r="D3" s="399" t="s">
        <v>88</v>
      </c>
      <c r="E3" s="399" t="s">
        <v>12</v>
      </c>
      <c r="F3" s="399" t="s">
        <v>87</v>
      </c>
      <c r="G3" s="399" t="s">
        <v>88</v>
      </c>
      <c r="H3" s="399" t="s">
        <v>12</v>
      </c>
      <c r="I3" s="399" t="s">
        <v>87</v>
      </c>
      <c r="J3" s="399" t="s">
        <v>88</v>
      </c>
      <c r="K3" s="399" t="s">
        <v>12</v>
      </c>
    </row>
    <row r="4" spans="1:11" s="55" customFormat="1" ht="14.25">
      <c r="A4" s="300">
        <v>1</v>
      </c>
      <c r="B4" s="300">
        <v>2</v>
      </c>
      <c r="C4" s="300">
        <v>3</v>
      </c>
      <c r="D4" s="300">
        <v>4</v>
      </c>
      <c r="E4" s="300">
        <v>5</v>
      </c>
      <c r="F4" s="300">
        <v>6</v>
      </c>
      <c r="G4" s="300">
        <v>7</v>
      </c>
      <c r="H4" s="300">
        <v>8</v>
      </c>
      <c r="I4" s="300">
        <v>9</v>
      </c>
      <c r="J4" s="300">
        <v>10</v>
      </c>
      <c r="K4" s="300">
        <v>11</v>
      </c>
    </row>
    <row r="5" spans="1:11" s="56" customFormat="1" ht="30" customHeight="1">
      <c r="A5" s="301">
        <v>1</v>
      </c>
      <c r="B5" s="116" t="s">
        <v>154</v>
      </c>
      <c r="C5" s="302">
        <v>17.726668231244624</v>
      </c>
      <c r="D5" s="302">
        <v>22.284577114427861</v>
      </c>
      <c r="E5" s="302">
        <v>19.985796295200331</v>
      </c>
      <c r="F5" s="302" t="s">
        <v>806</v>
      </c>
      <c r="G5" s="302" t="s">
        <v>806</v>
      </c>
      <c r="H5" s="302" t="s">
        <v>806</v>
      </c>
      <c r="I5" s="302">
        <v>8.6985050109431494</v>
      </c>
      <c r="J5" s="302">
        <v>16.486768371371465</v>
      </c>
      <c r="K5" s="302">
        <v>12.591283489729543</v>
      </c>
    </row>
    <row r="6" spans="1:11" s="56" customFormat="1" ht="20.100000000000001" customHeight="1">
      <c r="A6" s="301">
        <v>2</v>
      </c>
      <c r="B6" s="118" t="s">
        <v>15</v>
      </c>
      <c r="C6" s="302">
        <v>38.314361122138315</v>
      </c>
      <c r="D6" s="302">
        <v>32.171658467883354</v>
      </c>
      <c r="E6" s="302">
        <v>35.210040067994392</v>
      </c>
      <c r="F6" s="302">
        <v>33.445765565064001</v>
      </c>
      <c r="G6" s="302">
        <v>28.996491312445574</v>
      </c>
      <c r="H6" s="302">
        <v>31.189981835288865</v>
      </c>
      <c r="I6" s="302">
        <v>33.646773427189594</v>
      </c>
      <c r="J6" s="302">
        <v>25.621327584807762</v>
      </c>
      <c r="K6" s="302">
        <v>29.377118619901935</v>
      </c>
    </row>
    <row r="7" spans="1:11" s="56" customFormat="1" ht="20.100000000000001" customHeight="1">
      <c r="A7" s="301">
        <v>3</v>
      </c>
      <c r="B7" s="118" t="s">
        <v>16</v>
      </c>
      <c r="C7" s="302">
        <v>36.510572486182241</v>
      </c>
      <c r="D7" s="302">
        <v>34.250396196513471</v>
      </c>
      <c r="E7" s="302">
        <v>35.380548811795208</v>
      </c>
      <c r="F7" s="302" t="s">
        <v>806</v>
      </c>
      <c r="G7" s="302" t="s">
        <v>806</v>
      </c>
      <c r="H7" s="302" t="s">
        <v>806</v>
      </c>
      <c r="I7" s="302">
        <v>36.96737869661375</v>
      </c>
      <c r="J7" s="302">
        <v>33.630253872366133</v>
      </c>
      <c r="K7" s="302">
        <v>35.211869549110759</v>
      </c>
    </row>
    <row r="8" spans="1:11" s="56" customFormat="1" ht="20.100000000000001" customHeight="1">
      <c r="A8" s="301">
        <v>4</v>
      </c>
      <c r="B8" s="116" t="s">
        <v>17</v>
      </c>
      <c r="C8" s="302">
        <v>17.421975543880116</v>
      </c>
      <c r="D8" s="302">
        <v>17.192561240445873</v>
      </c>
      <c r="E8" s="302">
        <v>17.303549429669932</v>
      </c>
      <c r="F8" s="302">
        <v>19.518441976256334</v>
      </c>
      <c r="G8" s="302">
        <v>19.029743201311465</v>
      </c>
      <c r="H8" s="302">
        <v>19.27606179741958</v>
      </c>
      <c r="I8" s="302">
        <v>22.705376054327182</v>
      </c>
      <c r="J8" s="302">
        <v>22.402190502412289</v>
      </c>
      <c r="K8" s="302">
        <v>22.545777117749608</v>
      </c>
    </row>
    <row r="9" spans="1:11" s="56" customFormat="1" ht="20.100000000000001" customHeight="1">
      <c r="A9" s="301">
        <v>5</v>
      </c>
      <c r="B9" s="116" t="s">
        <v>18</v>
      </c>
      <c r="C9" s="302">
        <v>15.762221872276374</v>
      </c>
      <c r="D9" s="302">
        <v>13.09223884558388</v>
      </c>
      <c r="E9" s="302">
        <v>14.458676260361832</v>
      </c>
      <c r="F9" s="302">
        <v>14.210822553315975</v>
      </c>
      <c r="G9" s="302">
        <v>8.5478642166658503</v>
      </c>
      <c r="H9" s="302">
        <v>11.375658071748118</v>
      </c>
      <c r="I9" s="302">
        <v>24.188095013822387</v>
      </c>
      <c r="J9" s="302">
        <v>18.694002243139391</v>
      </c>
      <c r="K9" s="302">
        <v>21.444663103114124</v>
      </c>
    </row>
    <row r="10" spans="1:11" s="56" customFormat="1" ht="20.100000000000001" customHeight="1">
      <c r="A10" s="301">
        <v>6</v>
      </c>
      <c r="B10" s="118" t="s">
        <v>19</v>
      </c>
      <c r="C10" s="302">
        <v>43.210077204388462</v>
      </c>
      <c r="D10" s="302">
        <v>65.639685402633091</v>
      </c>
      <c r="E10" s="302">
        <v>52.146897350782936</v>
      </c>
      <c r="F10" s="302">
        <v>33.331740681243126</v>
      </c>
      <c r="G10" s="302">
        <v>38.308496820818377</v>
      </c>
      <c r="H10" s="302">
        <v>35.495822297392081</v>
      </c>
      <c r="I10" s="302" t="s">
        <v>806</v>
      </c>
      <c r="J10" s="302" t="s">
        <v>806</v>
      </c>
      <c r="K10" s="302" t="s">
        <v>806</v>
      </c>
    </row>
    <row r="11" spans="1:11" s="56" customFormat="1" ht="20.100000000000001" customHeight="1">
      <c r="A11" s="301">
        <v>7</v>
      </c>
      <c r="B11" s="118" t="s">
        <v>20</v>
      </c>
      <c r="C11" s="302">
        <v>17.381218602369415</v>
      </c>
      <c r="D11" s="302">
        <v>19.592666573779432</v>
      </c>
      <c r="E11" s="302">
        <v>18.49772814164384</v>
      </c>
      <c r="F11" s="302">
        <v>17.987594374684356</v>
      </c>
      <c r="G11" s="302">
        <v>19.314020885249864</v>
      </c>
      <c r="H11" s="302">
        <v>18.648408662130933</v>
      </c>
      <c r="I11" s="302">
        <v>10.317781384983382</v>
      </c>
      <c r="J11" s="302">
        <v>13.11206295476758</v>
      </c>
      <c r="K11" s="302">
        <v>11.763713625187238</v>
      </c>
    </row>
    <row r="12" spans="1:11" s="56" customFormat="1" ht="20.100000000000001" customHeight="1">
      <c r="A12" s="301">
        <v>8</v>
      </c>
      <c r="B12" s="118" t="s">
        <v>155</v>
      </c>
      <c r="C12" s="302">
        <v>7.3728593974512995</v>
      </c>
      <c r="D12" s="302">
        <v>12.915099940629329</v>
      </c>
      <c r="E12" s="302">
        <v>9.440621400513896</v>
      </c>
      <c r="F12" s="302">
        <v>18.312097010302789</v>
      </c>
      <c r="G12" s="302">
        <v>22.727718061395137</v>
      </c>
      <c r="H12" s="302">
        <v>20.1870055106161</v>
      </c>
      <c r="I12" s="302">
        <v>4.6213892082819266</v>
      </c>
      <c r="J12" s="302">
        <v>5.3295013650357941</v>
      </c>
      <c r="K12" s="302">
        <v>4.9900035341800093</v>
      </c>
    </row>
    <row r="13" spans="1:11" s="56" customFormat="1" ht="20.100000000000001" customHeight="1">
      <c r="A13" s="301">
        <v>9</v>
      </c>
      <c r="B13" s="118" t="s">
        <v>156</v>
      </c>
      <c r="C13" s="302">
        <v>4.4293428796796315</v>
      </c>
      <c r="D13" s="302">
        <v>11.425198399685184</v>
      </c>
      <c r="E13" s="302">
        <v>6.0782191992580001</v>
      </c>
      <c r="F13" s="302">
        <v>16.836848515686562</v>
      </c>
      <c r="G13" s="302">
        <v>31.674345777199427</v>
      </c>
      <c r="H13" s="302">
        <v>23.260262157198813</v>
      </c>
      <c r="I13" s="302">
        <v>9.8912979447414742</v>
      </c>
      <c r="J13" s="302">
        <v>21.808673933783993</v>
      </c>
      <c r="K13" s="302">
        <v>15.503764918257115</v>
      </c>
    </row>
    <row r="14" spans="1:11" s="56" customFormat="1" ht="20.100000000000001" customHeight="1">
      <c r="A14" s="301">
        <v>10</v>
      </c>
      <c r="B14" s="118" t="s">
        <v>23</v>
      </c>
      <c r="C14" s="302">
        <v>44.876562642966029</v>
      </c>
      <c r="D14" s="302">
        <v>51.810631058383962</v>
      </c>
      <c r="E14" s="302">
        <v>48.020054842227921</v>
      </c>
      <c r="F14" s="302">
        <v>35.148781032766465</v>
      </c>
      <c r="G14" s="302">
        <v>40.858113070484727</v>
      </c>
      <c r="H14" s="302">
        <v>37.79436905862579</v>
      </c>
      <c r="I14" s="302" t="s">
        <v>806</v>
      </c>
      <c r="J14" s="302" t="s">
        <v>806</v>
      </c>
      <c r="K14" s="302" t="s">
        <v>806</v>
      </c>
    </row>
    <row r="15" spans="1:11" s="56" customFormat="1" ht="20.100000000000001" customHeight="1">
      <c r="A15" s="301">
        <v>11</v>
      </c>
      <c r="B15" s="118" t="s">
        <v>24</v>
      </c>
      <c r="C15" s="302">
        <v>23.771347248576848</v>
      </c>
      <c r="D15" s="302">
        <v>34.586119149785453</v>
      </c>
      <c r="E15" s="302">
        <v>28.443481634764613</v>
      </c>
      <c r="F15" s="302">
        <v>30.361385464038079</v>
      </c>
      <c r="G15" s="302">
        <v>33.227009785885677</v>
      </c>
      <c r="H15" s="302">
        <v>31.710052027364227</v>
      </c>
      <c r="I15" s="302">
        <v>20.636254182588385</v>
      </c>
      <c r="J15" s="302">
        <v>32.700425871793712</v>
      </c>
      <c r="K15" s="302">
        <v>26.366354351611427</v>
      </c>
    </row>
    <row r="16" spans="1:11" s="56" customFormat="1" ht="20.100000000000001" customHeight="1">
      <c r="A16" s="301">
        <v>12</v>
      </c>
      <c r="B16" s="118" t="s">
        <v>25</v>
      </c>
      <c r="C16" s="302">
        <v>22.86429431090864</v>
      </c>
      <c r="D16" s="302">
        <v>19.633138264770562</v>
      </c>
      <c r="E16" s="302">
        <v>21.320100713062168</v>
      </c>
      <c r="F16" s="302">
        <v>29.198029742803282</v>
      </c>
      <c r="G16" s="302">
        <v>26.024295576434216</v>
      </c>
      <c r="H16" s="302">
        <v>27.687778584961663</v>
      </c>
      <c r="I16" s="302">
        <v>16.427953897731104</v>
      </c>
      <c r="J16" s="302">
        <v>16.901933630573396</v>
      </c>
      <c r="K16" s="302">
        <v>16.664763174113723</v>
      </c>
    </row>
    <row r="17" spans="1:11" s="56" customFormat="1" ht="20.100000000000001" customHeight="1">
      <c r="A17" s="301">
        <v>13</v>
      </c>
      <c r="B17" s="118" t="s">
        <v>26</v>
      </c>
      <c r="C17" s="302">
        <v>26.648198548283212</v>
      </c>
      <c r="D17" s="302">
        <v>32.530456859773288</v>
      </c>
      <c r="E17" s="302">
        <v>29.336238231845719</v>
      </c>
      <c r="F17" s="302">
        <v>17.383954076172568</v>
      </c>
      <c r="G17" s="302">
        <v>21.602875627224005</v>
      </c>
      <c r="H17" s="302">
        <v>19.296325049334875</v>
      </c>
      <c r="I17" s="302" t="s">
        <v>806</v>
      </c>
      <c r="J17" s="302" t="s">
        <v>806</v>
      </c>
      <c r="K17" s="302" t="s">
        <v>806</v>
      </c>
    </row>
    <row r="18" spans="1:11" s="56" customFormat="1" ht="20.100000000000001" customHeight="1">
      <c r="A18" s="301">
        <v>14</v>
      </c>
      <c r="B18" s="118" t="s">
        <v>27</v>
      </c>
      <c r="C18" s="302">
        <v>35.743614556837137</v>
      </c>
      <c r="D18" s="302">
        <v>46.41848273663517</v>
      </c>
      <c r="E18" s="302">
        <v>40.846366145354189</v>
      </c>
      <c r="F18" s="302">
        <v>25.115664267285048</v>
      </c>
      <c r="G18" s="302">
        <v>33.584539930801604</v>
      </c>
      <c r="H18" s="302">
        <v>29.229618866903369</v>
      </c>
      <c r="I18" s="302">
        <v>35.35089146500453</v>
      </c>
      <c r="J18" s="302">
        <v>43.688962939248235</v>
      </c>
      <c r="K18" s="302">
        <v>39.484359467480111</v>
      </c>
    </row>
    <row r="19" spans="1:11" s="56" customFormat="1" ht="20.100000000000001" customHeight="1">
      <c r="A19" s="301">
        <v>15</v>
      </c>
      <c r="B19" s="118" t="s">
        <v>57</v>
      </c>
      <c r="C19" s="302">
        <v>31.682656699866548</v>
      </c>
      <c r="D19" s="302">
        <v>33.205706282959412</v>
      </c>
      <c r="E19" s="302">
        <v>32.420375884734668</v>
      </c>
      <c r="F19" s="302">
        <v>17.347117216647657</v>
      </c>
      <c r="G19" s="302">
        <v>23.573945363294875</v>
      </c>
      <c r="H19" s="302">
        <v>20.340568650313585</v>
      </c>
      <c r="I19" s="302">
        <v>22.985173009299004</v>
      </c>
      <c r="J19" s="302">
        <v>19.166829890148446</v>
      </c>
      <c r="K19" s="302">
        <v>21.089463604758155</v>
      </c>
    </row>
    <row r="20" spans="1:11" s="56" customFormat="1" ht="20.100000000000001" customHeight="1">
      <c r="A20" s="301">
        <v>16</v>
      </c>
      <c r="B20" s="118" t="s">
        <v>29</v>
      </c>
      <c r="C20" s="302">
        <v>20.959152978712716</v>
      </c>
      <c r="D20" s="302">
        <v>20.867103375387394</v>
      </c>
      <c r="E20" s="302">
        <v>20.913035782072232</v>
      </c>
      <c r="F20" s="302">
        <v>16.976080797613424</v>
      </c>
      <c r="G20" s="302">
        <v>15.115214273391212</v>
      </c>
      <c r="H20" s="302">
        <v>16.058369442650537</v>
      </c>
      <c r="I20" s="302">
        <v>14.735412339897467</v>
      </c>
      <c r="J20" s="302">
        <v>16.459328971634907</v>
      </c>
      <c r="K20" s="302">
        <v>15.639539454462458</v>
      </c>
    </row>
    <row r="21" spans="1:11" s="56" customFormat="1" ht="20.100000000000001" customHeight="1">
      <c r="A21" s="301">
        <v>17</v>
      </c>
      <c r="B21" s="118" t="s">
        <v>30</v>
      </c>
      <c r="C21" s="302">
        <v>31.228262979978208</v>
      </c>
      <c r="D21" s="302">
        <v>32.747303435101422</v>
      </c>
      <c r="E21" s="302">
        <v>31.973262719790497</v>
      </c>
      <c r="F21" s="302">
        <v>23.264952699981073</v>
      </c>
      <c r="G21" s="302">
        <v>23.09898435595839</v>
      </c>
      <c r="H21" s="302">
        <v>23.18288698719627</v>
      </c>
      <c r="I21" s="302">
        <v>20.909932222935026</v>
      </c>
      <c r="J21" s="302">
        <v>20.975355268122691</v>
      </c>
      <c r="K21" s="302">
        <v>20.942015212008268</v>
      </c>
    </row>
    <row r="22" spans="1:11" s="56" customFormat="1" ht="20.100000000000001" customHeight="1">
      <c r="A22" s="301">
        <v>18</v>
      </c>
      <c r="B22" s="118" t="s">
        <v>31</v>
      </c>
      <c r="C22" s="302">
        <v>32.895316215656941</v>
      </c>
      <c r="D22" s="302">
        <v>44.735095186519544</v>
      </c>
      <c r="E22" s="302">
        <v>38.786546896879905</v>
      </c>
      <c r="F22" s="302">
        <v>18.699833770291558</v>
      </c>
      <c r="G22" s="302">
        <v>34.827944150191634</v>
      </c>
      <c r="H22" s="302">
        <v>26.718337834033647</v>
      </c>
      <c r="I22" s="302">
        <v>19.123460659653617</v>
      </c>
      <c r="J22" s="302">
        <v>28.682321899152136</v>
      </c>
      <c r="K22" s="302">
        <v>24.023176974524294</v>
      </c>
    </row>
    <row r="23" spans="1:11" s="56" customFormat="1" ht="20.100000000000001" customHeight="1">
      <c r="A23" s="301">
        <v>19</v>
      </c>
      <c r="B23" s="303" t="s">
        <v>761</v>
      </c>
      <c r="C23" s="302">
        <v>5.0311770575723429</v>
      </c>
      <c r="D23" s="302">
        <v>11.343479023681462</v>
      </c>
      <c r="E23" s="302">
        <v>7.9178384460905882</v>
      </c>
      <c r="F23" s="302">
        <v>0</v>
      </c>
      <c r="G23" s="302">
        <v>0</v>
      </c>
      <c r="H23" s="302">
        <v>0</v>
      </c>
      <c r="I23" s="302">
        <v>5.1649164988758454</v>
      </c>
      <c r="J23" s="302">
        <v>12.564021960429297</v>
      </c>
      <c r="K23" s="302">
        <v>8.5485809940340616</v>
      </c>
    </row>
    <row r="24" spans="1:11" s="56" customFormat="1" ht="20.100000000000001" customHeight="1">
      <c r="A24" s="301">
        <v>20</v>
      </c>
      <c r="B24" s="118" t="s">
        <v>32</v>
      </c>
      <c r="C24" s="302">
        <v>3.5551991446137401</v>
      </c>
      <c r="D24" s="302">
        <v>11.534305780659102</v>
      </c>
      <c r="E24" s="302">
        <v>7.5238479107886596</v>
      </c>
      <c r="F24" s="302" t="s">
        <v>806</v>
      </c>
      <c r="G24" s="302" t="s">
        <v>806</v>
      </c>
      <c r="H24" s="302" t="s">
        <v>806</v>
      </c>
      <c r="I24" s="302">
        <v>2.1098455683042796</v>
      </c>
      <c r="J24" s="302">
        <v>7.2415121922090497</v>
      </c>
      <c r="K24" s="302">
        <v>4.7570743107742306</v>
      </c>
    </row>
    <row r="25" spans="1:11" s="56" customFormat="1" ht="20.100000000000001" customHeight="1">
      <c r="A25" s="301">
        <v>21</v>
      </c>
      <c r="B25" s="118" t="s">
        <v>33</v>
      </c>
      <c r="C25" s="302">
        <v>24.162991088892159</v>
      </c>
      <c r="D25" s="302">
        <v>24.219015878543821</v>
      </c>
      <c r="E25" s="302">
        <v>24.189597588660206</v>
      </c>
      <c r="F25" s="302">
        <v>22.928701665340395</v>
      </c>
      <c r="G25" s="302">
        <v>23.508761759432559</v>
      </c>
      <c r="H25" s="302">
        <v>23.196006155802515</v>
      </c>
      <c r="I25" s="302">
        <v>12.554072078574336</v>
      </c>
      <c r="J25" s="302">
        <v>12.281128032690285</v>
      </c>
      <c r="K25" s="302">
        <v>12.416366909306054</v>
      </c>
    </row>
    <row r="26" spans="1:11" s="56" customFormat="1" ht="20.100000000000001" customHeight="1">
      <c r="A26" s="301">
        <v>22</v>
      </c>
      <c r="B26" s="118" t="s">
        <v>34</v>
      </c>
      <c r="C26" s="302">
        <v>33.524835212854832</v>
      </c>
      <c r="D26" s="302">
        <v>31.021509418546781</v>
      </c>
      <c r="E26" s="302">
        <v>32.3311189157047</v>
      </c>
      <c r="F26" s="302">
        <v>30.644354926106342</v>
      </c>
      <c r="G26" s="302">
        <v>30.797509826925904</v>
      </c>
      <c r="H26" s="302">
        <v>30.718140358535098</v>
      </c>
      <c r="I26" s="302">
        <v>17.409109401379311</v>
      </c>
      <c r="J26" s="302">
        <v>13.507591899809025</v>
      </c>
      <c r="K26" s="302">
        <v>15.449006658059213</v>
      </c>
    </row>
    <row r="27" spans="1:11" s="56" customFormat="1" ht="20.100000000000001" customHeight="1">
      <c r="A27" s="301">
        <v>23</v>
      </c>
      <c r="B27" s="118" t="s">
        <v>35</v>
      </c>
      <c r="C27" s="302">
        <v>37.749809447677123</v>
      </c>
      <c r="D27" s="302">
        <v>38.889907696069443</v>
      </c>
      <c r="E27" s="302">
        <v>38.323747626652882</v>
      </c>
      <c r="F27" s="302">
        <v>68.700343301641226</v>
      </c>
      <c r="G27" s="302">
        <v>65.901499912021265</v>
      </c>
      <c r="H27" s="302">
        <v>67.291714995391175</v>
      </c>
      <c r="I27" s="302">
        <v>23.053909248791246</v>
      </c>
      <c r="J27" s="302">
        <v>23.977365842484833</v>
      </c>
      <c r="K27" s="302">
        <v>23.51444800310535</v>
      </c>
    </row>
    <row r="28" spans="1:11" s="56" customFormat="1" ht="20.100000000000001" customHeight="1">
      <c r="A28" s="301">
        <v>24</v>
      </c>
      <c r="B28" s="118" t="s">
        <v>36</v>
      </c>
      <c r="C28" s="302">
        <v>24.16003201610507</v>
      </c>
      <c r="D28" s="302">
        <v>28.003687090486366</v>
      </c>
      <c r="E28" s="302">
        <v>26.112856124400061</v>
      </c>
      <c r="F28" s="302">
        <v>99.768873948929439</v>
      </c>
      <c r="G28" s="302">
        <v>82.333922048545986</v>
      </c>
      <c r="H28" s="302">
        <v>91.566894199178037</v>
      </c>
      <c r="I28" s="302">
        <v>20.620576618826775</v>
      </c>
      <c r="J28" s="302">
        <v>26.330590847097756</v>
      </c>
      <c r="K28" s="302">
        <v>23.554377754048144</v>
      </c>
    </row>
    <row r="29" spans="1:11" s="56" customFormat="1" ht="20.100000000000001" customHeight="1">
      <c r="A29" s="301">
        <v>25</v>
      </c>
      <c r="B29" s="118" t="s">
        <v>37</v>
      </c>
      <c r="C29" s="302">
        <v>27.184712164667477</v>
      </c>
      <c r="D29" s="302">
        <v>25.127355689595898</v>
      </c>
      <c r="E29" s="302">
        <v>26.148871387772122</v>
      </c>
      <c r="F29" s="302">
        <v>150.38663719946805</v>
      </c>
      <c r="G29" s="302">
        <v>100.41940735289893</v>
      </c>
      <c r="H29" s="302">
        <v>132.29829641371276</v>
      </c>
      <c r="I29" s="302">
        <v>26.670061210587246</v>
      </c>
      <c r="J29" s="302">
        <v>25.402365036997647</v>
      </c>
      <c r="K29" s="302">
        <v>26.02465530115283</v>
      </c>
    </row>
    <row r="30" spans="1:11" s="56" customFormat="1" ht="20.100000000000001" customHeight="1">
      <c r="A30" s="301">
        <v>26</v>
      </c>
      <c r="B30" s="118" t="s">
        <v>38</v>
      </c>
      <c r="C30" s="302">
        <v>16.52538570111529</v>
      </c>
      <c r="D30" s="302">
        <v>20.519877417666375</v>
      </c>
      <c r="E30" s="302">
        <v>18.488507177827568</v>
      </c>
      <c r="F30" s="302" t="s">
        <v>806</v>
      </c>
      <c r="G30" s="302" t="s">
        <v>806</v>
      </c>
      <c r="H30" s="302" t="s">
        <v>806</v>
      </c>
      <c r="I30" s="302">
        <v>17.394600810937252</v>
      </c>
      <c r="J30" s="302">
        <v>21.145924853532488</v>
      </c>
      <c r="K30" s="302">
        <v>19.272513142088535</v>
      </c>
    </row>
    <row r="31" spans="1:11" s="56" customFormat="1" ht="20.100000000000001" customHeight="1">
      <c r="A31" s="301">
        <v>27</v>
      </c>
      <c r="B31" s="118" t="s">
        <v>39</v>
      </c>
      <c r="C31" s="302">
        <v>23.046630553923723</v>
      </c>
      <c r="D31" s="302">
        <v>20.300242886460605</v>
      </c>
      <c r="E31" s="302">
        <v>21.674110094473189</v>
      </c>
      <c r="F31" s="302">
        <v>21.830857110888552</v>
      </c>
      <c r="G31" s="302">
        <v>17.560944508610181</v>
      </c>
      <c r="H31" s="302">
        <v>19.696531817955602</v>
      </c>
      <c r="I31" s="302">
        <v>14.597237616955018</v>
      </c>
      <c r="J31" s="302">
        <v>12.424860858510412</v>
      </c>
      <c r="K31" s="302">
        <v>13.465459253812066</v>
      </c>
    </row>
    <row r="32" spans="1:11" s="56" customFormat="1" ht="20.100000000000001" customHeight="1">
      <c r="A32" s="301">
        <v>28</v>
      </c>
      <c r="B32" s="118" t="s">
        <v>40</v>
      </c>
      <c r="C32" s="302">
        <v>40.993575280947162</v>
      </c>
      <c r="D32" s="302">
        <v>52.565788649657435</v>
      </c>
      <c r="E32" s="302">
        <v>46.336681760613473</v>
      </c>
      <c r="F32" s="302">
        <v>33.358653348277549</v>
      </c>
      <c r="G32" s="302">
        <v>38.317541295635564</v>
      </c>
      <c r="H32" s="302">
        <v>35.733667071188577</v>
      </c>
      <c r="I32" s="302" t="s">
        <v>806</v>
      </c>
      <c r="J32" s="302" t="s">
        <v>806</v>
      </c>
      <c r="K32" s="302" t="s">
        <v>806</v>
      </c>
    </row>
    <row r="33" spans="1:11" s="56" customFormat="1" ht="20.100000000000001" customHeight="1">
      <c r="A33" s="301">
        <v>29</v>
      </c>
      <c r="B33" s="118" t="s">
        <v>41</v>
      </c>
      <c r="C33" s="302">
        <v>25.086806528346379</v>
      </c>
      <c r="D33" s="302">
        <v>32.110299354008433</v>
      </c>
      <c r="E33" s="302">
        <v>28.242320652820034</v>
      </c>
      <c r="F33" s="302">
        <v>15.777357888963387</v>
      </c>
      <c r="G33" s="302">
        <v>22.360242819251688</v>
      </c>
      <c r="H33" s="302">
        <v>18.77753758488641</v>
      </c>
      <c r="I33" s="302" t="s">
        <v>806</v>
      </c>
      <c r="J33" s="302" t="s">
        <v>806</v>
      </c>
      <c r="K33" s="302" t="s">
        <v>806</v>
      </c>
    </row>
    <row r="34" spans="1:11" s="56" customFormat="1" ht="20.100000000000001" customHeight="1">
      <c r="A34" s="301">
        <v>30</v>
      </c>
      <c r="B34" s="304" t="s">
        <v>42</v>
      </c>
      <c r="C34" s="302">
        <v>24.289268620803448</v>
      </c>
      <c r="D34" s="302">
        <v>23.893462693399933</v>
      </c>
      <c r="E34" s="302">
        <v>24.098339690156607</v>
      </c>
      <c r="F34" s="302">
        <v>21.515362260609646</v>
      </c>
      <c r="G34" s="302">
        <v>21.437766382272798</v>
      </c>
      <c r="H34" s="302">
        <v>21.478842067576334</v>
      </c>
      <c r="I34" s="302">
        <v>22.24583179953461</v>
      </c>
      <c r="J34" s="302">
        <v>22.321034040614673</v>
      </c>
      <c r="K34" s="302">
        <v>22.283066481923182</v>
      </c>
    </row>
    <row r="35" spans="1:11" s="56" customFormat="1" ht="20.100000000000001" customHeight="1">
      <c r="A35" s="301">
        <v>31</v>
      </c>
      <c r="B35" s="119" t="s">
        <v>43</v>
      </c>
      <c r="C35" s="302">
        <v>83.596398037132602</v>
      </c>
      <c r="D35" s="302">
        <v>67.559467559467564</v>
      </c>
      <c r="E35" s="302">
        <v>75.839417011662377</v>
      </c>
      <c r="F35" s="302">
        <v>37.50054957073948</v>
      </c>
      <c r="G35" s="302">
        <v>32.244287469570963</v>
      </c>
      <c r="H35" s="302">
        <v>34.795195425751956</v>
      </c>
      <c r="I35" s="302">
        <v>28.139105402176124</v>
      </c>
      <c r="J35" s="302">
        <v>42.022875690622023</v>
      </c>
      <c r="K35" s="302">
        <v>35.124577805152342</v>
      </c>
    </row>
    <row r="36" spans="1:11" s="56" customFormat="1" ht="20.100000000000001" customHeight="1">
      <c r="A36" s="301">
        <v>32</v>
      </c>
      <c r="B36" s="116" t="s">
        <v>44</v>
      </c>
      <c r="C36" s="302">
        <v>51.751946097458685</v>
      </c>
      <c r="D36" s="302">
        <v>50.986079633254356</v>
      </c>
      <c r="E36" s="302">
        <v>51.370081001417958</v>
      </c>
      <c r="F36" s="302">
        <v>38.816199853195883</v>
      </c>
      <c r="G36" s="302">
        <v>40.415475901572243</v>
      </c>
      <c r="H36" s="302">
        <v>39.622272252026519</v>
      </c>
      <c r="I36" s="302">
        <v>43.775110829708176</v>
      </c>
      <c r="J36" s="302">
        <v>37.747233162916636</v>
      </c>
      <c r="K36" s="302">
        <v>40.695724050751238</v>
      </c>
    </row>
    <row r="37" spans="1:11" s="56" customFormat="1" ht="20.100000000000001" customHeight="1">
      <c r="A37" s="301">
        <v>33</v>
      </c>
      <c r="B37" s="116" t="s">
        <v>134</v>
      </c>
      <c r="C37" s="302">
        <v>34.788310199489011</v>
      </c>
      <c r="D37" s="302">
        <v>36.418171897591797</v>
      </c>
      <c r="E37" s="302">
        <v>35.610439005814342</v>
      </c>
      <c r="F37" s="302">
        <v>29.128455204917969</v>
      </c>
      <c r="G37" s="302">
        <v>35.787681968616006</v>
      </c>
      <c r="H37" s="302">
        <v>32.464756558740945</v>
      </c>
      <c r="I37" s="302">
        <v>31.254334450318343</v>
      </c>
      <c r="J37" s="302">
        <v>29.106177644574597</v>
      </c>
      <c r="K37" s="302">
        <v>30.165263362766851</v>
      </c>
    </row>
    <row r="38" spans="1:11" s="56" customFormat="1" ht="20.100000000000001" customHeight="1">
      <c r="A38" s="301">
        <v>34</v>
      </c>
      <c r="B38" s="116" t="s">
        <v>45</v>
      </c>
      <c r="C38" s="302">
        <v>22.505455171885764</v>
      </c>
      <c r="D38" s="302">
        <v>17.989898572863769</v>
      </c>
      <c r="E38" s="302">
        <v>20.200016394786459</v>
      </c>
      <c r="F38" s="302">
        <v>19.590387031083953</v>
      </c>
      <c r="G38" s="302">
        <v>14.811758397241789</v>
      </c>
      <c r="H38" s="302">
        <v>17.213373157309864</v>
      </c>
      <c r="I38" s="302">
        <v>15.536883130813331</v>
      </c>
      <c r="J38" s="302">
        <v>10.732090956638507</v>
      </c>
      <c r="K38" s="302">
        <v>12.99321250799867</v>
      </c>
    </row>
    <row r="39" spans="1:11" s="56" customFormat="1" ht="20.100000000000001" customHeight="1">
      <c r="A39" s="301">
        <v>35</v>
      </c>
      <c r="B39" s="118" t="s">
        <v>47</v>
      </c>
      <c r="C39" s="302">
        <v>23.740527422460588</v>
      </c>
      <c r="D39" s="302">
        <v>26.923296982836746</v>
      </c>
      <c r="E39" s="302">
        <v>25.260485083131417</v>
      </c>
      <c r="F39" s="302">
        <v>21.444006891508891</v>
      </c>
      <c r="G39" s="302">
        <v>26.108254814018839</v>
      </c>
      <c r="H39" s="302">
        <v>23.607127365240025</v>
      </c>
      <c r="I39" s="302">
        <v>38.079993693498253</v>
      </c>
      <c r="J39" s="302">
        <v>39.894020549190209</v>
      </c>
      <c r="K39" s="302">
        <v>38.987530960843046</v>
      </c>
    </row>
    <row r="40" spans="1:11" s="56" customFormat="1" ht="20.100000000000001" customHeight="1">
      <c r="A40" s="301">
        <v>36</v>
      </c>
      <c r="B40" s="118" t="s">
        <v>46</v>
      </c>
      <c r="C40" s="302">
        <v>40.713296070377581</v>
      </c>
      <c r="D40" s="302">
        <v>42.321146546230359</v>
      </c>
      <c r="E40" s="302">
        <v>41.494313110759116</v>
      </c>
      <c r="F40" s="302">
        <v>29.732738779533019</v>
      </c>
      <c r="G40" s="302">
        <v>32.628659905696566</v>
      </c>
      <c r="H40" s="302">
        <v>31.13636218028989</v>
      </c>
      <c r="I40" s="302">
        <v>45.610793403468428</v>
      </c>
      <c r="J40" s="302">
        <v>45.971102900877568</v>
      </c>
      <c r="K40" s="302">
        <v>45.791065961262326</v>
      </c>
    </row>
    <row r="41" spans="1:11" s="56" customFormat="1" ht="20.100000000000001" customHeight="1">
      <c r="A41" s="301">
        <v>37</v>
      </c>
      <c r="B41" s="118" t="s">
        <v>48</v>
      </c>
      <c r="C41" s="302">
        <v>20.337603429767007</v>
      </c>
      <c r="D41" s="302">
        <v>19.578298284218526</v>
      </c>
      <c r="E41" s="302">
        <v>19.946929862254137</v>
      </c>
      <c r="F41" s="302">
        <v>15.060073271938538</v>
      </c>
      <c r="G41" s="302">
        <v>14.838280654223324</v>
      </c>
      <c r="H41" s="302">
        <v>14.948391191211073</v>
      </c>
      <c r="I41" s="302">
        <v>11.422043161210377</v>
      </c>
      <c r="J41" s="302">
        <v>10.618677057106122</v>
      </c>
      <c r="K41" s="302">
        <v>11.000917369905229</v>
      </c>
    </row>
    <row r="42" spans="1:11" s="57" customFormat="1" ht="24" customHeight="1">
      <c r="A42" s="879" t="s">
        <v>49</v>
      </c>
      <c r="B42" s="880"/>
      <c r="C42" s="305">
        <v>26.893429865798634</v>
      </c>
      <c r="D42" s="305">
        <v>27.267660773461433</v>
      </c>
      <c r="E42" s="305">
        <v>27.075605915725895</v>
      </c>
      <c r="F42" s="305">
        <v>22.837552501083465</v>
      </c>
      <c r="G42" s="305">
        <v>24.050789284490541</v>
      </c>
      <c r="H42" s="305">
        <v>23.423016246421835</v>
      </c>
      <c r="I42" s="305">
        <v>18.243554032200709</v>
      </c>
      <c r="J42" s="305">
        <v>17.743894623336502</v>
      </c>
      <c r="K42" s="305">
        <v>17.989002581322332</v>
      </c>
    </row>
  </sheetData>
  <mergeCells count="7">
    <mergeCell ref="A42:B42"/>
    <mergeCell ref="A1:K1"/>
    <mergeCell ref="A2:A3"/>
    <mergeCell ref="B2:B3"/>
    <mergeCell ref="C2:E2"/>
    <mergeCell ref="F2:H2"/>
    <mergeCell ref="I2:K2"/>
  </mergeCells>
  <printOptions horizontalCentered="1"/>
  <pageMargins left="0.5" right="0.5" top="0.5" bottom="0.5" header="0.27559055118110198" footer="0.31496062992126"/>
  <pageSetup paperSize="9" scale="90" firstPageNumber="23" orientation="portrait" useFirstPageNumber="1" r:id="rId1"/>
  <headerFooter alignWithMargins="0">
    <oddFooter>&amp;L    AISHE 2019-20&amp;CT-19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M42"/>
  <sheetViews>
    <sheetView view="pageBreakPreview" topLeftCell="A22" zoomScaleSheetLayoutView="100" workbookViewId="0">
      <selection activeCell="G32" sqref="G32"/>
    </sheetView>
  </sheetViews>
  <sheetFormatPr defaultColWidth="9.140625" defaultRowHeight="14.25"/>
  <cols>
    <col min="1" max="1" width="26.5703125" style="26" customWidth="1"/>
    <col min="2" max="2" width="13.42578125" style="26" customWidth="1"/>
    <col min="3" max="4" width="11.28515625" style="26" customWidth="1"/>
    <col min="5" max="6" width="13.42578125" style="26" customWidth="1"/>
    <col min="7" max="9" width="11.85546875" style="26" customWidth="1"/>
    <col min="10" max="10" width="14.42578125" style="26" customWidth="1"/>
    <col min="11" max="11" width="11.85546875" style="26" customWidth="1"/>
    <col min="12" max="16384" width="9.140625" style="26"/>
  </cols>
  <sheetData>
    <row r="1" spans="1:13" s="6" customFormat="1" ht="27" customHeight="1">
      <c r="A1" s="52" t="s">
        <v>53</v>
      </c>
      <c r="B1" s="53" t="s">
        <v>79</v>
      </c>
      <c r="G1" s="53" t="s">
        <v>67</v>
      </c>
    </row>
    <row r="2" spans="1:13" s="31" customFormat="1" ht="36" customHeight="1">
      <c r="A2" s="40" t="s">
        <v>2</v>
      </c>
      <c r="B2" s="30" t="s">
        <v>61</v>
      </c>
      <c r="C2" s="30" t="s">
        <v>62</v>
      </c>
      <c r="D2" s="30" t="s">
        <v>63</v>
      </c>
      <c r="E2" s="30" t="s">
        <v>64</v>
      </c>
      <c r="F2" s="30" t="s">
        <v>12</v>
      </c>
      <c r="G2" s="30" t="s">
        <v>61</v>
      </c>
      <c r="H2" s="30" t="s">
        <v>62</v>
      </c>
      <c r="I2" s="30" t="s">
        <v>63</v>
      </c>
      <c r="J2" s="30" t="s">
        <v>64</v>
      </c>
      <c r="K2" s="30" t="s">
        <v>12</v>
      </c>
    </row>
    <row r="3" spans="1:13" s="27" customFormat="1" ht="18" customHeight="1">
      <c r="A3" s="32" t="s">
        <v>55</v>
      </c>
      <c r="B3" s="33">
        <v>0</v>
      </c>
      <c r="C3" s="33">
        <v>0</v>
      </c>
      <c r="D3" s="33">
        <f>B3+C3</f>
        <v>0</v>
      </c>
      <c r="E3" s="33">
        <v>5</v>
      </c>
      <c r="F3" s="28">
        <f>D3+E3</f>
        <v>5</v>
      </c>
      <c r="G3" s="33">
        <v>0</v>
      </c>
      <c r="H3" s="33">
        <v>0</v>
      </c>
      <c r="I3" s="33">
        <f>G3+H3</f>
        <v>0</v>
      </c>
      <c r="J3" s="33">
        <v>2458</v>
      </c>
      <c r="K3" s="28">
        <f>I3+J3</f>
        <v>2458</v>
      </c>
      <c r="M3" s="41">
        <f>B3/F3%</f>
        <v>0</v>
      </c>
    </row>
    <row r="4" spans="1:13" s="27" customFormat="1" ht="18" customHeight="1">
      <c r="A4" s="28" t="s">
        <v>15</v>
      </c>
      <c r="B4" s="33">
        <v>2916</v>
      </c>
      <c r="C4" s="33">
        <v>261</v>
      </c>
      <c r="D4" s="33">
        <f t="shared" ref="D4:D36" si="0">B4+C4</f>
        <v>3177</v>
      </c>
      <c r="E4" s="33">
        <v>434</v>
      </c>
      <c r="F4" s="28">
        <f t="shared" ref="F4:F36" si="1">D4+E4</f>
        <v>3611</v>
      </c>
      <c r="G4" s="33">
        <v>1348119</v>
      </c>
      <c r="H4" s="33">
        <v>186649</v>
      </c>
      <c r="I4" s="33">
        <f t="shared" ref="I4:I36" si="2">G4+H4</f>
        <v>1534768</v>
      </c>
      <c r="J4" s="33">
        <v>245824</v>
      </c>
      <c r="K4" s="28">
        <f t="shared" ref="K4:K36" si="3">I4+J4</f>
        <v>1780592</v>
      </c>
      <c r="M4" s="41">
        <f t="shared" ref="M4:M37" si="4">B4/F4%</f>
        <v>80.753253946275265</v>
      </c>
    </row>
    <row r="5" spans="1:13" s="27" customFormat="1" ht="18" customHeight="1">
      <c r="A5" s="32" t="s">
        <v>16</v>
      </c>
      <c r="B5" s="33">
        <v>3</v>
      </c>
      <c r="C5" s="33">
        <v>0</v>
      </c>
      <c r="D5" s="33">
        <f t="shared" si="0"/>
        <v>3</v>
      </c>
      <c r="E5" s="33">
        <v>6</v>
      </c>
      <c r="F5" s="28">
        <f t="shared" si="1"/>
        <v>9</v>
      </c>
      <c r="G5" s="33">
        <v>1722</v>
      </c>
      <c r="H5" s="33">
        <v>0</v>
      </c>
      <c r="I5" s="33">
        <f t="shared" si="2"/>
        <v>1722</v>
      </c>
      <c r="J5" s="33">
        <v>15762</v>
      </c>
      <c r="K5" s="28">
        <f t="shared" si="3"/>
        <v>17484</v>
      </c>
      <c r="M5" s="41">
        <f t="shared" si="4"/>
        <v>33.333333333333336</v>
      </c>
    </row>
    <row r="6" spans="1:13" s="27" customFormat="1" ht="18" customHeight="1">
      <c r="A6" s="28" t="s">
        <v>17</v>
      </c>
      <c r="B6" s="33">
        <v>21</v>
      </c>
      <c r="C6" s="33">
        <v>9</v>
      </c>
      <c r="D6" s="33">
        <f t="shared" si="0"/>
        <v>30</v>
      </c>
      <c r="E6" s="33">
        <v>142</v>
      </c>
      <c r="F6" s="28">
        <f t="shared" si="1"/>
        <v>172</v>
      </c>
      <c r="G6" s="33">
        <v>5011</v>
      </c>
      <c r="H6" s="33">
        <v>3590</v>
      </c>
      <c r="I6" s="33">
        <f t="shared" si="2"/>
        <v>8601</v>
      </c>
      <c r="J6" s="33">
        <v>164997</v>
      </c>
      <c r="K6" s="28">
        <f t="shared" si="3"/>
        <v>173598</v>
      </c>
      <c r="M6" s="41">
        <f t="shared" si="4"/>
        <v>12.209302325581396</v>
      </c>
    </row>
    <row r="7" spans="1:13" s="27" customFormat="1" ht="18" customHeight="1">
      <c r="A7" s="28" t="s">
        <v>18</v>
      </c>
      <c r="B7" s="33">
        <v>27</v>
      </c>
      <c r="C7" s="33">
        <v>38</v>
      </c>
      <c r="D7" s="33">
        <f t="shared" si="0"/>
        <v>65</v>
      </c>
      <c r="E7" s="33">
        <v>459</v>
      </c>
      <c r="F7" s="28">
        <f t="shared" si="1"/>
        <v>524</v>
      </c>
      <c r="G7" s="33">
        <v>30625</v>
      </c>
      <c r="H7" s="33">
        <v>111021</v>
      </c>
      <c r="I7" s="33">
        <f t="shared" si="2"/>
        <v>141646</v>
      </c>
      <c r="J7" s="33">
        <v>798597</v>
      </c>
      <c r="K7" s="28">
        <f t="shared" si="3"/>
        <v>940243</v>
      </c>
      <c r="M7" s="41">
        <f t="shared" si="4"/>
        <v>5.1526717557251906</v>
      </c>
    </row>
    <row r="8" spans="1:13" s="27" customFormat="1" ht="18" customHeight="1">
      <c r="A8" s="28" t="s">
        <v>19</v>
      </c>
      <c r="B8" s="33">
        <v>1</v>
      </c>
      <c r="C8" s="33">
        <v>3</v>
      </c>
      <c r="D8" s="33">
        <f t="shared" si="0"/>
        <v>4</v>
      </c>
      <c r="E8" s="33">
        <v>9</v>
      </c>
      <c r="F8" s="28">
        <f t="shared" si="1"/>
        <v>13</v>
      </c>
      <c r="G8" s="33">
        <v>18</v>
      </c>
      <c r="H8" s="33">
        <v>2468</v>
      </c>
      <c r="I8" s="33">
        <f t="shared" si="2"/>
        <v>2486</v>
      </c>
      <c r="J8" s="33">
        <v>7985</v>
      </c>
      <c r="K8" s="28">
        <f t="shared" si="3"/>
        <v>10471</v>
      </c>
      <c r="M8" s="41">
        <f t="shared" si="4"/>
        <v>7.6923076923076916</v>
      </c>
    </row>
    <row r="9" spans="1:13" s="27" customFormat="1" ht="18" customHeight="1">
      <c r="A9" s="28" t="s">
        <v>56</v>
      </c>
      <c r="B9" s="33">
        <v>161</v>
      </c>
      <c r="C9" s="33">
        <v>47</v>
      </c>
      <c r="D9" s="33">
        <f t="shared" si="0"/>
        <v>208</v>
      </c>
      <c r="E9" s="33">
        <v>200</v>
      </c>
      <c r="F9" s="28">
        <f t="shared" si="1"/>
        <v>408</v>
      </c>
      <c r="G9" s="33">
        <v>78702</v>
      </c>
      <c r="H9" s="33">
        <v>35478</v>
      </c>
      <c r="I9" s="33">
        <f t="shared" si="2"/>
        <v>114180</v>
      </c>
      <c r="J9" s="33">
        <v>149298</v>
      </c>
      <c r="K9" s="28">
        <f t="shared" si="3"/>
        <v>263478</v>
      </c>
      <c r="M9" s="41">
        <f t="shared" si="4"/>
        <v>39.46078431372549</v>
      </c>
    </row>
    <row r="10" spans="1:13" s="27" customFormat="1" ht="18" customHeight="1">
      <c r="A10" s="32" t="s">
        <v>21</v>
      </c>
      <c r="B10" s="33">
        <v>1</v>
      </c>
      <c r="C10" s="33">
        <v>0</v>
      </c>
      <c r="D10" s="33">
        <f t="shared" si="0"/>
        <v>1</v>
      </c>
      <c r="E10" s="33">
        <v>0</v>
      </c>
      <c r="F10" s="28">
        <f t="shared" si="1"/>
        <v>1</v>
      </c>
      <c r="G10" s="33">
        <v>223</v>
      </c>
      <c r="H10" s="33">
        <v>0</v>
      </c>
      <c r="I10" s="33">
        <f t="shared" si="2"/>
        <v>223</v>
      </c>
      <c r="J10" s="33">
        <v>0</v>
      </c>
      <c r="K10" s="28">
        <f t="shared" si="3"/>
        <v>223</v>
      </c>
      <c r="M10" s="41">
        <f t="shared" si="4"/>
        <v>100</v>
      </c>
    </row>
    <row r="11" spans="1:13" s="27" customFormat="1" ht="18" customHeight="1">
      <c r="A11" s="28" t="s">
        <v>22</v>
      </c>
      <c r="B11" s="33">
        <v>1</v>
      </c>
      <c r="C11" s="33">
        <v>1</v>
      </c>
      <c r="D11" s="33">
        <f t="shared" si="0"/>
        <v>2</v>
      </c>
      <c r="E11" s="33">
        <v>1</v>
      </c>
      <c r="F11" s="28">
        <f t="shared" si="1"/>
        <v>3</v>
      </c>
      <c r="G11" s="33">
        <v>172</v>
      </c>
      <c r="H11" s="33">
        <v>59</v>
      </c>
      <c r="I11" s="33">
        <f t="shared" si="2"/>
        <v>231</v>
      </c>
      <c r="J11" s="33">
        <v>581</v>
      </c>
      <c r="K11" s="28">
        <f t="shared" si="3"/>
        <v>812</v>
      </c>
      <c r="M11" s="41">
        <f t="shared" si="4"/>
        <v>33.333333333333336</v>
      </c>
    </row>
    <row r="12" spans="1:13" s="27" customFormat="1" ht="18" customHeight="1">
      <c r="A12" s="28" t="s">
        <v>23</v>
      </c>
      <c r="B12" s="33">
        <v>59</v>
      </c>
      <c r="C12" s="33">
        <v>11</v>
      </c>
      <c r="D12" s="33">
        <f t="shared" si="0"/>
        <v>70</v>
      </c>
      <c r="E12" s="33">
        <v>69</v>
      </c>
      <c r="F12" s="28">
        <f t="shared" si="1"/>
        <v>139</v>
      </c>
      <c r="G12" s="33">
        <v>33406</v>
      </c>
      <c r="H12" s="33">
        <v>16576</v>
      </c>
      <c r="I12" s="33">
        <f t="shared" si="2"/>
        <v>49982</v>
      </c>
      <c r="J12" s="33">
        <v>100341</v>
      </c>
      <c r="K12" s="28">
        <f t="shared" si="3"/>
        <v>150323</v>
      </c>
      <c r="M12" s="41">
        <f t="shared" si="4"/>
        <v>42.446043165467628</v>
      </c>
    </row>
    <row r="13" spans="1:13" s="27" customFormat="1" ht="18" customHeight="1">
      <c r="A13" s="28" t="s">
        <v>24</v>
      </c>
      <c r="B13" s="33">
        <v>5</v>
      </c>
      <c r="C13" s="33">
        <v>14</v>
      </c>
      <c r="D13" s="33">
        <f t="shared" si="0"/>
        <v>19</v>
      </c>
      <c r="E13" s="33">
        <v>14</v>
      </c>
      <c r="F13" s="28">
        <f t="shared" si="1"/>
        <v>33</v>
      </c>
      <c r="G13" s="33">
        <v>1851</v>
      </c>
      <c r="H13" s="33">
        <v>12391</v>
      </c>
      <c r="I13" s="33">
        <f t="shared" si="2"/>
        <v>14242</v>
      </c>
      <c r="J13" s="33">
        <v>9016</v>
      </c>
      <c r="K13" s="28">
        <f t="shared" si="3"/>
        <v>23258</v>
      </c>
      <c r="M13" s="41">
        <f t="shared" si="4"/>
        <v>15.15151515151515</v>
      </c>
    </row>
    <row r="14" spans="1:13" s="27" customFormat="1" ht="18" customHeight="1">
      <c r="A14" s="28" t="s">
        <v>25</v>
      </c>
      <c r="B14" s="33">
        <v>623</v>
      </c>
      <c r="C14" s="33">
        <v>372</v>
      </c>
      <c r="D14" s="33">
        <f t="shared" si="0"/>
        <v>995</v>
      </c>
      <c r="E14" s="33">
        <v>562</v>
      </c>
      <c r="F14" s="28">
        <f t="shared" si="1"/>
        <v>1557</v>
      </c>
      <c r="G14" s="33">
        <v>236280</v>
      </c>
      <c r="H14" s="33">
        <v>288224</v>
      </c>
      <c r="I14" s="33">
        <f t="shared" si="2"/>
        <v>524504</v>
      </c>
      <c r="J14" s="33">
        <v>446937</v>
      </c>
      <c r="K14" s="28">
        <f t="shared" si="3"/>
        <v>971441</v>
      </c>
      <c r="M14" s="41">
        <f t="shared" si="4"/>
        <v>40.012845215157355</v>
      </c>
    </row>
    <row r="15" spans="1:13" s="27" customFormat="1" ht="18" customHeight="1">
      <c r="A15" s="28" t="s">
        <v>26</v>
      </c>
      <c r="B15" s="33">
        <v>160</v>
      </c>
      <c r="C15" s="33">
        <v>45</v>
      </c>
      <c r="D15" s="33">
        <f t="shared" si="0"/>
        <v>205</v>
      </c>
      <c r="E15" s="33">
        <v>61</v>
      </c>
      <c r="F15" s="28">
        <f t="shared" si="1"/>
        <v>266</v>
      </c>
      <c r="G15" s="33">
        <v>62144</v>
      </c>
      <c r="H15" s="33">
        <v>83273</v>
      </c>
      <c r="I15" s="33">
        <f t="shared" si="2"/>
        <v>145417</v>
      </c>
      <c r="J15" s="33">
        <v>58417</v>
      </c>
      <c r="K15" s="28">
        <f t="shared" si="3"/>
        <v>203834</v>
      </c>
      <c r="M15" s="41">
        <f t="shared" si="4"/>
        <v>60.150375939849624</v>
      </c>
    </row>
    <row r="16" spans="1:13" s="27" customFormat="1" ht="18" customHeight="1">
      <c r="A16" s="28" t="s">
        <v>27</v>
      </c>
      <c r="B16" s="33">
        <v>107</v>
      </c>
      <c r="C16" s="33">
        <v>17</v>
      </c>
      <c r="D16" s="33">
        <f t="shared" si="0"/>
        <v>124</v>
      </c>
      <c r="E16" s="33">
        <v>110</v>
      </c>
      <c r="F16" s="28">
        <f t="shared" si="1"/>
        <v>234</v>
      </c>
      <c r="G16" s="33">
        <v>20103</v>
      </c>
      <c r="H16" s="33">
        <v>7483</v>
      </c>
      <c r="I16" s="33">
        <f t="shared" si="2"/>
        <v>27586</v>
      </c>
      <c r="J16" s="33">
        <v>97600</v>
      </c>
      <c r="K16" s="28">
        <f t="shared" si="3"/>
        <v>125186</v>
      </c>
      <c r="M16" s="41">
        <f t="shared" si="4"/>
        <v>45.726495726495727</v>
      </c>
    </row>
    <row r="17" spans="1:13" s="27" customFormat="1" ht="18" customHeight="1">
      <c r="A17" s="32" t="s">
        <v>57</v>
      </c>
      <c r="B17" s="33">
        <v>44</v>
      </c>
      <c r="C17" s="33">
        <v>4</v>
      </c>
      <c r="D17" s="33">
        <f t="shared" si="0"/>
        <v>48</v>
      </c>
      <c r="E17" s="33">
        <v>70</v>
      </c>
      <c r="F17" s="28">
        <f t="shared" si="1"/>
        <v>118</v>
      </c>
      <c r="G17" s="33">
        <v>20897</v>
      </c>
      <c r="H17" s="33">
        <v>1306</v>
      </c>
      <c r="I17" s="33">
        <f t="shared" si="2"/>
        <v>22203</v>
      </c>
      <c r="J17" s="33">
        <v>142073</v>
      </c>
      <c r="K17" s="28">
        <f t="shared" si="3"/>
        <v>164276</v>
      </c>
      <c r="M17" s="41">
        <f t="shared" si="4"/>
        <v>37.288135593220339</v>
      </c>
    </row>
    <row r="18" spans="1:13" s="27" customFormat="1" ht="18" customHeight="1">
      <c r="A18" s="28" t="s">
        <v>29</v>
      </c>
      <c r="B18" s="33">
        <v>5</v>
      </c>
      <c r="C18" s="33">
        <v>6</v>
      </c>
      <c r="D18" s="33">
        <f t="shared" si="0"/>
        <v>11</v>
      </c>
      <c r="E18" s="33">
        <v>26</v>
      </c>
      <c r="F18" s="28">
        <f t="shared" si="1"/>
        <v>37</v>
      </c>
      <c r="G18" s="33">
        <v>3585</v>
      </c>
      <c r="H18" s="33">
        <v>12643</v>
      </c>
      <c r="I18" s="33">
        <f t="shared" si="2"/>
        <v>16228</v>
      </c>
      <c r="J18" s="33">
        <v>71698</v>
      </c>
      <c r="K18" s="28">
        <f t="shared" si="3"/>
        <v>87926</v>
      </c>
      <c r="M18" s="41">
        <f t="shared" si="4"/>
        <v>13.513513513513514</v>
      </c>
    </row>
    <row r="19" spans="1:13" s="27" customFormat="1" ht="18" customHeight="1">
      <c r="A19" s="28" t="s">
        <v>30</v>
      </c>
      <c r="B19" s="33">
        <v>1886</v>
      </c>
      <c r="C19" s="33">
        <v>384</v>
      </c>
      <c r="D19" s="33">
        <f t="shared" si="0"/>
        <v>2270</v>
      </c>
      <c r="E19" s="33">
        <v>574</v>
      </c>
      <c r="F19" s="28">
        <f t="shared" si="1"/>
        <v>2844</v>
      </c>
      <c r="G19" s="33">
        <v>546886</v>
      </c>
      <c r="H19" s="33">
        <v>295778</v>
      </c>
      <c r="I19" s="33">
        <f t="shared" si="2"/>
        <v>842664</v>
      </c>
      <c r="J19" s="33">
        <v>335489</v>
      </c>
      <c r="K19" s="28">
        <f t="shared" si="3"/>
        <v>1178153</v>
      </c>
      <c r="M19" s="41">
        <f t="shared" si="4"/>
        <v>66.31504922644163</v>
      </c>
    </row>
    <row r="20" spans="1:13" s="27" customFormat="1" ht="18" customHeight="1">
      <c r="A20" s="28" t="s">
        <v>31</v>
      </c>
      <c r="B20" s="33">
        <v>298</v>
      </c>
      <c r="C20" s="33">
        <v>133</v>
      </c>
      <c r="D20" s="33">
        <f t="shared" si="0"/>
        <v>431</v>
      </c>
      <c r="E20" s="33">
        <v>125</v>
      </c>
      <c r="F20" s="28">
        <f t="shared" si="1"/>
        <v>556</v>
      </c>
      <c r="G20" s="33">
        <v>115737</v>
      </c>
      <c r="H20" s="33">
        <v>134459</v>
      </c>
      <c r="I20" s="33">
        <f t="shared" si="2"/>
        <v>250196</v>
      </c>
      <c r="J20" s="33">
        <v>59638</v>
      </c>
      <c r="K20" s="28">
        <f t="shared" si="3"/>
        <v>309834</v>
      </c>
      <c r="M20" s="41">
        <f t="shared" si="4"/>
        <v>53.597122302158276</v>
      </c>
    </row>
    <row r="21" spans="1:13" s="27" customFormat="1" ht="18" customHeight="1">
      <c r="A21" s="28" t="s">
        <v>33</v>
      </c>
      <c r="B21" s="33">
        <v>234</v>
      </c>
      <c r="C21" s="33">
        <v>31</v>
      </c>
      <c r="D21" s="33">
        <f t="shared" si="0"/>
        <v>265</v>
      </c>
      <c r="E21" s="33">
        <v>131</v>
      </c>
      <c r="F21" s="28">
        <f t="shared" si="1"/>
        <v>396</v>
      </c>
      <c r="G21" s="33">
        <v>61264</v>
      </c>
      <c r="H21" s="33">
        <v>19798</v>
      </c>
      <c r="I21" s="33">
        <f t="shared" si="2"/>
        <v>81062</v>
      </c>
      <c r="J21" s="33">
        <v>160956</v>
      </c>
      <c r="K21" s="28">
        <f t="shared" si="3"/>
        <v>242018</v>
      </c>
      <c r="M21" s="41">
        <f t="shared" si="4"/>
        <v>59.090909090909093</v>
      </c>
    </row>
    <row r="22" spans="1:13" s="27" customFormat="1" ht="18" customHeight="1">
      <c r="A22" s="28" t="s">
        <v>34</v>
      </c>
      <c r="B22" s="33">
        <v>688</v>
      </c>
      <c r="C22" s="33">
        <v>407</v>
      </c>
      <c r="D22" s="33">
        <f t="shared" si="0"/>
        <v>1095</v>
      </c>
      <c r="E22" s="33">
        <v>429</v>
      </c>
      <c r="F22" s="28">
        <f t="shared" si="1"/>
        <v>1524</v>
      </c>
      <c r="G22" s="33">
        <v>278442</v>
      </c>
      <c r="H22" s="33">
        <v>527178</v>
      </c>
      <c r="I22" s="33">
        <f t="shared" si="2"/>
        <v>805620</v>
      </c>
      <c r="J22" s="33">
        <v>346119</v>
      </c>
      <c r="K22" s="28">
        <f t="shared" si="3"/>
        <v>1151739</v>
      </c>
      <c r="M22" s="41">
        <f t="shared" si="4"/>
        <v>45.14435695538058</v>
      </c>
    </row>
    <row r="23" spans="1:13" s="27" customFormat="1" ht="18" customHeight="1">
      <c r="A23" s="28" t="s">
        <v>35</v>
      </c>
      <c r="B23" s="33">
        <v>2</v>
      </c>
      <c r="C23" s="33">
        <v>5</v>
      </c>
      <c r="D23" s="33">
        <f t="shared" si="0"/>
        <v>7</v>
      </c>
      <c r="E23" s="33">
        <v>12</v>
      </c>
      <c r="F23" s="28">
        <f t="shared" si="1"/>
        <v>19</v>
      </c>
      <c r="G23" s="33">
        <v>1956</v>
      </c>
      <c r="H23" s="33">
        <v>6080</v>
      </c>
      <c r="I23" s="33">
        <f t="shared" si="2"/>
        <v>8036</v>
      </c>
      <c r="J23" s="33">
        <v>26079</v>
      </c>
      <c r="K23" s="28">
        <f t="shared" si="3"/>
        <v>34115</v>
      </c>
      <c r="M23" s="41">
        <f t="shared" si="4"/>
        <v>10.526315789473685</v>
      </c>
    </row>
    <row r="24" spans="1:13" s="27" customFormat="1" ht="18" customHeight="1">
      <c r="A24" s="28" t="s">
        <v>36</v>
      </c>
      <c r="B24" s="33">
        <v>6</v>
      </c>
      <c r="C24" s="33">
        <v>11</v>
      </c>
      <c r="D24" s="33">
        <f t="shared" si="0"/>
        <v>17</v>
      </c>
      <c r="E24" s="33">
        <v>7</v>
      </c>
      <c r="F24" s="28">
        <f t="shared" si="1"/>
        <v>24</v>
      </c>
      <c r="G24" s="33">
        <v>3689</v>
      </c>
      <c r="H24" s="33">
        <v>18666</v>
      </c>
      <c r="I24" s="33">
        <f t="shared" si="2"/>
        <v>22355</v>
      </c>
      <c r="J24" s="33">
        <v>4207</v>
      </c>
      <c r="K24" s="28">
        <f t="shared" si="3"/>
        <v>26562</v>
      </c>
      <c r="M24" s="41">
        <f t="shared" si="4"/>
        <v>25</v>
      </c>
    </row>
    <row r="25" spans="1:13" s="27" customFormat="1" ht="18" customHeight="1">
      <c r="A25" s="28" t="s">
        <v>37</v>
      </c>
      <c r="B25" s="33">
        <v>1</v>
      </c>
      <c r="C25" s="33">
        <v>1</v>
      </c>
      <c r="D25" s="33">
        <f t="shared" si="0"/>
        <v>2</v>
      </c>
      <c r="E25" s="33">
        <v>26</v>
      </c>
      <c r="F25" s="28">
        <f t="shared" si="1"/>
        <v>28</v>
      </c>
      <c r="G25" s="33">
        <v>54</v>
      </c>
      <c r="H25" s="33">
        <v>254</v>
      </c>
      <c r="I25" s="33">
        <f t="shared" si="2"/>
        <v>308</v>
      </c>
      <c r="J25" s="33">
        <v>19239</v>
      </c>
      <c r="K25" s="28">
        <f t="shared" si="3"/>
        <v>19547</v>
      </c>
      <c r="M25" s="41">
        <f t="shared" si="4"/>
        <v>3.5714285714285712</v>
      </c>
    </row>
    <row r="26" spans="1:13" s="27" customFormat="1" ht="18" customHeight="1">
      <c r="A26" s="28" t="s">
        <v>38</v>
      </c>
      <c r="B26" s="33">
        <v>13</v>
      </c>
      <c r="C26" s="33">
        <v>19</v>
      </c>
      <c r="D26" s="33">
        <f t="shared" si="0"/>
        <v>32</v>
      </c>
      <c r="E26" s="33">
        <v>20</v>
      </c>
      <c r="F26" s="28">
        <f t="shared" si="1"/>
        <v>52</v>
      </c>
      <c r="G26" s="33">
        <v>10532</v>
      </c>
      <c r="H26" s="33">
        <v>15003</v>
      </c>
      <c r="I26" s="33">
        <f t="shared" si="2"/>
        <v>25535</v>
      </c>
      <c r="J26" s="33">
        <v>14276</v>
      </c>
      <c r="K26" s="28">
        <f t="shared" si="3"/>
        <v>39811</v>
      </c>
      <c r="M26" s="41">
        <f t="shared" si="4"/>
        <v>25</v>
      </c>
    </row>
    <row r="27" spans="1:13" s="27" customFormat="1" ht="18" customHeight="1">
      <c r="A27" s="28" t="s">
        <v>39</v>
      </c>
      <c r="B27" s="33">
        <v>122</v>
      </c>
      <c r="C27" s="33">
        <v>128</v>
      </c>
      <c r="D27" s="33">
        <f t="shared" si="0"/>
        <v>250</v>
      </c>
      <c r="E27" s="33">
        <v>140</v>
      </c>
      <c r="F27" s="28">
        <f t="shared" si="1"/>
        <v>390</v>
      </c>
      <c r="G27" s="33">
        <v>63072</v>
      </c>
      <c r="H27" s="33">
        <v>85537</v>
      </c>
      <c r="I27" s="33">
        <f t="shared" si="2"/>
        <v>148609</v>
      </c>
      <c r="J27" s="33">
        <v>85392</v>
      </c>
      <c r="K27" s="28">
        <f t="shared" si="3"/>
        <v>234001</v>
      </c>
      <c r="M27" s="41">
        <f t="shared" si="4"/>
        <v>31.282051282051281</v>
      </c>
    </row>
    <row r="28" spans="1:13" s="27" customFormat="1" ht="18" customHeight="1">
      <c r="A28" s="28" t="s">
        <v>40</v>
      </c>
      <c r="B28" s="33">
        <v>48</v>
      </c>
      <c r="C28" s="33">
        <v>2</v>
      </c>
      <c r="D28" s="33">
        <f t="shared" si="0"/>
        <v>50</v>
      </c>
      <c r="E28" s="33">
        <v>21</v>
      </c>
      <c r="F28" s="28">
        <f t="shared" si="1"/>
        <v>71</v>
      </c>
      <c r="G28" s="33">
        <v>18674</v>
      </c>
      <c r="H28" s="33">
        <v>1712</v>
      </c>
      <c r="I28" s="33">
        <f t="shared" si="2"/>
        <v>20386</v>
      </c>
      <c r="J28" s="33">
        <v>13881</v>
      </c>
      <c r="K28" s="28">
        <f t="shared" si="3"/>
        <v>34267</v>
      </c>
      <c r="M28" s="41">
        <f t="shared" si="4"/>
        <v>67.605633802816911</v>
      </c>
    </row>
    <row r="29" spans="1:13" s="27" customFormat="1" ht="18" customHeight="1">
      <c r="A29" s="28" t="s">
        <v>41</v>
      </c>
      <c r="B29" s="33">
        <v>169</v>
      </c>
      <c r="C29" s="33">
        <v>16</v>
      </c>
      <c r="D29" s="33">
        <f t="shared" si="0"/>
        <v>185</v>
      </c>
      <c r="E29" s="33">
        <v>47</v>
      </c>
      <c r="F29" s="28">
        <f t="shared" si="1"/>
        <v>232</v>
      </c>
      <c r="G29" s="33">
        <v>83079</v>
      </c>
      <c r="H29" s="33">
        <v>17599</v>
      </c>
      <c r="I29" s="33">
        <f t="shared" si="2"/>
        <v>100678</v>
      </c>
      <c r="J29" s="33">
        <v>67193</v>
      </c>
      <c r="K29" s="28">
        <f t="shared" si="3"/>
        <v>167871</v>
      </c>
      <c r="M29" s="41">
        <f t="shared" si="4"/>
        <v>72.844827586206904</v>
      </c>
    </row>
    <row r="30" spans="1:13" s="27" customFormat="1" ht="18" customHeight="1">
      <c r="A30" s="28" t="s">
        <v>42</v>
      </c>
      <c r="B30" s="33">
        <v>503</v>
      </c>
      <c r="C30" s="33">
        <v>38</v>
      </c>
      <c r="D30" s="33">
        <f t="shared" si="0"/>
        <v>541</v>
      </c>
      <c r="E30" s="33">
        <v>172</v>
      </c>
      <c r="F30" s="28">
        <f t="shared" si="1"/>
        <v>713</v>
      </c>
      <c r="G30" s="33">
        <v>171766</v>
      </c>
      <c r="H30" s="33">
        <v>37032</v>
      </c>
      <c r="I30" s="33">
        <f t="shared" si="2"/>
        <v>208798</v>
      </c>
      <c r="J30" s="33">
        <v>308043</v>
      </c>
      <c r="K30" s="28">
        <f t="shared" si="3"/>
        <v>516841</v>
      </c>
      <c r="M30" s="41">
        <f t="shared" si="4"/>
        <v>70.546984572230016</v>
      </c>
    </row>
    <row r="31" spans="1:13" s="27" customFormat="1" ht="18" customHeight="1">
      <c r="A31" s="28" t="s">
        <v>43</v>
      </c>
      <c r="B31" s="33">
        <v>4</v>
      </c>
      <c r="C31" s="33">
        <v>0</v>
      </c>
      <c r="D31" s="33">
        <f t="shared" si="0"/>
        <v>4</v>
      </c>
      <c r="E31" s="33">
        <v>5</v>
      </c>
      <c r="F31" s="28">
        <f t="shared" si="1"/>
        <v>9</v>
      </c>
      <c r="G31" s="33">
        <v>682</v>
      </c>
      <c r="H31" s="33">
        <v>0</v>
      </c>
      <c r="I31" s="33">
        <f t="shared" si="2"/>
        <v>682</v>
      </c>
      <c r="J31" s="33">
        <v>6643</v>
      </c>
      <c r="K31" s="28">
        <f t="shared" si="3"/>
        <v>7325</v>
      </c>
      <c r="M31" s="41">
        <f t="shared" si="4"/>
        <v>44.444444444444443</v>
      </c>
    </row>
    <row r="32" spans="1:13" s="27" customFormat="1" ht="18" customHeight="1">
      <c r="A32" s="28" t="s">
        <v>44</v>
      </c>
      <c r="B32" s="33">
        <v>912</v>
      </c>
      <c r="C32" s="33">
        <v>58</v>
      </c>
      <c r="D32" s="33">
        <f t="shared" si="0"/>
        <v>970</v>
      </c>
      <c r="E32" s="33">
        <v>60</v>
      </c>
      <c r="F32" s="28">
        <f t="shared" si="1"/>
        <v>1030</v>
      </c>
      <c r="G32" s="33">
        <v>465980</v>
      </c>
      <c r="H32" s="33">
        <v>67877</v>
      </c>
      <c r="I32" s="33">
        <f t="shared" si="2"/>
        <v>533857</v>
      </c>
      <c r="J32" s="33">
        <v>57245</v>
      </c>
      <c r="K32" s="28">
        <f t="shared" si="3"/>
        <v>591102</v>
      </c>
      <c r="M32" s="41">
        <f t="shared" si="4"/>
        <v>88.543689320388339</v>
      </c>
    </row>
    <row r="33" spans="1:13" s="27" customFormat="1" ht="18" customHeight="1">
      <c r="A33" s="28" t="s">
        <v>45</v>
      </c>
      <c r="B33" s="33">
        <v>4</v>
      </c>
      <c r="C33" s="33">
        <v>1</v>
      </c>
      <c r="D33" s="33">
        <f t="shared" si="0"/>
        <v>5</v>
      </c>
      <c r="E33" s="33">
        <v>30</v>
      </c>
      <c r="F33" s="28">
        <f t="shared" si="1"/>
        <v>35</v>
      </c>
      <c r="G33" s="33">
        <v>1131</v>
      </c>
      <c r="H33" s="33">
        <v>497</v>
      </c>
      <c r="I33" s="33">
        <f t="shared" si="2"/>
        <v>1628</v>
      </c>
      <c r="J33" s="33">
        <v>36366</v>
      </c>
      <c r="K33" s="28">
        <f t="shared" si="3"/>
        <v>37994</v>
      </c>
      <c r="M33" s="41">
        <f t="shared" si="4"/>
        <v>11.428571428571429</v>
      </c>
    </row>
    <row r="34" spans="1:13" s="27" customFormat="1" ht="18" customHeight="1">
      <c r="A34" s="28" t="s">
        <v>47</v>
      </c>
      <c r="B34" s="33">
        <v>506</v>
      </c>
      <c r="C34" s="33">
        <v>184</v>
      </c>
      <c r="D34" s="33">
        <f t="shared" si="0"/>
        <v>690</v>
      </c>
      <c r="E34" s="33">
        <v>223</v>
      </c>
      <c r="F34" s="28">
        <f t="shared" si="1"/>
        <v>913</v>
      </c>
      <c r="G34" s="33">
        <v>502837</v>
      </c>
      <c r="H34" s="33">
        <v>494157</v>
      </c>
      <c r="I34" s="33">
        <f t="shared" si="2"/>
        <v>996994</v>
      </c>
      <c r="J34" s="33">
        <v>236652</v>
      </c>
      <c r="K34" s="28">
        <f t="shared" si="3"/>
        <v>1233646</v>
      </c>
      <c r="M34" s="41">
        <f t="shared" si="4"/>
        <v>55.421686746987945</v>
      </c>
    </row>
    <row r="35" spans="1:13" s="27" customFormat="1" ht="18" customHeight="1">
      <c r="A35" s="28" t="s">
        <v>58</v>
      </c>
      <c r="B35" s="33">
        <v>71</v>
      </c>
      <c r="C35" s="33">
        <v>12</v>
      </c>
      <c r="D35" s="33">
        <f t="shared" si="0"/>
        <v>83</v>
      </c>
      <c r="E35" s="33">
        <v>82</v>
      </c>
      <c r="F35" s="28">
        <f t="shared" si="1"/>
        <v>165</v>
      </c>
      <c r="G35" s="33">
        <v>32058</v>
      </c>
      <c r="H35" s="33">
        <v>52516</v>
      </c>
      <c r="I35" s="33">
        <f t="shared" si="2"/>
        <v>84574</v>
      </c>
      <c r="J35" s="33">
        <v>117373</v>
      </c>
      <c r="K35" s="28">
        <f t="shared" si="3"/>
        <v>201947</v>
      </c>
      <c r="M35" s="41">
        <f t="shared" si="4"/>
        <v>43.030303030303031</v>
      </c>
    </row>
    <row r="36" spans="1:13" s="27" customFormat="1" ht="18" customHeight="1">
      <c r="A36" s="28" t="s">
        <v>48</v>
      </c>
      <c r="B36" s="33">
        <v>134</v>
      </c>
      <c r="C36" s="33">
        <v>86</v>
      </c>
      <c r="D36" s="33">
        <f t="shared" si="0"/>
        <v>220</v>
      </c>
      <c r="E36" s="33">
        <v>148</v>
      </c>
      <c r="F36" s="28">
        <f t="shared" si="1"/>
        <v>368</v>
      </c>
      <c r="G36" s="33">
        <v>75757</v>
      </c>
      <c r="H36" s="33">
        <v>211790</v>
      </c>
      <c r="I36" s="33">
        <f t="shared" si="2"/>
        <v>287547</v>
      </c>
      <c r="J36" s="33">
        <v>321593</v>
      </c>
      <c r="K36" s="28">
        <f t="shared" si="3"/>
        <v>609140</v>
      </c>
      <c r="M36" s="41">
        <f t="shared" si="4"/>
        <v>36.413043478260867</v>
      </c>
    </row>
    <row r="37" spans="1:13" s="29" customFormat="1" ht="18" customHeight="1">
      <c r="A37" s="34" t="s">
        <v>49</v>
      </c>
      <c r="B37" s="35">
        <f>SUM(B3:B36)</f>
        <v>9735</v>
      </c>
      <c r="C37" s="35">
        <f t="shared" ref="C37:K37" si="5">SUM(C3:C36)</f>
        <v>2344</v>
      </c>
      <c r="D37" s="35">
        <f t="shared" si="5"/>
        <v>12079</v>
      </c>
      <c r="E37" s="35">
        <f t="shared" si="5"/>
        <v>4420</v>
      </c>
      <c r="F37" s="35">
        <f t="shared" si="5"/>
        <v>16499</v>
      </c>
      <c r="G37" s="35">
        <f t="shared" si="5"/>
        <v>4276454</v>
      </c>
      <c r="H37" s="35">
        <f t="shared" si="5"/>
        <v>2747094</v>
      </c>
      <c r="I37" s="35">
        <f t="shared" si="5"/>
        <v>7023548</v>
      </c>
      <c r="J37" s="35">
        <f t="shared" si="5"/>
        <v>4527968</v>
      </c>
      <c r="K37" s="35">
        <f t="shared" si="5"/>
        <v>11551516</v>
      </c>
      <c r="M37" s="41">
        <f t="shared" si="4"/>
        <v>59.003575974301469</v>
      </c>
    </row>
    <row r="38" spans="1:13" s="36" customFormat="1"/>
    <row r="40" spans="1:13" ht="28.5">
      <c r="B40" s="37" t="str">
        <f>B2</f>
        <v>Private Un-Aided</v>
      </c>
      <c r="C40" s="37" t="str">
        <f>C2</f>
        <v>Private Aided</v>
      </c>
      <c r="D40" s="37" t="str">
        <f>E2</f>
        <v>Government</v>
      </c>
      <c r="E40" s="38"/>
      <c r="F40" s="38"/>
      <c r="G40" s="38"/>
    </row>
    <row r="41" spans="1:13">
      <c r="A41" s="26" t="s">
        <v>65</v>
      </c>
      <c r="B41" s="39">
        <f>B37/$F$37%</f>
        <v>59.003575974301469</v>
      </c>
      <c r="C41" s="39">
        <f>C37/$F$37%</f>
        <v>14.206921631614037</v>
      </c>
      <c r="D41" s="39">
        <f>E37/$F$37%</f>
        <v>26.78950239408449</v>
      </c>
    </row>
    <row r="42" spans="1:13">
      <c r="A42" s="26" t="s">
        <v>66</v>
      </c>
      <c r="B42" s="39">
        <f>G37/$K$37%</f>
        <v>37.020716588195</v>
      </c>
      <c r="C42" s="39">
        <f>H37/$K$37%</f>
        <v>23.781242219635931</v>
      </c>
      <c r="D42" s="39">
        <f>J37/$K$37%</f>
        <v>39.198041192169065</v>
      </c>
    </row>
  </sheetData>
  <conditionalFormatting sqref="M3:M37">
    <cfRule type="top10" dxfId="0" priority="1" rank="5"/>
  </conditionalFormatting>
  <pageMargins left="0.7" right="0.33" top="0.75" bottom="0.75" header="0.3" footer="0.3"/>
  <pageSetup paperSize="9" pageOrder="overThenDown" orientation="portrait" r:id="rId1"/>
  <rowBreaks count="1" manualBreakCount="1">
    <brk id="37" max="10" man="1"/>
  </rowBreaks>
  <colBreaks count="1" manualBreakCount="1">
    <brk id="6" max="58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L38"/>
  <sheetViews>
    <sheetView showZeros="0" view="pageBreakPreview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" sqref="J3"/>
    </sheetView>
  </sheetViews>
  <sheetFormatPr defaultColWidth="9.140625" defaultRowHeight="15.75"/>
  <cols>
    <col min="1" max="1" width="22.85546875" style="6" customWidth="1"/>
    <col min="2" max="9" width="8.5703125" style="6" customWidth="1"/>
    <col min="10" max="12" width="16.28515625" style="6" customWidth="1"/>
    <col min="13" max="13" width="6.85546875" style="6" customWidth="1"/>
    <col min="14" max="16384" width="9.140625" style="6"/>
  </cols>
  <sheetData>
    <row r="1" spans="1:12" ht="24" customHeight="1">
      <c r="A1" s="22" t="s">
        <v>53</v>
      </c>
      <c r="B1" s="11" t="s">
        <v>54</v>
      </c>
      <c r="C1" s="9"/>
      <c r="D1" s="9"/>
      <c r="E1" s="9"/>
      <c r="F1" s="9"/>
      <c r="G1" s="9"/>
      <c r="H1" s="9"/>
      <c r="I1" s="9"/>
      <c r="J1" s="13" t="s">
        <v>50</v>
      </c>
      <c r="K1" s="12"/>
      <c r="L1" s="5"/>
    </row>
    <row r="2" spans="1:12" ht="72.75" customHeight="1">
      <c r="A2" s="10" t="s">
        <v>2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  <c r="I2" s="14" t="s">
        <v>12</v>
      </c>
      <c r="J2" s="7" t="s">
        <v>12</v>
      </c>
      <c r="K2" s="7" t="s">
        <v>52</v>
      </c>
      <c r="L2" s="7" t="s">
        <v>51</v>
      </c>
    </row>
    <row r="3" spans="1:12" ht="18.75" customHeight="1">
      <c r="A3" s="8" t="s">
        <v>14</v>
      </c>
      <c r="B3" s="15">
        <f>Paste!C5</f>
        <v>0</v>
      </c>
      <c r="C3" s="15">
        <f>Paste!D5</f>
        <v>0</v>
      </c>
      <c r="D3" s="15">
        <f>Paste!E5</f>
        <v>0</v>
      </c>
      <c r="E3" s="15">
        <f>Paste!F5</f>
        <v>0</v>
      </c>
      <c r="F3" s="15">
        <f>Paste!G5</f>
        <v>0</v>
      </c>
      <c r="G3" s="15">
        <f>Paste!H5</f>
        <v>0</v>
      </c>
      <c r="H3" s="15">
        <f>Paste!I5</f>
        <v>0</v>
      </c>
      <c r="I3" s="16">
        <f>SUM(B3:H3)</f>
        <v>0</v>
      </c>
      <c r="J3" s="17">
        <f>Paste!S5</f>
        <v>5</v>
      </c>
      <c r="K3" s="17">
        <f>Paste!T5</f>
        <v>0</v>
      </c>
      <c r="L3" s="18">
        <f>IF(J3=0,0,K3/J3%)</f>
        <v>0</v>
      </c>
    </row>
    <row r="4" spans="1:12" ht="18.75" customHeight="1">
      <c r="A4" s="8" t="s">
        <v>15</v>
      </c>
      <c r="B4" s="15">
        <f>Paste!C6</f>
        <v>26</v>
      </c>
      <c r="C4" s="15">
        <f>Paste!D6</f>
        <v>2</v>
      </c>
      <c r="D4" s="15">
        <f>Paste!E6</f>
        <v>2</v>
      </c>
      <c r="E4" s="15">
        <f>Paste!F6</f>
        <v>2</v>
      </c>
      <c r="F4" s="15">
        <f>Paste!G6</f>
        <v>6</v>
      </c>
      <c r="G4" s="15">
        <f>Paste!H6</f>
        <v>1</v>
      </c>
      <c r="H4" s="15">
        <f>Paste!I6</f>
        <v>6</v>
      </c>
      <c r="I4" s="16">
        <f>SUM(B4:H4)</f>
        <v>45</v>
      </c>
      <c r="J4" s="17">
        <f>Paste!S6</f>
        <v>3618</v>
      </c>
      <c r="K4" s="17">
        <f>Paste!T6</f>
        <v>332</v>
      </c>
      <c r="L4" s="18">
        <f t="shared" ref="L4:L38" si="0">IF(J4=0,0,K4/J4%)</f>
        <v>9.1763405196241017</v>
      </c>
    </row>
    <row r="5" spans="1:12" ht="18.75" customHeight="1">
      <c r="A5" s="8" t="s">
        <v>16</v>
      </c>
      <c r="B5" s="15">
        <f>Paste!C7</f>
        <v>3</v>
      </c>
      <c r="C5" s="15">
        <f>Paste!D7</f>
        <v>0</v>
      </c>
      <c r="D5" s="15">
        <f>Paste!E7</f>
        <v>0</v>
      </c>
      <c r="E5" s="15">
        <f>Paste!F7</f>
        <v>0</v>
      </c>
      <c r="F5" s="15">
        <f>Paste!G7</f>
        <v>0</v>
      </c>
      <c r="G5" s="15">
        <f>Paste!H7</f>
        <v>0</v>
      </c>
      <c r="H5" s="15">
        <f>Paste!I7</f>
        <v>0</v>
      </c>
      <c r="I5" s="16">
        <f t="shared" ref="I5:I37" si="1">SUM(B5:H5)</f>
        <v>3</v>
      </c>
      <c r="J5" s="17">
        <f>Paste!S7</f>
        <v>9</v>
      </c>
      <c r="K5" s="17">
        <f>Paste!T7</f>
        <v>0</v>
      </c>
      <c r="L5" s="18">
        <f t="shared" si="0"/>
        <v>0</v>
      </c>
    </row>
    <row r="6" spans="1:12" ht="18.75" customHeight="1">
      <c r="A6" s="8" t="s">
        <v>17</v>
      </c>
      <c r="B6" s="15">
        <f>Paste!C8</f>
        <v>6</v>
      </c>
      <c r="C6" s="15">
        <f>Paste!D8</f>
        <v>1</v>
      </c>
      <c r="D6" s="15">
        <f>Paste!E8</f>
        <v>0</v>
      </c>
      <c r="E6" s="15">
        <f>Paste!F8</f>
        <v>0</v>
      </c>
      <c r="F6" s="15">
        <f>Paste!G8</f>
        <v>2</v>
      </c>
      <c r="G6" s="15">
        <f>Paste!H8</f>
        <v>0</v>
      </c>
      <c r="H6" s="15">
        <f>Paste!I8</f>
        <v>0</v>
      </c>
      <c r="I6" s="16">
        <f t="shared" si="1"/>
        <v>9</v>
      </c>
      <c r="J6" s="17">
        <f>Paste!S8</f>
        <v>174</v>
      </c>
      <c r="K6" s="17">
        <f>Paste!T8</f>
        <v>10</v>
      </c>
      <c r="L6" s="19">
        <f t="shared" si="0"/>
        <v>5.7471264367816088</v>
      </c>
    </row>
    <row r="7" spans="1:12" ht="18.75" customHeight="1">
      <c r="A7" s="8" t="s">
        <v>18</v>
      </c>
      <c r="B7" s="15">
        <f>Paste!C9</f>
        <v>12</v>
      </c>
      <c r="C7" s="15">
        <f>Paste!D9</f>
        <v>2</v>
      </c>
      <c r="D7" s="15">
        <f>Paste!E9</f>
        <v>1</v>
      </c>
      <c r="E7" s="15">
        <f>Paste!F9</f>
        <v>1</v>
      </c>
      <c r="F7" s="15">
        <f>Paste!G9</f>
        <v>1</v>
      </c>
      <c r="G7" s="15">
        <f>Paste!H9</f>
        <v>0</v>
      </c>
      <c r="H7" s="15">
        <f>Paste!I9</f>
        <v>3</v>
      </c>
      <c r="I7" s="16">
        <f t="shared" si="1"/>
        <v>20</v>
      </c>
      <c r="J7" s="17">
        <f>Paste!S9</f>
        <v>531</v>
      </c>
      <c r="K7" s="17">
        <f>Paste!T9</f>
        <v>43</v>
      </c>
      <c r="L7" s="19">
        <f t="shared" si="0"/>
        <v>8.0979284369114879</v>
      </c>
    </row>
    <row r="8" spans="1:12" ht="18.75" customHeight="1">
      <c r="A8" s="8" t="s">
        <v>19</v>
      </c>
      <c r="B8" s="15">
        <f>Paste!C10</f>
        <v>1</v>
      </c>
      <c r="C8" s="15">
        <f>Paste!D10</f>
        <v>0</v>
      </c>
      <c r="D8" s="15">
        <f>Paste!E10</f>
        <v>0</v>
      </c>
      <c r="E8" s="15">
        <f>Paste!F10</f>
        <v>0</v>
      </c>
      <c r="F8" s="15">
        <f>Paste!G10</f>
        <v>1</v>
      </c>
      <c r="G8" s="15">
        <f>Paste!H10</f>
        <v>0</v>
      </c>
      <c r="H8" s="15">
        <f>Paste!I10</f>
        <v>0</v>
      </c>
      <c r="I8" s="16">
        <f t="shared" si="1"/>
        <v>2</v>
      </c>
      <c r="J8" s="17">
        <f>Paste!S10</f>
        <v>13</v>
      </c>
      <c r="K8" s="17">
        <f>Paste!T10</f>
        <v>5</v>
      </c>
      <c r="L8" s="19">
        <f t="shared" si="0"/>
        <v>38.46153846153846</v>
      </c>
    </row>
    <row r="9" spans="1:12" ht="18.75" customHeight="1">
      <c r="A9" s="8" t="s">
        <v>20</v>
      </c>
      <c r="B9" s="15">
        <f>Paste!C11</f>
        <v>7</v>
      </c>
      <c r="C9" s="15">
        <f>Paste!D11</f>
        <v>1</v>
      </c>
      <c r="D9" s="15">
        <f>Paste!E11</f>
        <v>1</v>
      </c>
      <c r="E9" s="15">
        <f>Paste!F11</f>
        <v>1</v>
      </c>
      <c r="F9" s="15">
        <f>Paste!G11</f>
        <v>2</v>
      </c>
      <c r="G9" s="15">
        <f>Paste!H11</f>
        <v>0</v>
      </c>
      <c r="H9" s="15">
        <f>Paste!I11</f>
        <v>3</v>
      </c>
      <c r="I9" s="16">
        <f t="shared" si="1"/>
        <v>15</v>
      </c>
      <c r="J9" s="17">
        <f>Paste!S11</f>
        <v>430</v>
      </c>
      <c r="K9" s="17">
        <f>Paste!T11</f>
        <v>34</v>
      </c>
      <c r="L9" s="19">
        <f t="shared" si="0"/>
        <v>7.9069767441860472</v>
      </c>
    </row>
    <row r="10" spans="1:12" ht="18.75" customHeight="1">
      <c r="A10" s="8" t="s">
        <v>21</v>
      </c>
      <c r="B10" s="15">
        <f>Paste!C12</f>
        <v>0</v>
      </c>
      <c r="C10" s="15">
        <f>Paste!D12</f>
        <v>0</v>
      </c>
      <c r="D10" s="15">
        <f>Paste!E12</f>
        <v>0</v>
      </c>
      <c r="E10" s="15">
        <f>Paste!F12</f>
        <v>0</v>
      </c>
      <c r="F10" s="15">
        <f>Paste!G12</f>
        <v>0</v>
      </c>
      <c r="G10" s="15">
        <f>Paste!H12</f>
        <v>0</v>
      </c>
      <c r="H10" s="15">
        <f>Paste!I12</f>
        <v>0</v>
      </c>
      <c r="I10" s="16">
        <f t="shared" si="1"/>
        <v>0</v>
      </c>
      <c r="J10" s="17">
        <f>Paste!S12</f>
        <v>2</v>
      </c>
      <c r="K10" s="17">
        <f>Paste!T12</f>
        <v>0</v>
      </c>
      <c r="L10" s="19">
        <f t="shared" si="0"/>
        <v>0</v>
      </c>
    </row>
    <row r="11" spans="1:12" ht="18.75" customHeight="1">
      <c r="A11" s="8" t="s">
        <v>22</v>
      </c>
      <c r="B11" s="15">
        <f>Paste!C13</f>
        <v>0</v>
      </c>
      <c r="C11" s="15">
        <f>Paste!D13</f>
        <v>0</v>
      </c>
      <c r="D11" s="15">
        <f>Paste!E13</f>
        <v>0</v>
      </c>
      <c r="E11" s="15">
        <f>Paste!F13</f>
        <v>0</v>
      </c>
      <c r="F11" s="15">
        <f>Paste!G13</f>
        <v>0</v>
      </c>
      <c r="G11" s="15">
        <f>Paste!H13</f>
        <v>0</v>
      </c>
      <c r="H11" s="15">
        <f>Paste!I13</f>
        <v>0</v>
      </c>
      <c r="I11" s="16">
        <f t="shared" si="1"/>
        <v>0</v>
      </c>
      <c r="J11" s="17">
        <f>Paste!S13</f>
        <v>3</v>
      </c>
      <c r="K11" s="17">
        <f>Paste!T13</f>
        <v>0</v>
      </c>
      <c r="L11" s="19">
        <f t="shared" si="0"/>
        <v>0</v>
      </c>
    </row>
    <row r="12" spans="1:12" ht="18.75" customHeight="1">
      <c r="A12" s="8" t="s">
        <v>23</v>
      </c>
      <c r="B12" s="15">
        <f>Paste!C14</f>
        <v>9</v>
      </c>
      <c r="C12" s="15">
        <f>Paste!D14</f>
        <v>1</v>
      </c>
      <c r="D12" s="15">
        <f>Paste!E14</f>
        <v>1</v>
      </c>
      <c r="E12" s="15">
        <f>Paste!F14</f>
        <v>2</v>
      </c>
      <c r="F12" s="15">
        <f>Paste!G14</f>
        <v>3</v>
      </c>
      <c r="G12" s="15">
        <f>Paste!H14</f>
        <v>0</v>
      </c>
      <c r="H12" s="15">
        <f>Paste!I14</f>
        <v>5</v>
      </c>
      <c r="I12" s="16">
        <f t="shared" si="1"/>
        <v>21</v>
      </c>
      <c r="J12" s="17">
        <f>Paste!S14</f>
        <v>142</v>
      </c>
      <c r="K12" s="17">
        <f>Paste!T14</f>
        <v>22</v>
      </c>
      <c r="L12" s="19">
        <f t="shared" si="0"/>
        <v>15.492957746478874</v>
      </c>
    </row>
    <row r="13" spans="1:12" ht="18.75" customHeight="1">
      <c r="A13" s="8" t="s">
        <v>24</v>
      </c>
      <c r="B13" s="15">
        <f>Paste!C15</f>
        <v>1</v>
      </c>
      <c r="C13" s="15">
        <f>Paste!D15</f>
        <v>0</v>
      </c>
      <c r="D13" s="15">
        <f>Paste!E15</f>
        <v>0</v>
      </c>
      <c r="E13" s="15">
        <f>Paste!F15</f>
        <v>0</v>
      </c>
      <c r="F13" s="15">
        <f>Paste!G15</f>
        <v>1</v>
      </c>
      <c r="G13" s="15">
        <f>Paste!H15</f>
        <v>0</v>
      </c>
      <c r="H13" s="15">
        <f>Paste!I15</f>
        <v>0</v>
      </c>
      <c r="I13" s="16">
        <f t="shared" si="1"/>
        <v>2</v>
      </c>
      <c r="J13" s="17">
        <f>Paste!S15</f>
        <v>33</v>
      </c>
      <c r="K13" s="17">
        <f>Paste!T15</f>
        <v>1</v>
      </c>
      <c r="L13" s="19">
        <f t="shared" si="0"/>
        <v>3.0303030303030303</v>
      </c>
    </row>
    <row r="14" spans="1:12" ht="18.75" customHeight="1">
      <c r="A14" s="8" t="s">
        <v>25</v>
      </c>
      <c r="B14" s="15">
        <f>Paste!C16</f>
        <v>22</v>
      </c>
      <c r="C14" s="15">
        <f>Paste!D16</f>
        <v>3</v>
      </c>
      <c r="D14" s="15">
        <f>Paste!E16</f>
        <v>1</v>
      </c>
      <c r="E14" s="15">
        <f>Paste!F16</f>
        <v>1</v>
      </c>
      <c r="F14" s="15">
        <f>Paste!G16</f>
        <v>3</v>
      </c>
      <c r="G14" s="15">
        <f>Paste!H16</f>
        <v>0</v>
      </c>
      <c r="H14" s="15">
        <f>Paste!I16</f>
        <v>6</v>
      </c>
      <c r="I14" s="16">
        <f t="shared" si="1"/>
        <v>36</v>
      </c>
      <c r="J14" s="17">
        <f>Paste!S16</f>
        <v>1623</v>
      </c>
      <c r="K14" s="17">
        <f>Paste!T16</f>
        <v>138</v>
      </c>
      <c r="L14" s="19">
        <f t="shared" si="0"/>
        <v>8.502772643253234</v>
      </c>
    </row>
    <row r="15" spans="1:12" ht="18.75" customHeight="1">
      <c r="A15" s="8" t="s">
        <v>26</v>
      </c>
      <c r="B15" s="15">
        <f>Paste!C17</f>
        <v>11</v>
      </c>
      <c r="C15" s="15">
        <f>Paste!D17</f>
        <v>2</v>
      </c>
      <c r="D15" s="15">
        <f>Paste!E17</f>
        <v>1</v>
      </c>
      <c r="E15" s="15">
        <f>Paste!F17</f>
        <v>0</v>
      </c>
      <c r="F15" s="15">
        <f>Paste!G17</f>
        <v>4</v>
      </c>
      <c r="G15" s="15">
        <f>Paste!H17</f>
        <v>1</v>
      </c>
      <c r="H15" s="15">
        <f>Paste!I17</f>
        <v>2</v>
      </c>
      <c r="I15" s="16">
        <f t="shared" si="1"/>
        <v>21</v>
      </c>
      <c r="J15" s="17">
        <f>Paste!S17</f>
        <v>266</v>
      </c>
      <c r="K15" s="17">
        <f>Paste!T17</f>
        <v>38</v>
      </c>
      <c r="L15" s="19">
        <f t="shared" si="0"/>
        <v>14.285714285714285</v>
      </c>
    </row>
    <row r="16" spans="1:12" ht="18.75" customHeight="1">
      <c r="A16" s="8" t="s">
        <v>27</v>
      </c>
      <c r="B16" s="15">
        <f>Paste!C18</f>
        <v>11</v>
      </c>
      <c r="C16" s="15">
        <f>Paste!D18</f>
        <v>2</v>
      </c>
      <c r="D16" s="15">
        <f>Paste!E18</f>
        <v>0</v>
      </c>
      <c r="E16" s="15">
        <f>Paste!F18</f>
        <v>0</v>
      </c>
      <c r="F16" s="15">
        <f>Paste!G18</f>
        <v>3</v>
      </c>
      <c r="G16" s="15">
        <f>Paste!H18</f>
        <v>0</v>
      </c>
      <c r="H16" s="15">
        <f>Paste!I18</f>
        <v>1</v>
      </c>
      <c r="I16" s="16">
        <f t="shared" si="1"/>
        <v>17</v>
      </c>
      <c r="J16" s="17">
        <f>Paste!S18</f>
        <v>236</v>
      </c>
      <c r="K16" s="17">
        <f>Paste!T18</f>
        <v>14</v>
      </c>
      <c r="L16" s="19">
        <f t="shared" si="0"/>
        <v>5.9322033898305087</v>
      </c>
    </row>
    <row r="17" spans="1:12" ht="18.75" customHeight="1">
      <c r="A17" s="8" t="s">
        <v>28</v>
      </c>
      <c r="B17" s="15">
        <f>Paste!C19</f>
        <v>5</v>
      </c>
      <c r="C17" s="15">
        <f>Paste!D19</f>
        <v>1</v>
      </c>
      <c r="D17" s="15">
        <f>Paste!E19</f>
        <v>0</v>
      </c>
      <c r="E17" s="15">
        <f>Paste!F19</f>
        <v>0</v>
      </c>
      <c r="F17" s="15">
        <f>Paste!G19</f>
        <v>2</v>
      </c>
      <c r="G17" s="15">
        <f>Paste!H19</f>
        <v>0</v>
      </c>
      <c r="H17" s="15">
        <f>Paste!I19</f>
        <v>0</v>
      </c>
      <c r="I17" s="16">
        <f t="shared" si="1"/>
        <v>8</v>
      </c>
      <c r="J17" s="17">
        <f>Paste!S19</f>
        <v>119</v>
      </c>
      <c r="K17" s="17">
        <f>Paste!T19</f>
        <v>10</v>
      </c>
      <c r="L17" s="19">
        <f t="shared" si="0"/>
        <v>8.4033613445378155</v>
      </c>
    </row>
    <row r="18" spans="1:12" ht="18.75" customHeight="1">
      <c r="A18" s="8" t="s">
        <v>29</v>
      </c>
      <c r="B18" s="15">
        <f>Paste!C20</f>
        <v>5</v>
      </c>
      <c r="C18" s="15">
        <f>Paste!D20</f>
        <v>0</v>
      </c>
      <c r="D18" s="15">
        <f>Paste!E20</f>
        <v>0</v>
      </c>
      <c r="E18" s="15">
        <f>Paste!F20</f>
        <v>1</v>
      </c>
      <c r="F18" s="15">
        <f>Paste!G20</f>
        <v>3</v>
      </c>
      <c r="G18" s="15">
        <f>Paste!H20</f>
        <v>0</v>
      </c>
      <c r="H18" s="15">
        <f>Paste!I20</f>
        <v>0</v>
      </c>
      <c r="I18" s="16">
        <f t="shared" si="1"/>
        <v>9</v>
      </c>
      <c r="J18" s="17">
        <f>Paste!S20</f>
        <v>38</v>
      </c>
      <c r="K18" s="17">
        <f>Paste!T20</f>
        <v>3</v>
      </c>
      <c r="L18" s="19">
        <f t="shared" si="0"/>
        <v>7.8947368421052628</v>
      </c>
    </row>
    <row r="19" spans="1:12" ht="18.75" customHeight="1">
      <c r="A19" s="8" t="s">
        <v>30</v>
      </c>
      <c r="B19" s="15">
        <f>Paste!C21</f>
        <v>21</v>
      </c>
      <c r="C19" s="15">
        <f>Paste!D21</f>
        <v>3</v>
      </c>
      <c r="D19" s="15">
        <f>Paste!E21</f>
        <v>6</v>
      </c>
      <c r="E19" s="15">
        <f>Paste!F21</f>
        <v>2</v>
      </c>
      <c r="F19" s="15">
        <f>Paste!G21</f>
        <v>3</v>
      </c>
      <c r="G19" s="15">
        <f>Paste!H21</f>
        <v>1</v>
      </c>
      <c r="H19" s="15">
        <f>Paste!I21</f>
        <v>7</v>
      </c>
      <c r="I19" s="16">
        <f t="shared" si="1"/>
        <v>43</v>
      </c>
      <c r="J19" s="17">
        <f>Paste!S21</f>
        <v>3004</v>
      </c>
      <c r="K19" s="17">
        <f>Paste!T21</f>
        <v>190</v>
      </c>
      <c r="L19" s="19">
        <f t="shared" si="0"/>
        <v>6.3249001331557926</v>
      </c>
    </row>
    <row r="20" spans="1:12" ht="18.75" customHeight="1">
      <c r="A20" s="8" t="s">
        <v>31</v>
      </c>
      <c r="B20" s="15">
        <f>Paste!C22</f>
        <v>6</v>
      </c>
      <c r="C20" s="15">
        <f>Paste!D22</f>
        <v>1</v>
      </c>
      <c r="D20" s="15">
        <f>Paste!E22</f>
        <v>0</v>
      </c>
      <c r="E20" s="15">
        <f>Paste!F22</f>
        <v>1</v>
      </c>
      <c r="F20" s="15">
        <f>Paste!G22</f>
        <v>1</v>
      </c>
      <c r="G20" s="15">
        <f>Paste!H22</f>
        <v>1</v>
      </c>
      <c r="H20" s="15">
        <f>Paste!I22</f>
        <v>6</v>
      </c>
      <c r="I20" s="16">
        <f t="shared" si="1"/>
        <v>16</v>
      </c>
      <c r="J20" s="17">
        <f>Paste!S22</f>
        <v>580</v>
      </c>
      <c r="K20" s="17">
        <f>Paste!T22</f>
        <v>41</v>
      </c>
      <c r="L20" s="19">
        <f t="shared" si="0"/>
        <v>7.0689655172413799</v>
      </c>
    </row>
    <row r="21" spans="1:12" ht="18.75" customHeight="1">
      <c r="A21" s="8" t="s">
        <v>32</v>
      </c>
      <c r="B21" s="15">
        <f>Paste!C23</f>
        <v>0</v>
      </c>
      <c r="C21" s="15">
        <f>Paste!D23</f>
        <v>0</v>
      </c>
      <c r="D21" s="15">
        <f>Paste!E23</f>
        <v>0</v>
      </c>
      <c r="E21" s="15">
        <f>Paste!F23</f>
        <v>0</v>
      </c>
      <c r="F21" s="15">
        <f>Paste!G23</f>
        <v>0</v>
      </c>
      <c r="G21" s="15">
        <f>Paste!H23</f>
        <v>0</v>
      </c>
      <c r="H21" s="15">
        <f>Paste!I23</f>
        <v>0</v>
      </c>
      <c r="I21" s="16">
        <f t="shared" si="1"/>
        <v>0</v>
      </c>
      <c r="J21" s="17">
        <f>Paste!S23</f>
        <v>0</v>
      </c>
      <c r="K21" s="17">
        <f>Paste!T23</f>
        <v>0</v>
      </c>
      <c r="L21" s="19">
        <f t="shared" si="0"/>
        <v>0</v>
      </c>
    </row>
    <row r="22" spans="1:12" ht="18.75" customHeight="1">
      <c r="A22" s="8" t="s">
        <v>33</v>
      </c>
      <c r="B22" s="15">
        <f>Paste!C24</f>
        <v>8</v>
      </c>
      <c r="C22" s="15">
        <f>Paste!D24</f>
        <v>1</v>
      </c>
      <c r="D22" s="15">
        <f>Paste!E24</f>
        <v>0</v>
      </c>
      <c r="E22" s="15">
        <f>Paste!F24</f>
        <v>1</v>
      </c>
      <c r="F22" s="15">
        <f>Paste!G24</f>
        <v>6</v>
      </c>
      <c r="G22" s="15">
        <f>Paste!H24</f>
        <v>0</v>
      </c>
      <c r="H22" s="15">
        <f>Paste!I24</f>
        <v>9</v>
      </c>
      <c r="I22" s="16">
        <f t="shared" si="1"/>
        <v>25</v>
      </c>
      <c r="J22" s="17">
        <f>Paste!S24</f>
        <v>400</v>
      </c>
      <c r="K22" s="17">
        <f>Paste!T24</f>
        <v>28</v>
      </c>
      <c r="L22" s="19">
        <f t="shared" si="0"/>
        <v>7</v>
      </c>
    </row>
    <row r="23" spans="1:12" ht="18.75" customHeight="1">
      <c r="A23" s="8" t="s">
        <v>34</v>
      </c>
      <c r="B23" s="15">
        <f>Paste!C25</f>
        <v>19</v>
      </c>
      <c r="C23" s="15">
        <f>Paste!D25</f>
        <v>4</v>
      </c>
      <c r="D23" s="15">
        <f>Paste!E25</f>
        <v>6</v>
      </c>
      <c r="E23" s="15">
        <f>Paste!F25</f>
        <v>0</v>
      </c>
      <c r="F23" s="15">
        <f>Paste!G25</f>
        <v>4</v>
      </c>
      <c r="G23" s="15">
        <f>Paste!H25</f>
        <v>0</v>
      </c>
      <c r="H23" s="15">
        <f>Paste!I25</f>
        <v>11</v>
      </c>
      <c r="I23" s="16">
        <f t="shared" si="1"/>
        <v>44</v>
      </c>
      <c r="J23" s="17">
        <f>Paste!S25</f>
        <v>1705</v>
      </c>
      <c r="K23" s="17">
        <f>Paste!T25</f>
        <v>99</v>
      </c>
      <c r="L23" s="19">
        <f t="shared" si="0"/>
        <v>5.806451612903226</v>
      </c>
    </row>
    <row r="24" spans="1:12" ht="18.75" customHeight="1">
      <c r="A24" s="8" t="s">
        <v>35</v>
      </c>
      <c r="B24" s="15">
        <f>Paste!C26</f>
        <v>1</v>
      </c>
      <c r="C24" s="15">
        <f>Paste!D26</f>
        <v>1</v>
      </c>
      <c r="D24" s="15">
        <f>Paste!E26</f>
        <v>0</v>
      </c>
      <c r="E24" s="15">
        <f>Paste!F26</f>
        <v>0</v>
      </c>
      <c r="F24" s="15">
        <f>Paste!G26</f>
        <v>1</v>
      </c>
      <c r="G24" s="15">
        <f>Paste!H26</f>
        <v>0</v>
      </c>
      <c r="H24" s="15">
        <f>Paste!I26</f>
        <v>0</v>
      </c>
      <c r="I24" s="16">
        <f t="shared" si="1"/>
        <v>3</v>
      </c>
      <c r="J24" s="17">
        <f>Paste!S26</f>
        <v>20</v>
      </c>
      <c r="K24" s="17">
        <f>Paste!T26</f>
        <v>1</v>
      </c>
      <c r="L24" s="19">
        <f t="shared" si="0"/>
        <v>5</v>
      </c>
    </row>
    <row r="25" spans="1:12" ht="18.75" customHeight="1">
      <c r="A25" s="8" t="s">
        <v>36</v>
      </c>
      <c r="B25" s="15">
        <f>Paste!C27</f>
        <v>3</v>
      </c>
      <c r="C25" s="15">
        <f>Paste!D27</f>
        <v>0</v>
      </c>
      <c r="D25" s="15">
        <f>Paste!E27</f>
        <v>0</v>
      </c>
      <c r="E25" s="15">
        <f>Paste!F27</f>
        <v>0</v>
      </c>
      <c r="F25" s="15">
        <f>Paste!G27</f>
        <v>2</v>
      </c>
      <c r="G25" s="15">
        <f>Paste!H27</f>
        <v>0</v>
      </c>
      <c r="H25" s="15">
        <f>Paste!I27</f>
        <v>0</v>
      </c>
      <c r="I25" s="16">
        <f t="shared" si="1"/>
        <v>5</v>
      </c>
      <c r="J25" s="17">
        <f>Paste!S27</f>
        <v>25</v>
      </c>
      <c r="K25" s="17">
        <f>Paste!T27</f>
        <v>4</v>
      </c>
      <c r="L25" s="19">
        <f t="shared" si="0"/>
        <v>16</v>
      </c>
    </row>
    <row r="26" spans="1:12" ht="18.75" customHeight="1">
      <c r="A26" s="8" t="s">
        <v>37</v>
      </c>
      <c r="B26" s="15">
        <f>Paste!C28</f>
        <v>3</v>
      </c>
      <c r="C26" s="15">
        <f>Paste!D28</f>
        <v>0</v>
      </c>
      <c r="D26" s="15">
        <f>Paste!E28</f>
        <v>0</v>
      </c>
      <c r="E26" s="15">
        <f>Paste!F28</f>
        <v>0</v>
      </c>
      <c r="F26" s="15">
        <f>Paste!G28</f>
        <v>0</v>
      </c>
      <c r="G26" s="15">
        <f>Paste!H28</f>
        <v>0</v>
      </c>
      <c r="H26" s="15">
        <f>Paste!I28</f>
        <v>0</v>
      </c>
      <c r="I26" s="16">
        <f t="shared" si="1"/>
        <v>3</v>
      </c>
      <c r="J26" s="17">
        <f>Paste!S28</f>
        <v>28</v>
      </c>
      <c r="K26" s="17">
        <f>Paste!T28</f>
        <v>0</v>
      </c>
      <c r="L26" s="19">
        <f t="shared" si="0"/>
        <v>0</v>
      </c>
    </row>
    <row r="27" spans="1:12" ht="18.75" customHeight="1">
      <c r="A27" s="8" t="s">
        <v>38</v>
      </c>
      <c r="B27" s="15">
        <f>Paste!C29</f>
        <v>3</v>
      </c>
      <c r="C27" s="15">
        <f>Paste!D29</f>
        <v>0</v>
      </c>
      <c r="D27" s="15">
        <f>Paste!E29</f>
        <v>0</v>
      </c>
      <c r="E27" s="15">
        <f>Paste!F29</f>
        <v>0</v>
      </c>
      <c r="F27" s="15">
        <f>Paste!G29</f>
        <v>1</v>
      </c>
      <c r="G27" s="15">
        <f>Paste!H29</f>
        <v>0</v>
      </c>
      <c r="H27" s="15">
        <f>Paste!I29</f>
        <v>0</v>
      </c>
      <c r="I27" s="16">
        <f t="shared" si="1"/>
        <v>4</v>
      </c>
      <c r="J27" s="17">
        <f>Paste!S29</f>
        <v>55</v>
      </c>
      <c r="K27" s="17">
        <f>Paste!T29</f>
        <v>2</v>
      </c>
      <c r="L27" s="19">
        <f t="shared" si="0"/>
        <v>3.6363636363636362</v>
      </c>
    </row>
    <row r="28" spans="1:12" ht="18.75" customHeight="1">
      <c r="A28" s="8" t="s">
        <v>39</v>
      </c>
      <c r="B28" s="15">
        <f>Paste!C30</f>
        <v>10</v>
      </c>
      <c r="C28" s="15">
        <f>Paste!D30</f>
        <v>1</v>
      </c>
      <c r="D28" s="15">
        <f>Paste!E30</f>
        <v>0</v>
      </c>
      <c r="E28" s="15">
        <f>Paste!F30</f>
        <v>1</v>
      </c>
      <c r="F28" s="15">
        <f>Paste!G30</f>
        <v>3</v>
      </c>
      <c r="G28" s="15">
        <f>Paste!H30</f>
        <v>0</v>
      </c>
      <c r="H28" s="15">
        <f>Paste!I30</f>
        <v>3</v>
      </c>
      <c r="I28" s="16">
        <f t="shared" si="1"/>
        <v>18</v>
      </c>
      <c r="J28" s="17">
        <f>Paste!S30</f>
        <v>391</v>
      </c>
      <c r="K28" s="17">
        <f>Paste!T30</f>
        <v>30</v>
      </c>
      <c r="L28" s="19">
        <f t="shared" si="0"/>
        <v>7.6726342710997439</v>
      </c>
    </row>
    <row r="29" spans="1:12" ht="18.75" customHeight="1">
      <c r="A29" s="8" t="s">
        <v>40</v>
      </c>
      <c r="B29" s="15">
        <f>Paste!C31</f>
        <v>1</v>
      </c>
      <c r="C29" s="15">
        <f>Paste!D31</f>
        <v>0</v>
      </c>
      <c r="D29" s="15">
        <f>Paste!E31</f>
        <v>0</v>
      </c>
      <c r="E29" s="15">
        <f>Paste!F31</f>
        <v>0</v>
      </c>
      <c r="F29" s="15">
        <f>Paste!G31</f>
        <v>1</v>
      </c>
      <c r="G29" s="15">
        <f>Paste!H31</f>
        <v>0</v>
      </c>
      <c r="H29" s="15">
        <f>Paste!I31</f>
        <v>0</v>
      </c>
      <c r="I29" s="16">
        <f t="shared" si="1"/>
        <v>2</v>
      </c>
      <c r="J29" s="17">
        <f>Paste!S31</f>
        <v>72</v>
      </c>
      <c r="K29" s="17">
        <f>Paste!T31</f>
        <v>8</v>
      </c>
      <c r="L29" s="19">
        <f t="shared" si="0"/>
        <v>11.111111111111111</v>
      </c>
    </row>
    <row r="30" spans="1:12" ht="18.75" customHeight="1">
      <c r="A30" s="8" t="s">
        <v>41</v>
      </c>
      <c r="B30" s="15">
        <f>Paste!C32</f>
        <v>5</v>
      </c>
      <c r="C30" s="15">
        <f>Paste!D32</f>
        <v>1</v>
      </c>
      <c r="D30" s="15">
        <f>Paste!E32</f>
        <v>1</v>
      </c>
      <c r="E30" s="15">
        <f>Paste!F32</f>
        <v>1</v>
      </c>
      <c r="F30" s="15">
        <f>Paste!G32</f>
        <v>5</v>
      </c>
      <c r="G30" s="15">
        <f>Paste!H32</f>
        <v>1</v>
      </c>
      <c r="H30" s="15">
        <f>Paste!I32</f>
        <v>2</v>
      </c>
      <c r="I30" s="16">
        <f t="shared" si="1"/>
        <v>16</v>
      </c>
      <c r="J30" s="17">
        <f>Paste!S32</f>
        <v>232</v>
      </c>
      <c r="K30" s="17">
        <f>Paste!T32</f>
        <v>20</v>
      </c>
      <c r="L30" s="19">
        <f t="shared" si="0"/>
        <v>8.6206896551724146</v>
      </c>
    </row>
    <row r="31" spans="1:12" ht="18.75" customHeight="1">
      <c r="A31" s="8" t="s">
        <v>42</v>
      </c>
      <c r="B31" s="15">
        <f>Paste!C33</f>
        <v>19</v>
      </c>
      <c r="C31" s="15">
        <f>Paste!D33</f>
        <v>0</v>
      </c>
      <c r="D31" s="15">
        <f>Paste!E33</f>
        <v>2</v>
      </c>
      <c r="E31" s="15">
        <f>Paste!F33</f>
        <v>0</v>
      </c>
      <c r="F31" s="15">
        <f>Paste!G33</f>
        <v>5</v>
      </c>
      <c r="G31" s="15">
        <f>Paste!H33</f>
        <v>1</v>
      </c>
      <c r="H31" s="15">
        <f>Paste!I33</f>
        <v>1</v>
      </c>
      <c r="I31" s="16">
        <f t="shared" si="1"/>
        <v>28</v>
      </c>
      <c r="J31" s="17">
        <f>Paste!S33</f>
        <v>715</v>
      </c>
      <c r="K31" s="17">
        <f>Paste!T33</f>
        <v>173</v>
      </c>
      <c r="L31" s="19">
        <f t="shared" si="0"/>
        <v>24.195804195804193</v>
      </c>
    </row>
    <row r="32" spans="1:12" ht="18.75" customHeight="1">
      <c r="A32" s="8" t="s">
        <v>43</v>
      </c>
      <c r="B32" s="15">
        <f>Paste!C34</f>
        <v>2</v>
      </c>
      <c r="C32" s="15">
        <f>Paste!D34</f>
        <v>0</v>
      </c>
      <c r="D32" s="15">
        <f>Paste!E34</f>
        <v>0</v>
      </c>
      <c r="E32" s="15">
        <f>Paste!F34</f>
        <v>0</v>
      </c>
      <c r="F32" s="15">
        <f>Paste!G34</f>
        <v>1</v>
      </c>
      <c r="G32" s="15">
        <f>Paste!H34</f>
        <v>0</v>
      </c>
      <c r="H32" s="15">
        <f>Paste!I34</f>
        <v>1</v>
      </c>
      <c r="I32" s="16">
        <f t="shared" si="1"/>
        <v>4</v>
      </c>
      <c r="J32" s="17">
        <f>Paste!S34</f>
        <v>13</v>
      </c>
      <c r="K32" s="17">
        <f>Paste!T34</f>
        <v>1</v>
      </c>
      <c r="L32" s="19">
        <f t="shared" si="0"/>
        <v>7.6923076923076916</v>
      </c>
    </row>
    <row r="33" spans="1:12" ht="18.75" customHeight="1">
      <c r="A33" s="8" t="s">
        <v>44</v>
      </c>
      <c r="B33" s="15">
        <f>Paste!C35</f>
        <v>29</v>
      </c>
      <c r="C33" s="15">
        <f>Paste!D35</f>
        <v>1</v>
      </c>
      <c r="D33" s="15">
        <f>Paste!E35</f>
        <v>1</v>
      </c>
      <c r="E33" s="15">
        <f>Paste!F35</f>
        <v>1</v>
      </c>
      <c r="F33" s="15">
        <f>Paste!G35</f>
        <v>14</v>
      </c>
      <c r="G33" s="15">
        <f>Paste!H35</f>
        <v>1</v>
      </c>
      <c r="H33" s="15">
        <f>Paste!I35</f>
        <v>8</v>
      </c>
      <c r="I33" s="16">
        <f t="shared" si="1"/>
        <v>55</v>
      </c>
      <c r="J33" s="17">
        <f>Paste!S35</f>
        <v>1050</v>
      </c>
      <c r="K33" s="17">
        <f>Paste!T35</f>
        <v>140</v>
      </c>
      <c r="L33" s="19">
        <f t="shared" si="0"/>
        <v>13.333333333333334</v>
      </c>
    </row>
    <row r="34" spans="1:12" ht="18.75" customHeight="1">
      <c r="A34" s="8" t="s">
        <v>45</v>
      </c>
      <c r="B34" s="15">
        <f>Paste!C36</f>
        <v>2</v>
      </c>
      <c r="C34" s="15">
        <f>Paste!D36</f>
        <v>0</v>
      </c>
      <c r="D34" s="15">
        <f>Paste!E36</f>
        <v>0</v>
      </c>
      <c r="E34" s="15">
        <f>Paste!F36</f>
        <v>0</v>
      </c>
      <c r="F34" s="15">
        <f>Paste!G36</f>
        <v>1</v>
      </c>
      <c r="G34" s="15">
        <f>Paste!H36</f>
        <v>0</v>
      </c>
      <c r="H34" s="15">
        <f>Paste!I36</f>
        <v>0</v>
      </c>
      <c r="I34" s="16">
        <f t="shared" si="1"/>
        <v>3</v>
      </c>
      <c r="J34" s="17">
        <f>Paste!S36</f>
        <v>35</v>
      </c>
      <c r="K34" s="17">
        <f>Paste!T36</f>
        <v>2</v>
      </c>
      <c r="L34" s="19">
        <f t="shared" si="0"/>
        <v>5.7142857142857144</v>
      </c>
    </row>
    <row r="35" spans="1:12" ht="18.75" customHeight="1">
      <c r="A35" s="8" t="s">
        <v>46</v>
      </c>
      <c r="B35" s="15">
        <f>Paste!C37</f>
        <v>27</v>
      </c>
      <c r="C35" s="15">
        <f>Paste!D37</f>
        <v>3</v>
      </c>
      <c r="D35" s="15">
        <f>Paste!E37</f>
        <v>0</v>
      </c>
      <c r="E35" s="15">
        <f>Paste!F37</f>
        <v>1</v>
      </c>
      <c r="F35" s="15">
        <f>Paste!G37</f>
        <v>5</v>
      </c>
      <c r="G35" s="15">
        <f>Paste!H37</f>
        <v>2</v>
      </c>
      <c r="H35" s="15">
        <f>Paste!I37</f>
        <v>3</v>
      </c>
      <c r="I35" s="16">
        <f t="shared" si="1"/>
        <v>41</v>
      </c>
      <c r="J35" s="17">
        <f>Paste!S37</f>
        <v>919</v>
      </c>
      <c r="K35" s="17">
        <f>Paste!T37</f>
        <v>106</v>
      </c>
      <c r="L35" s="19">
        <f t="shared" si="0"/>
        <v>11.534276387377584</v>
      </c>
    </row>
    <row r="36" spans="1:12" ht="18.75" customHeight="1">
      <c r="A36" s="8" t="s">
        <v>47</v>
      </c>
      <c r="B36" s="15">
        <f>Paste!C38</f>
        <v>9</v>
      </c>
      <c r="C36" s="15">
        <f>Paste!D38</f>
        <v>1</v>
      </c>
      <c r="D36" s="15">
        <f>Paste!E38</f>
        <v>1</v>
      </c>
      <c r="E36" s="15">
        <f>Paste!F38</f>
        <v>0</v>
      </c>
      <c r="F36" s="15">
        <f>Paste!G38</f>
        <v>2</v>
      </c>
      <c r="G36" s="15">
        <f>Paste!H38</f>
        <v>0</v>
      </c>
      <c r="H36" s="15">
        <f>Paste!I38</f>
        <v>1</v>
      </c>
      <c r="I36" s="16">
        <f t="shared" si="1"/>
        <v>14</v>
      </c>
      <c r="J36" s="17">
        <f>Paste!S38</f>
        <v>165</v>
      </c>
      <c r="K36" s="17">
        <f>Paste!T38</f>
        <v>12</v>
      </c>
      <c r="L36" s="19">
        <f t="shared" si="0"/>
        <v>7.2727272727272734</v>
      </c>
    </row>
    <row r="37" spans="1:12" ht="18.75" customHeight="1">
      <c r="A37" s="8" t="s">
        <v>48</v>
      </c>
      <c r="B37" s="15">
        <f>Paste!C39</f>
        <v>13</v>
      </c>
      <c r="C37" s="15">
        <f>Paste!D39</f>
        <v>2</v>
      </c>
      <c r="D37" s="15">
        <f>Paste!E39</f>
        <v>1</v>
      </c>
      <c r="E37" s="15">
        <f>Paste!F39</f>
        <v>1</v>
      </c>
      <c r="F37" s="15">
        <f>Paste!G39</f>
        <v>3</v>
      </c>
      <c r="G37" s="15">
        <f>Paste!H39</f>
        <v>0</v>
      </c>
      <c r="H37" s="15">
        <f>Paste!I39</f>
        <v>2</v>
      </c>
      <c r="I37" s="16">
        <f t="shared" si="1"/>
        <v>22</v>
      </c>
      <c r="J37" s="17">
        <f>Paste!S39</f>
        <v>372</v>
      </c>
      <c r="K37" s="17">
        <f>Paste!T39</f>
        <v>43</v>
      </c>
      <c r="L37" s="19">
        <f t="shared" si="0"/>
        <v>11.559139784946236</v>
      </c>
    </row>
    <row r="38" spans="1:12" ht="18.75" customHeight="1">
      <c r="A38" s="7" t="s">
        <v>49</v>
      </c>
      <c r="B38" s="16">
        <f t="shared" ref="B38:H38" si="2">SUM(B3:B37)</f>
        <v>300</v>
      </c>
      <c r="C38" s="16">
        <f t="shared" si="2"/>
        <v>34</v>
      </c>
      <c r="D38" s="16">
        <f t="shared" si="2"/>
        <v>25</v>
      </c>
      <c r="E38" s="16">
        <f t="shared" si="2"/>
        <v>17</v>
      </c>
      <c r="F38" s="16">
        <f t="shared" si="2"/>
        <v>89</v>
      </c>
      <c r="G38" s="16">
        <f t="shared" si="2"/>
        <v>9</v>
      </c>
      <c r="H38" s="16">
        <f t="shared" si="2"/>
        <v>80</v>
      </c>
      <c r="I38" s="16">
        <f>SUM(I3:I37)</f>
        <v>554</v>
      </c>
      <c r="J38" s="20">
        <f>SUM(J3:J37)</f>
        <v>17023</v>
      </c>
      <c r="K38" s="20">
        <f>SUM(K3:K37)</f>
        <v>1550</v>
      </c>
      <c r="L38" s="21">
        <f t="shared" si="0"/>
        <v>9.1053280855313403</v>
      </c>
    </row>
  </sheetData>
  <printOptions horizontalCentered="1"/>
  <pageMargins left="0.5" right="0.27777777777777801" top="0.42" bottom="0.47" header="0.26" footer="0.25"/>
  <pageSetup paperSize="9" pageOrder="overThenDown"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tabColor rgb="FF00B050"/>
  </sheetPr>
  <dimension ref="A1:E41"/>
  <sheetViews>
    <sheetView view="pageBreakPreview" topLeftCell="A18" zoomScaleSheetLayoutView="100" workbookViewId="0">
      <selection activeCell="E23" sqref="E23"/>
    </sheetView>
  </sheetViews>
  <sheetFormatPr defaultRowHeight="14.25"/>
  <cols>
    <col min="1" max="1" width="5.140625" style="63" customWidth="1"/>
    <col min="2" max="2" width="29.140625" style="63" bestFit="1" customWidth="1"/>
    <col min="3" max="3" width="17.7109375" style="63" customWidth="1"/>
    <col min="4" max="4" width="19" style="63" customWidth="1"/>
    <col min="5" max="5" width="22.140625" style="63" customWidth="1"/>
    <col min="6" max="234" width="9.140625" style="63"/>
    <col min="235" max="235" width="5.140625" style="63" customWidth="1"/>
    <col min="236" max="236" width="22.5703125" style="63" customWidth="1"/>
    <col min="237" max="237" width="17.7109375" style="63" customWidth="1"/>
    <col min="238" max="238" width="19" style="63" customWidth="1"/>
    <col min="239" max="239" width="22.140625" style="63" customWidth="1"/>
    <col min="240" max="490" width="9.140625" style="63"/>
    <col min="491" max="491" width="5.140625" style="63" customWidth="1"/>
    <col min="492" max="492" width="22.5703125" style="63" customWidth="1"/>
    <col min="493" max="493" width="17.7109375" style="63" customWidth="1"/>
    <col min="494" max="494" width="19" style="63" customWidth="1"/>
    <col min="495" max="495" width="22.140625" style="63" customWidth="1"/>
    <col min="496" max="746" width="9.140625" style="63"/>
    <col min="747" max="747" width="5.140625" style="63" customWidth="1"/>
    <col min="748" max="748" width="22.5703125" style="63" customWidth="1"/>
    <col min="749" max="749" width="17.7109375" style="63" customWidth="1"/>
    <col min="750" max="750" width="19" style="63" customWidth="1"/>
    <col min="751" max="751" width="22.140625" style="63" customWidth="1"/>
    <col min="752" max="1002" width="9.140625" style="63"/>
    <col min="1003" max="1003" width="5.140625" style="63" customWidth="1"/>
    <col min="1004" max="1004" width="22.5703125" style="63" customWidth="1"/>
    <col min="1005" max="1005" width="17.7109375" style="63" customWidth="1"/>
    <col min="1006" max="1006" width="19" style="63" customWidth="1"/>
    <col min="1007" max="1007" width="22.140625" style="63" customWidth="1"/>
    <col min="1008" max="1258" width="9.140625" style="63"/>
    <col min="1259" max="1259" width="5.140625" style="63" customWidth="1"/>
    <col min="1260" max="1260" width="22.5703125" style="63" customWidth="1"/>
    <col min="1261" max="1261" width="17.7109375" style="63" customWidth="1"/>
    <col min="1262" max="1262" width="19" style="63" customWidth="1"/>
    <col min="1263" max="1263" width="22.140625" style="63" customWidth="1"/>
    <col min="1264" max="1514" width="9.140625" style="63"/>
    <col min="1515" max="1515" width="5.140625" style="63" customWidth="1"/>
    <col min="1516" max="1516" width="22.5703125" style="63" customWidth="1"/>
    <col min="1517" max="1517" width="17.7109375" style="63" customWidth="1"/>
    <col min="1518" max="1518" width="19" style="63" customWidth="1"/>
    <col min="1519" max="1519" width="22.140625" style="63" customWidth="1"/>
    <col min="1520" max="1770" width="9.140625" style="63"/>
    <col min="1771" max="1771" width="5.140625" style="63" customWidth="1"/>
    <col min="1772" max="1772" width="22.5703125" style="63" customWidth="1"/>
    <col min="1773" max="1773" width="17.7109375" style="63" customWidth="1"/>
    <col min="1774" max="1774" width="19" style="63" customWidth="1"/>
    <col min="1775" max="1775" width="22.140625" style="63" customWidth="1"/>
    <col min="1776" max="2026" width="9.140625" style="63"/>
    <col min="2027" max="2027" width="5.140625" style="63" customWidth="1"/>
    <col min="2028" max="2028" width="22.5703125" style="63" customWidth="1"/>
    <col min="2029" max="2029" width="17.7109375" style="63" customWidth="1"/>
    <col min="2030" max="2030" width="19" style="63" customWidth="1"/>
    <col min="2031" max="2031" width="22.140625" style="63" customWidth="1"/>
    <col min="2032" max="2282" width="9.140625" style="63"/>
    <col min="2283" max="2283" width="5.140625" style="63" customWidth="1"/>
    <col min="2284" max="2284" width="22.5703125" style="63" customWidth="1"/>
    <col min="2285" max="2285" width="17.7109375" style="63" customWidth="1"/>
    <col min="2286" max="2286" width="19" style="63" customWidth="1"/>
    <col min="2287" max="2287" width="22.140625" style="63" customWidth="1"/>
    <col min="2288" max="2538" width="9.140625" style="63"/>
    <col min="2539" max="2539" width="5.140625" style="63" customWidth="1"/>
    <col min="2540" max="2540" width="22.5703125" style="63" customWidth="1"/>
    <col min="2541" max="2541" width="17.7109375" style="63" customWidth="1"/>
    <col min="2542" max="2542" width="19" style="63" customWidth="1"/>
    <col min="2543" max="2543" width="22.140625" style="63" customWidth="1"/>
    <col min="2544" max="2794" width="9.140625" style="63"/>
    <col min="2795" max="2795" width="5.140625" style="63" customWidth="1"/>
    <col min="2796" max="2796" width="22.5703125" style="63" customWidth="1"/>
    <col min="2797" max="2797" width="17.7109375" style="63" customWidth="1"/>
    <col min="2798" max="2798" width="19" style="63" customWidth="1"/>
    <col min="2799" max="2799" width="22.140625" style="63" customWidth="1"/>
    <col min="2800" max="3050" width="9.140625" style="63"/>
    <col min="3051" max="3051" width="5.140625" style="63" customWidth="1"/>
    <col min="3052" max="3052" width="22.5703125" style="63" customWidth="1"/>
    <col min="3053" max="3053" width="17.7109375" style="63" customWidth="1"/>
    <col min="3054" max="3054" width="19" style="63" customWidth="1"/>
    <col min="3055" max="3055" width="22.140625" style="63" customWidth="1"/>
    <col min="3056" max="3306" width="9.140625" style="63"/>
    <col min="3307" max="3307" width="5.140625" style="63" customWidth="1"/>
    <col min="3308" max="3308" width="22.5703125" style="63" customWidth="1"/>
    <col min="3309" max="3309" width="17.7109375" style="63" customWidth="1"/>
    <col min="3310" max="3310" width="19" style="63" customWidth="1"/>
    <col min="3311" max="3311" width="22.140625" style="63" customWidth="1"/>
    <col min="3312" max="3562" width="9.140625" style="63"/>
    <col min="3563" max="3563" width="5.140625" style="63" customWidth="1"/>
    <col min="3564" max="3564" width="22.5703125" style="63" customWidth="1"/>
    <col min="3565" max="3565" width="17.7109375" style="63" customWidth="1"/>
    <col min="3566" max="3566" width="19" style="63" customWidth="1"/>
    <col min="3567" max="3567" width="22.140625" style="63" customWidth="1"/>
    <col min="3568" max="3818" width="9.140625" style="63"/>
    <col min="3819" max="3819" width="5.140625" style="63" customWidth="1"/>
    <col min="3820" max="3820" width="22.5703125" style="63" customWidth="1"/>
    <col min="3821" max="3821" width="17.7109375" style="63" customWidth="1"/>
    <col min="3822" max="3822" width="19" style="63" customWidth="1"/>
    <col min="3823" max="3823" width="22.140625" style="63" customWidth="1"/>
    <col min="3824" max="4074" width="9.140625" style="63"/>
    <col min="4075" max="4075" width="5.140625" style="63" customWidth="1"/>
    <col min="4076" max="4076" width="22.5703125" style="63" customWidth="1"/>
    <col min="4077" max="4077" width="17.7109375" style="63" customWidth="1"/>
    <col min="4078" max="4078" width="19" style="63" customWidth="1"/>
    <col min="4079" max="4079" width="22.140625" style="63" customWidth="1"/>
    <col min="4080" max="4330" width="9.140625" style="63"/>
    <col min="4331" max="4331" width="5.140625" style="63" customWidth="1"/>
    <col min="4332" max="4332" width="22.5703125" style="63" customWidth="1"/>
    <col min="4333" max="4333" width="17.7109375" style="63" customWidth="1"/>
    <col min="4334" max="4334" width="19" style="63" customWidth="1"/>
    <col min="4335" max="4335" width="22.140625" style="63" customWidth="1"/>
    <col min="4336" max="4586" width="9.140625" style="63"/>
    <col min="4587" max="4587" width="5.140625" style="63" customWidth="1"/>
    <col min="4588" max="4588" width="22.5703125" style="63" customWidth="1"/>
    <col min="4589" max="4589" width="17.7109375" style="63" customWidth="1"/>
    <col min="4590" max="4590" width="19" style="63" customWidth="1"/>
    <col min="4591" max="4591" width="22.140625" style="63" customWidth="1"/>
    <col min="4592" max="4842" width="9.140625" style="63"/>
    <col min="4843" max="4843" width="5.140625" style="63" customWidth="1"/>
    <col min="4844" max="4844" width="22.5703125" style="63" customWidth="1"/>
    <col min="4845" max="4845" width="17.7109375" style="63" customWidth="1"/>
    <col min="4846" max="4846" width="19" style="63" customWidth="1"/>
    <col min="4847" max="4847" width="22.140625" style="63" customWidth="1"/>
    <col min="4848" max="5098" width="9.140625" style="63"/>
    <col min="5099" max="5099" width="5.140625" style="63" customWidth="1"/>
    <col min="5100" max="5100" width="22.5703125" style="63" customWidth="1"/>
    <col min="5101" max="5101" width="17.7109375" style="63" customWidth="1"/>
    <col min="5102" max="5102" width="19" style="63" customWidth="1"/>
    <col min="5103" max="5103" width="22.140625" style="63" customWidth="1"/>
    <col min="5104" max="5354" width="9.140625" style="63"/>
    <col min="5355" max="5355" width="5.140625" style="63" customWidth="1"/>
    <col min="5356" max="5356" width="22.5703125" style="63" customWidth="1"/>
    <col min="5357" max="5357" width="17.7109375" style="63" customWidth="1"/>
    <col min="5358" max="5358" width="19" style="63" customWidth="1"/>
    <col min="5359" max="5359" width="22.140625" style="63" customWidth="1"/>
    <col min="5360" max="5610" width="9.140625" style="63"/>
    <col min="5611" max="5611" width="5.140625" style="63" customWidth="1"/>
    <col min="5612" max="5612" width="22.5703125" style="63" customWidth="1"/>
    <col min="5613" max="5613" width="17.7109375" style="63" customWidth="1"/>
    <col min="5614" max="5614" width="19" style="63" customWidth="1"/>
    <col min="5615" max="5615" width="22.140625" style="63" customWidth="1"/>
    <col min="5616" max="5866" width="9.140625" style="63"/>
    <col min="5867" max="5867" width="5.140625" style="63" customWidth="1"/>
    <col min="5868" max="5868" width="22.5703125" style="63" customWidth="1"/>
    <col min="5869" max="5869" width="17.7109375" style="63" customWidth="1"/>
    <col min="5870" max="5870" width="19" style="63" customWidth="1"/>
    <col min="5871" max="5871" width="22.140625" style="63" customWidth="1"/>
    <col min="5872" max="6122" width="9.140625" style="63"/>
    <col min="6123" max="6123" width="5.140625" style="63" customWidth="1"/>
    <col min="6124" max="6124" width="22.5703125" style="63" customWidth="1"/>
    <col min="6125" max="6125" width="17.7109375" style="63" customWidth="1"/>
    <col min="6126" max="6126" width="19" style="63" customWidth="1"/>
    <col min="6127" max="6127" width="22.140625" style="63" customWidth="1"/>
    <col min="6128" max="6378" width="9.140625" style="63"/>
    <col min="6379" max="6379" width="5.140625" style="63" customWidth="1"/>
    <col min="6380" max="6380" width="22.5703125" style="63" customWidth="1"/>
    <col min="6381" max="6381" width="17.7109375" style="63" customWidth="1"/>
    <col min="6382" max="6382" width="19" style="63" customWidth="1"/>
    <col min="6383" max="6383" width="22.140625" style="63" customWidth="1"/>
    <col min="6384" max="6634" width="9.140625" style="63"/>
    <col min="6635" max="6635" width="5.140625" style="63" customWidth="1"/>
    <col min="6636" max="6636" width="22.5703125" style="63" customWidth="1"/>
    <col min="6637" max="6637" width="17.7109375" style="63" customWidth="1"/>
    <col min="6638" max="6638" width="19" style="63" customWidth="1"/>
    <col min="6639" max="6639" width="22.140625" style="63" customWidth="1"/>
    <col min="6640" max="6890" width="9.140625" style="63"/>
    <col min="6891" max="6891" width="5.140625" style="63" customWidth="1"/>
    <col min="6892" max="6892" width="22.5703125" style="63" customWidth="1"/>
    <col min="6893" max="6893" width="17.7109375" style="63" customWidth="1"/>
    <col min="6894" max="6894" width="19" style="63" customWidth="1"/>
    <col min="6895" max="6895" width="22.140625" style="63" customWidth="1"/>
    <col min="6896" max="7146" width="9.140625" style="63"/>
    <col min="7147" max="7147" width="5.140625" style="63" customWidth="1"/>
    <col min="7148" max="7148" width="22.5703125" style="63" customWidth="1"/>
    <col min="7149" max="7149" width="17.7109375" style="63" customWidth="1"/>
    <col min="7150" max="7150" width="19" style="63" customWidth="1"/>
    <col min="7151" max="7151" width="22.140625" style="63" customWidth="1"/>
    <col min="7152" max="7402" width="9.140625" style="63"/>
    <col min="7403" max="7403" width="5.140625" style="63" customWidth="1"/>
    <col min="7404" max="7404" width="22.5703125" style="63" customWidth="1"/>
    <col min="7405" max="7405" width="17.7109375" style="63" customWidth="1"/>
    <col min="7406" max="7406" width="19" style="63" customWidth="1"/>
    <col min="7407" max="7407" width="22.140625" style="63" customWidth="1"/>
    <col min="7408" max="7658" width="9.140625" style="63"/>
    <col min="7659" max="7659" width="5.140625" style="63" customWidth="1"/>
    <col min="7660" max="7660" width="22.5703125" style="63" customWidth="1"/>
    <col min="7661" max="7661" width="17.7109375" style="63" customWidth="1"/>
    <col min="7662" max="7662" width="19" style="63" customWidth="1"/>
    <col min="7663" max="7663" width="22.140625" style="63" customWidth="1"/>
    <col min="7664" max="7914" width="9.140625" style="63"/>
    <col min="7915" max="7915" width="5.140625" style="63" customWidth="1"/>
    <col min="7916" max="7916" width="22.5703125" style="63" customWidth="1"/>
    <col min="7917" max="7917" width="17.7109375" style="63" customWidth="1"/>
    <col min="7918" max="7918" width="19" style="63" customWidth="1"/>
    <col min="7919" max="7919" width="22.140625" style="63" customWidth="1"/>
    <col min="7920" max="8170" width="9.140625" style="63"/>
    <col min="8171" max="8171" width="5.140625" style="63" customWidth="1"/>
    <col min="8172" max="8172" width="22.5703125" style="63" customWidth="1"/>
    <col min="8173" max="8173" width="17.7109375" style="63" customWidth="1"/>
    <col min="8174" max="8174" width="19" style="63" customWidth="1"/>
    <col min="8175" max="8175" width="22.140625" style="63" customWidth="1"/>
    <col min="8176" max="8426" width="9.140625" style="63"/>
    <col min="8427" max="8427" width="5.140625" style="63" customWidth="1"/>
    <col min="8428" max="8428" width="22.5703125" style="63" customWidth="1"/>
    <col min="8429" max="8429" width="17.7109375" style="63" customWidth="1"/>
    <col min="8430" max="8430" width="19" style="63" customWidth="1"/>
    <col min="8431" max="8431" width="22.140625" style="63" customWidth="1"/>
    <col min="8432" max="8682" width="9.140625" style="63"/>
    <col min="8683" max="8683" width="5.140625" style="63" customWidth="1"/>
    <col min="8684" max="8684" width="22.5703125" style="63" customWidth="1"/>
    <col min="8685" max="8685" width="17.7109375" style="63" customWidth="1"/>
    <col min="8686" max="8686" width="19" style="63" customWidth="1"/>
    <col min="8687" max="8687" width="22.140625" style="63" customWidth="1"/>
    <col min="8688" max="8938" width="9.140625" style="63"/>
    <col min="8939" max="8939" width="5.140625" style="63" customWidth="1"/>
    <col min="8940" max="8940" width="22.5703125" style="63" customWidth="1"/>
    <col min="8941" max="8941" width="17.7109375" style="63" customWidth="1"/>
    <col min="8942" max="8942" width="19" style="63" customWidth="1"/>
    <col min="8943" max="8943" width="22.140625" style="63" customWidth="1"/>
    <col min="8944" max="9194" width="9.140625" style="63"/>
    <col min="9195" max="9195" width="5.140625" style="63" customWidth="1"/>
    <col min="9196" max="9196" width="22.5703125" style="63" customWidth="1"/>
    <col min="9197" max="9197" width="17.7109375" style="63" customWidth="1"/>
    <col min="9198" max="9198" width="19" style="63" customWidth="1"/>
    <col min="9199" max="9199" width="22.140625" style="63" customWidth="1"/>
    <col min="9200" max="9450" width="9.140625" style="63"/>
    <col min="9451" max="9451" width="5.140625" style="63" customWidth="1"/>
    <col min="9452" max="9452" width="22.5703125" style="63" customWidth="1"/>
    <col min="9453" max="9453" width="17.7109375" style="63" customWidth="1"/>
    <col min="9454" max="9454" width="19" style="63" customWidth="1"/>
    <col min="9455" max="9455" width="22.140625" style="63" customWidth="1"/>
    <col min="9456" max="9706" width="9.140625" style="63"/>
    <col min="9707" max="9707" width="5.140625" style="63" customWidth="1"/>
    <col min="9708" max="9708" width="22.5703125" style="63" customWidth="1"/>
    <col min="9709" max="9709" width="17.7109375" style="63" customWidth="1"/>
    <col min="9710" max="9710" width="19" style="63" customWidth="1"/>
    <col min="9711" max="9711" width="22.140625" style="63" customWidth="1"/>
    <col min="9712" max="9962" width="9.140625" style="63"/>
    <col min="9963" max="9963" width="5.140625" style="63" customWidth="1"/>
    <col min="9964" max="9964" width="22.5703125" style="63" customWidth="1"/>
    <col min="9965" max="9965" width="17.7109375" style="63" customWidth="1"/>
    <col min="9966" max="9966" width="19" style="63" customWidth="1"/>
    <col min="9967" max="9967" width="22.140625" style="63" customWidth="1"/>
    <col min="9968" max="10218" width="9.140625" style="63"/>
    <col min="10219" max="10219" width="5.140625" style="63" customWidth="1"/>
    <col min="10220" max="10220" width="22.5703125" style="63" customWidth="1"/>
    <col min="10221" max="10221" width="17.7109375" style="63" customWidth="1"/>
    <col min="10222" max="10222" width="19" style="63" customWidth="1"/>
    <col min="10223" max="10223" width="22.140625" style="63" customWidth="1"/>
    <col min="10224" max="10474" width="9.140625" style="63"/>
    <col min="10475" max="10475" width="5.140625" style="63" customWidth="1"/>
    <col min="10476" max="10476" width="22.5703125" style="63" customWidth="1"/>
    <col min="10477" max="10477" width="17.7109375" style="63" customWidth="1"/>
    <col min="10478" max="10478" width="19" style="63" customWidth="1"/>
    <col min="10479" max="10479" width="22.140625" style="63" customWidth="1"/>
    <col min="10480" max="10730" width="9.140625" style="63"/>
    <col min="10731" max="10731" width="5.140625" style="63" customWidth="1"/>
    <col min="10732" max="10732" width="22.5703125" style="63" customWidth="1"/>
    <col min="10733" max="10733" width="17.7109375" style="63" customWidth="1"/>
    <col min="10734" max="10734" width="19" style="63" customWidth="1"/>
    <col min="10735" max="10735" width="22.140625" style="63" customWidth="1"/>
    <col min="10736" max="10986" width="9.140625" style="63"/>
    <col min="10987" max="10987" width="5.140625" style="63" customWidth="1"/>
    <col min="10988" max="10988" width="22.5703125" style="63" customWidth="1"/>
    <col min="10989" max="10989" width="17.7109375" style="63" customWidth="1"/>
    <col min="10990" max="10990" width="19" style="63" customWidth="1"/>
    <col min="10991" max="10991" width="22.140625" style="63" customWidth="1"/>
    <col min="10992" max="11242" width="9.140625" style="63"/>
    <col min="11243" max="11243" width="5.140625" style="63" customWidth="1"/>
    <col min="11244" max="11244" width="22.5703125" style="63" customWidth="1"/>
    <col min="11245" max="11245" width="17.7109375" style="63" customWidth="1"/>
    <col min="11246" max="11246" width="19" style="63" customWidth="1"/>
    <col min="11247" max="11247" width="22.140625" style="63" customWidth="1"/>
    <col min="11248" max="11498" width="9.140625" style="63"/>
    <col min="11499" max="11499" width="5.140625" style="63" customWidth="1"/>
    <col min="11500" max="11500" width="22.5703125" style="63" customWidth="1"/>
    <col min="11501" max="11501" width="17.7109375" style="63" customWidth="1"/>
    <col min="11502" max="11502" width="19" style="63" customWidth="1"/>
    <col min="11503" max="11503" width="22.140625" style="63" customWidth="1"/>
    <col min="11504" max="11754" width="9.140625" style="63"/>
    <col min="11755" max="11755" width="5.140625" style="63" customWidth="1"/>
    <col min="11756" max="11756" width="22.5703125" style="63" customWidth="1"/>
    <col min="11757" max="11757" width="17.7109375" style="63" customWidth="1"/>
    <col min="11758" max="11758" width="19" style="63" customWidth="1"/>
    <col min="11759" max="11759" width="22.140625" style="63" customWidth="1"/>
    <col min="11760" max="12010" width="9.140625" style="63"/>
    <col min="12011" max="12011" width="5.140625" style="63" customWidth="1"/>
    <col min="12012" max="12012" width="22.5703125" style="63" customWidth="1"/>
    <col min="12013" max="12013" width="17.7109375" style="63" customWidth="1"/>
    <col min="12014" max="12014" width="19" style="63" customWidth="1"/>
    <col min="12015" max="12015" width="22.140625" style="63" customWidth="1"/>
    <col min="12016" max="12266" width="9.140625" style="63"/>
    <col min="12267" max="12267" width="5.140625" style="63" customWidth="1"/>
    <col min="12268" max="12268" width="22.5703125" style="63" customWidth="1"/>
    <col min="12269" max="12269" width="17.7109375" style="63" customWidth="1"/>
    <col min="12270" max="12270" width="19" style="63" customWidth="1"/>
    <col min="12271" max="12271" width="22.140625" style="63" customWidth="1"/>
    <col min="12272" max="12522" width="9.140625" style="63"/>
    <col min="12523" max="12523" width="5.140625" style="63" customWidth="1"/>
    <col min="12524" max="12524" width="22.5703125" style="63" customWidth="1"/>
    <col min="12525" max="12525" width="17.7109375" style="63" customWidth="1"/>
    <col min="12526" max="12526" width="19" style="63" customWidth="1"/>
    <col min="12527" max="12527" width="22.140625" style="63" customWidth="1"/>
    <col min="12528" max="12778" width="9.140625" style="63"/>
    <col min="12779" max="12779" width="5.140625" style="63" customWidth="1"/>
    <col min="12780" max="12780" width="22.5703125" style="63" customWidth="1"/>
    <col min="12781" max="12781" width="17.7109375" style="63" customWidth="1"/>
    <col min="12782" max="12782" width="19" style="63" customWidth="1"/>
    <col min="12783" max="12783" width="22.140625" style="63" customWidth="1"/>
    <col min="12784" max="13034" width="9.140625" style="63"/>
    <col min="13035" max="13035" width="5.140625" style="63" customWidth="1"/>
    <col min="13036" max="13036" width="22.5703125" style="63" customWidth="1"/>
    <col min="13037" max="13037" width="17.7109375" style="63" customWidth="1"/>
    <col min="13038" max="13038" width="19" style="63" customWidth="1"/>
    <col min="13039" max="13039" width="22.140625" style="63" customWidth="1"/>
    <col min="13040" max="13290" width="9.140625" style="63"/>
    <col min="13291" max="13291" width="5.140625" style="63" customWidth="1"/>
    <col min="13292" max="13292" width="22.5703125" style="63" customWidth="1"/>
    <col min="13293" max="13293" width="17.7109375" style="63" customWidth="1"/>
    <col min="13294" max="13294" width="19" style="63" customWidth="1"/>
    <col min="13295" max="13295" width="22.140625" style="63" customWidth="1"/>
    <col min="13296" max="13546" width="9.140625" style="63"/>
    <col min="13547" max="13547" width="5.140625" style="63" customWidth="1"/>
    <col min="13548" max="13548" width="22.5703125" style="63" customWidth="1"/>
    <col min="13549" max="13549" width="17.7109375" style="63" customWidth="1"/>
    <col min="13550" max="13550" width="19" style="63" customWidth="1"/>
    <col min="13551" max="13551" width="22.140625" style="63" customWidth="1"/>
    <col min="13552" max="13802" width="9.140625" style="63"/>
    <col min="13803" max="13803" width="5.140625" style="63" customWidth="1"/>
    <col min="13804" max="13804" width="22.5703125" style="63" customWidth="1"/>
    <col min="13805" max="13805" width="17.7109375" style="63" customWidth="1"/>
    <col min="13806" max="13806" width="19" style="63" customWidth="1"/>
    <col min="13807" max="13807" width="22.140625" style="63" customWidth="1"/>
    <col min="13808" max="14058" width="9.140625" style="63"/>
    <col min="14059" max="14059" width="5.140625" style="63" customWidth="1"/>
    <col min="14060" max="14060" width="22.5703125" style="63" customWidth="1"/>
    <col min="14061" max="14061" width="17.7109375" style="63" customWidth="1"/>
    <col min="14062" max="14062" width="19" style="63" customWidth="1"/>
    <col min="14063" max="14063" width="22.140625" style="63" customWidth="1"/>
    <col min="14064" max="14314" width="9.140625" style="63"/>
    <col min="14315" max="14315" width="5.140625" style="63" customWidth="1"/>
    <col min="14316" max="14316" width="22.5703125" style="63" customWidth="1"/>
    <col min="14317" max="14317" width="17.7109375" style="63" customWidth="1"/>
    <col min="14318" max="14318" width="19" style="63" customWidth="1"/>
    <col min="14319" max="14319" width="22.140625" style="63" customWidth="1"/>
    <col min="14320" max="14570" width="9.140625" style="63"/>
    <col min="14571" max="14571" width="5.140625" style="63" customWidth="1"/>
    <col min="14572" max="14572" width="22.5703125" style="63" customWidth="1"/>
    <col min="14573" max="14573" width="17.7109375" style="63" customWidth="1"/>
    <col min="14574" max="14574" width="19" style="63" customWidth="1"/>
    <col min="14575" max="14575" width="22.140625" style="63" customWidth="1"/>
    <col min="14576" max="14826" width="9.140625" style="63"/>
    <col min="14827" max="14827" width="5.140625" style="63" customWidth="1"/>
    <col min="14828" max="14828" width="22.5703125" style="63" customWidth="1"/>
    <col min="14829" max="14829" width="17.7109375" style="63" customWidth="1"/>
    <col min="14830" max="14830" width="19" style="63" customWidth="1"/>
    <col min="14831" max="14831" width="22.140625" style="63" customWidth="1"/>
    <col min="14832" max="15082" width="9.140625" style="63"/>
    <col min="15083" max="15083" width="5.140625" style="63" customWidth="1"/>
    <col min="15084" max="15084" width="22.5703125" style="63" customWidth="1"/>
    <col min="15085" max="15085" width="17.7109375" style="63" customWidth="1"/>
    <col min="15086" max="15086" width="19" style="63" customWidth="1"/>
    <col min="15087" max="15087" width="22.140625" style="63" customWidth="1"/>
    <col min="15088" max="15338" width="9.140625" style="63"/>
    <col min="15339" max="15339" width="5.140625" style="63" customWidth="1"/>
    <col min="15340" max="15340" width="22.5703125" style="63" customWidth="1"/>
    <col min="15341" max="15341" width="17.7109375" style="63" customWidth="1"/>
    <col min="15342" max="15342" width="19" style="63" customWidth="1"/>
    <col min="15343" max="15343" width="22.140625" style="63" customWidth="1"/>
    <col min="15344" max="15594" width="9.140625" style="63"/>
    <col min="15595" max="15595" width="5.140625" style="63" customWidth="1"/>
    <col min="15596" max="15596" width="22.5703125" style="63" customWidth="1"/>
    <col min="15597" max="15597" width="17.7109375" style="63" customWidth="1"/>
    <col min="15598" max="15598" width="19" style="63" customWidth="1"/>
    <col min="15599" max="15599" width="22.140625" style="63" customWidth="1"/>
    <col min="15600" max="15850" width="9.140625" style="63"/>
    <col min="15851" max="15851" width="5.140625" style="63" customWidth="1"/>
    <col min="15852" max="15852" width="22.5703125" style="63" customWidth="1"/>
    <col min="15853" max="15853" width="17.7109375" style="63" customWidth="1"/>
    <col min="15854" max="15854" width="19" style="63" customWidth="1"/>
    <col min="15855" max="15855" width="22.140625" style="63" customWidth="1"/>
    <col min="15856" max="16106" width="9.140625" style="63"/>
    <col min="16107" max="16107" width="5.140625" style="63" customWidth="1"/>
    <col min="16108" max="16108" width="22.5703125" style="63" customWidth="1"/>
    <col min="16109" max="16109" width="17.7109375" style="63" customWidth="1"/>
    <col min="16110" max="16110" width="19" style="63" customWidth="1"/>
    <col min="16111" max="16111" width="22.140625" style="63" customWidth="1"/>
    <col min="16112" max="16384" width="9.140625" style="63"/>
  </cols>
  <sheetData>
    <row r="1" spans="1:5" s="67" customFormat="1" ht="26.45" customHeight="1">
      <c r="A1" s="886" t="s">
        <v>862</v>
      </c>
      <c r="B1" s="886"/>
      <c r="C1" s="886"/>
      <c r="D1" s="886"/>
      <c r="E1" s="886"/>
    </row>
    <row r="2" spans="1:5" s="66" customFormat="1" ht="39" customHeight="1">
      <c r="A2" s="476" t="s">
        <v>80</v>
      </c>
      <c r="B2" s="476" t="s">
        <v>713</v>
      </c>
      <c r="C2" s="477" t="s">
        <v>133</v>
      </c>
      <c r="D2" s="478" t="s">
        <v>110</v>
      </c>
      <c r="E2" s="478" t="s">
        <v>111</v>
      </c>
    </row>
    <row r="3" spans="1:5" s="66" customFormat="1" ht="14.25" customHeight="1">
      <c r="A3" s="306">
        <v>1</v>
      </c>
      <c r="B3" s="306">
        <v>2</v>
      </c>
      <c r="C3" s="306">
        <v>3</v>
      </c>
      <c r="D3" s="306">
        <v>4</v>
      </c>
      <c r="E3" s="306">
        <v>5</v>
      </c>
    </row>
    <row r="4" spans="1:5" s="65" customFormat="1" ht="20.100000000000001" customHeight="1">
      <c r="A4" s="307">
        <v>1</v>
      </c>
      <c r="B4" s="308" t="s">
        <v>55</v>
      </c>
      <c r="C4" s="309">
        <v>1.2571215765831039</v>
      </c>
      <c r="D4" s="309" t="s">
        <v>806</v>
      </c>
      <c r="E4" s="309">
        <v>1.8953565412252213</v>
      </c>
    </row>
    <row r="5" spans="1:5" s="65" customFormat="1" ht="20.100000000000001" customHeight="1">
      <c r="A5" s="307">
        <v>2</v>
      </c>
      <c r="B5" s="308" t="s">
        <v>15</v>
      </c>
      <c r="C5" s="309">
        <v>0.83967623433225769</v>
      </c>
      <c r="D5" s="309">
        <v>0.86697047660747983</v>
      </c>
      <c r="E5" s="309">
        <v>0.76147948153933376</v>
      </c>
    </row>
    <row r="6" spans="1:5" s="65" customFormat="1" ht="20.100000000000001" customHeight="1">
      <c r="A6" s="307">
        <v>3</v>
      </c>
      <c r="B6" s="308" t="s">
        <v>16</v>
      </c>
      <c r="C6" s="309">
        <v>0.93809529306821593</v>
      </c>
      <c r="D6" s="309" t="s">
        <v>806</v>
      </c>
      <c r="E6" s="309">
        <v>0.90972784812158458</v>
      </c>
    </row>
    <row r="7" spans="1:5" s="65" customFormat="1" ht="20.100000000000001" customHeight="1">
      <c r="A7" s="307">
        <v>4</v>
      </c>
      <c r="B7" s="308" t="s">
        <v>17</v>
      </c>
      <c r="C7" s="309">
        <v>0.9868319007304065</v>
      </c>
      <c r="D7" s="309">
        <v>0.9749622036666985</v>
      </c>
      <c r="E7" s="309">
        <v>0.98664697069145824</v>
      </c>
    </row>
    <row r="8" spans="1:5" s="65" customFormat="1" ht="20.100000000000001" customHeight="1">
      <c r="A8" s="307">
        <v>5</v>
      </c>
      <c r="B8" s="308" t="s">
        <v>18</v>
      </c>
      <c r="C8" s="309">
        <v>0.83060871441045792</v>
      </c>
      <c r="D8" s="309">
        <v>0.60150383164634469</v>
      </c>
      <c r="E8" s="309">
        <v>0.77285963332195551</v>
      </c>
    </row>
    <row r="9" spans="1:5" s="65" customFormat="1" ht="20.100000000000001" customHeight="1">
      <c r="A9" s="307">
        <v>6</v>
      </c>
      <c r="B9" s="308" t="s">
        <v>19</v>
      </c>
      <c r="C9" s="309">
        <v>1.5190828077476024</v>
      </c>
      <c r="D9" s="309">
        <v>1.1493098181450763</v>
      </c>
      <c r="E9" s="309" t="s">
        <v>806</v>
      </c>
    </row>
    <row r="10" spans="1:5" s="65" customFormat="1" ht="20.100000000000001" customHeight="1">
      <c r="A10" s="307">
        <v>7</v>
      </c>
      <c r="B10" s="308" t="s">
        <v>56</v>
      </c>
      <c r="C10" s="309">
        <v>1.1272320440816821</v>
      </c>
      <c r="D10" s="309">
        <v>1.0737411842259637</v>
      </c>
      <c r="E10" s="309">
        <v>1.2708219398650011</v>
      </c>
    </row>
    <row r="11" spans="1:5" s="65" customFormat="1" ht="20.100000000000001" customHeight="1">
      <c r="A11" s="307">
        <v>8</v>
      </c>
      <c r="B11" s="308" t="s">
        <v>21</v>
      </c>
      <c r="C11" s="309">
        <v>1.7517084274106609</v>
      </c>
      <c r="D11" s="309">
        <v>1.2411313706239118</v>
      </c>
      <c r="E11" s="309">
        <v>1.1532249557091772</v>
      </c>
    </row>
    <row r="12" spans="1:5" s="65" customFormat="1" ht="20.100000000000001" customHeight="1">
      <c r="A12" s="307">
        <v>9</v>
      </c>
      <c r="B12" s="308" t="s">
        <v>22</v>
      </c>
      <c r="C12" s="309">
        <v>2.5794341756878287</v>
      </c>
      <c r="D12" s="309">
        <v>1.8812514555612387</v>
      </c>
      <c r="E12" s="309">
        <v>2.2048343964179313</v>
      </c>
    </row>
    <row r="13" spans="1:5" s="65" customFormat="1" ht="20.100000000000001" customHeight="1">
      <c r="A13" s="307">
        <v>10</v>
      </c>
      <c r="B13" s="308" t="s">
        <v>23</v>
      </c>
      <c r="C13" s="309">
        <v>1.1545142499122487</v>
      </c>
      <c r="D13" s="309">
        <v>1.1624332870148726</v>
      </c>
      <c r="E13" s="309" t="s">
        <v>806</v>
      </c>
    </row>
    <row r="14" spans="1:5" s="65" customFormat="1" ht="20.100000000000001" customHeight="1">
      <c r="A14" s="307">
        <v>11</v>
      </c>
      <c r="B14" s="308" t="s">
        <v>24</v>
      </c>
      <c r="C14" s="309">
        <v>1.4549498935890588</v>
      </c>
      <c r="D14" s="309">
        <v>1.0943838457320014</v>
      </c>
      <c r="E14" s="309">
        <v>1.5846105394158374</v>
      </c>
    </row>
    <row r="15" spans="1:5" s="65" customFormat="1" ht="20.100000000000001" customHeight="1">
      <c r="A15" s="307">
        <v>12</v>
      </c>
      <c r="B15" s="308" t="s">
        <v>25</v>
      </c>
      <c r="C15" s="309">
        <v>0.85868113827609005</v>
      </c>
      <c r="D15" s="309">
        <v>0.89130313948148077</v>
      </c>
      <c r="E15" s="309">
        <v>1.0288520247739283</v>
      </c>
    </row>
    <row r="16" spans="1:5" s="65" customFormat="1" ht="20.100000000000001" customHeight="1">
      <c r="A16" s="307">
        <v>13</v>
      </c>
      <c r="B16" s="308" t="s">
        <v>26</v>
      </c>
      <c r="C16" s="309">
        <v>1.220737559457618</v>
      </c>
      <c r="D16" s="309">
        <v>1.2426905600742544</v>
      </c>
      <c r="E16" s="309" t="s">
        <v>806</v>
      </c>
    </row>
    <row r="17" spans="1:5" s="65" customFormat="1" ht="20.100000000000001" customHeight="1">
      <c r="A17" s="310">
        <v>14</v>
      </c>
      <c r="B17" s="308" t="s">
        <v>27</v>
      </c>
      <c r="C17" s="309">
        <v>1.2986510545211807</v>
      </c>
      <c r="D17" s="309">
        <v>1.3371949701743653</v>
      </c>
      <c r="E17" s="309">
        <v>1.2358659464782649</v>
      </c>
    </row>
    <row r="18" spans="1:5" s="65" customFormat="1" ht="20.100000000000001" customHeight="1">
      <c r="A18" s="307">
        <v>15</v>
      </c>
      <c r="B18" s="308" t="s">
        <v>57</v>
      </c>
      <c r="C18" s="309">
        <v>1.048072028729184</v>
      </c>
      <c r="D18" s="309">
        <v>1.3589546360285998</v>
      </c>
      <c r="E18" s="309">
        <v>0.8338779909289441</v>
      </c>
    </row>
    <row r="19" spans="1:5" s="65" customFormat="1" ht="20.100000000000001" customHeight="1">
      <c r="A19" s="307">
        <v>16</v>
      </c>
      <c r="B19" s="308" t="s">
        <v>29</v>
      </c>
      <c r="C19" s="309">
        <v>0.99560814297129219</v>
      </c>
      <c r="D19" s="309">
        <v>0.89038303090052318</v>
      </c>
      <c r="E19" s="309">
        <v>1.1169914076357252</v>
      </c>
    </row>
    <row r="20" spans="1:5" s="65" customFormat="1" ht="20.100000000000001" customHeight="1">
      <c r="A20" s="307">
        <v>17</v>
      </c>
      <c r="B20" s="308" t="s">
        <v>30</v>
      </c>
      <c r="C20" s="309">
        <v>1.048643129978031</v>
      </c>
      <c r="D20" s="309">
        <v>0.99286616456250876</v>
      </c>
      <c r="E20" s="309">
        <v>1.0031288023552705</v>
      </c>
    </row>
    <row r="21" spans="1:5" s="65" customFormat="1" ht="20.100000000000001" customHeight="1">
      <c r="A21" s="307">
        <v>18</v>
      </c>
      <c r="B21" s="308" t="s">
        <v>31</v>
      </c>
      <c r="C21" s="309">
        <v>1.3599229414073033</v>
      </c>
      <c r="D21" s="309">
        <v>1.8624734624926356</v>
      </c>
      <c r="E21" s="309">
        <v>1.4998499701293948</v>
      </c>
    </row>
    <row r="22" spans="1:5" s="65" customFormat="1" ht="20.100000000000001" customHeight="1">
      <c r="A22" s="307">
        <v>19</v>
      </c>
      <c r="B22" s="308" t="s">
        <v>761</v>
      </c>
      <c r="C22" s="309">
        <v>2.2546372138918418</v>
      </c>
      <c r="D22" s="309" t="s">
        <v>806</v>
      </c>
      <c r="E22" s="309">
        <v>2.4325701999565497</v>
      </c>
    </row>
    <row r="23" spans="1:5" s="65" customFormat="1" ht="20.100000000000001" customHeight="1">
      <c r="A23" s="307">
        <v>20</v>
      </c>
      <c r="B23" s="308" t="s">
        <v>139</v>
      </c>
      <c r="C23" s="309">
        <v>3.2443487161989242</v>
      </c>
      <c r="D23" s="309" t="s">
        <v>806</v>
      </c>
      <c r="E23" s="309">
        <v>3.4322475071145524</v>
      </c>
    </row>
    <row r="24" spans="1:5" s="65" customFormat="1" ht="20.100000000000001" customHeight="1">
      <c r="A24" s="307">
        <v>21</v>
      </c>
      <c r="B24" s="308" t="s">
        <v>33</v>
      </c>
      <c r="C24" s="309">
        <v>1.0023186198035481</v>
      </c>
      <c r="D24" s="309">
        <v>1.0252984273840937</v>
      </c>
      <c r="E24" s="309">
        <v>0.97825852486940257</v>
      </c>
    </row>
    <row r="25" spans="1:5" s="65" customFormat="1" ht="20.100000000000001" customHeight="1">
      <c r="A25" s="307">
        <v>22</v>
      </c>
      <c r="B25" s="308" t="s">
        <v>34</v>
      </c>
      <c r="C25" s="309">
        <v>0.92532921404642221</v>
      </c>
      <c r="D25" s="309">
        <v>1.0049978177445362</v>
      </c>
      <c r="E25" s="309">
        <v>0.77589218313136843</v>
      </c>
    </row>
    <row r="26" spans="1:5" s="65" customFormat="1" ht="20.100000000000001" customHeight="1">
      <c r="A26" s="307">
        <v>23</v>
      </c>
      <c r="B26" s="308" t="s">
        <v>35</v>
      </c>
      <c r="C26" s="309">
        <v>1.0302014305521872</v>
      </c>
      <c r="D26" s="309">
        <v>0.95926012513021752</v>
      </c>
      <c r="E26" s="309">
        <v>1.0400563992738892</v>
      </c>
    </row>
    <row r="27" spans="1:5" s="65" customFormat="1" ht="20.100000000000001" customHeight="1">
      <c r="A27" s="307">
        <v>24</v>
      </c>
      <c r="B27" s="308" t="s">
        <v>36</v>
      </c>
      <c r="C27" s="309">
        <v>1.1590914727190393</v>
      </c>
      <c r="D27" s="309">
        <v>0.82524658031814402</v>
      </c>
      <c r="E27" s="309">
        <v>1.2769085624432872</v>
      </c>
    </row>
    <row r="28" spans="1:5" s="65" customFormat="1" ht="20.100000000000001" customHeight="1">
      <c r="A28" s="307">
        <v>25</v>
      </c>
      <c r="B28" s="308" t="s">
        <v>37</v>
      </c>
      <c r="C28" s="309">
        <v>0.92431935778427821</v>
      </c>
      <c r="D28" s="309">
        <v>0.66774155751422126</v>
      </c>
      <c r="E28" s="309">
        <v>0.95246744416595641</v>
      </c>
    </row>
    <row r="29" spans="1:5" s="65" customFormat="1" ht="20.100000000000001" customHeight="1">
      <c r="A29" s="307">
        <v>26</v>
      </c>
      <c r="B29" s="308" t="s">
        <v>38</v>
      </c>
      <c r="C29" s="309">
        <v>1.2417185165173783</v>
      </c>
      <c r="D29" s="309" t="s">
        <v>806</v>
      </c>
      <c r="E29" s="309">
        <v>1.2156602547749475</v>
      </c>
    </row>
    <row r="30" spans="1:5" s="65" customFormat="1" ht="20.100000000000001" customHeight="1">
      <c r="A30" s="307">
        <v>27</v>
      </c>
      <c r="B30" s="308" t="s">
        <v>39</v>
      </c>
      <c r="C30" s="309">
        <v>0.88083344066121882</v>
      </c>
      <c r="D30" s="309">
        <v>0.80440930099127117</v>
      </c>
      <c r="E30" s="309">
        <v>0.85117891374725985</v>
      </c>
    </row>
    <row r="31" spans="1:5" s="65" customFormat="1" ht="20.100000000000001" customHeight="1">
      <c r="A31" s="307">
        <v>28</v>
      </c>
      <c r="B31" s="308" t="s">
        <v>40</v>
      </c>
      <c r="C31" s="309">
        <v>1.2822933420517912</v>
      </c>
      <c r="D31" s="309">
        <v>1.1486537209876329</v>
      </c>
      <c r="E31" s="309" t="s">
        <v>806</v>
      </c>
    </row>
    <row r="32" spans="1:5" s="65" customFormat="1" ht="20.100000000000001" customHeight="1">
      <c r="A32" s="307">
        <v>29</v>
      </c>
      <c r="B32" s="308" t="s">
        <v>41</v>
      </c>
      <c r="C32" s="309">
        <v>1.2799675924365257</v>
      </c>
      <c r="D32" s="309">
        <v>1.4172362049854479</v>
      </c>
      <c r="E32" s="309" t="s">
        <v>806</v>
      </c>
    </row>
    <row r="33" spans="1:5" s="65" customFormat="1" ht="20.100000000000001" customHeight="1">
      <c r="A33" s="307">
        <v>30</v>
      </c>
      <c r="B33" s="308" t="s">
        <v>42</v>
      </c>
      <c r="C33" s="309">
        <v>0.98370449380001046</v>
      </c>
      <c r="D33" s="309">
        <v>0.99639346633363879</v>
      </c>
      <c r="E33" s="309">
        <v>1.0033805092908072</v>
      </c>
    </row>
    <row r="34" spans="1:5" s="65" customFormat="1" ht="20.100000000000001" customHeight="1">
      <c r="A34" s="307">
        <v>31</v>
      </c>
      <c r="B34" s="308" t="s">
        <v>43</v>
      </c>
      <c r="C34" s="309">
        <v>0.80816242261369198</v>
      </c>
      <c r="D34" s="309">
        <v>0.85983506478342875</v>
      </c>
      <c r="E34" s="309">
        <v>1.4933977143200936</v>
      </c>
    </row>
    <row r="35" spans="1:5" s="65" customFormat="1" ht="20.100000000000001" customHeight="1">
      <c r="A35" s="307">
        <v>32</v>
      </c>
      <c r="B35" s="308" t="s">
        <v>44</v>
      </c>
      <c r="C35" s="309">
        <v>0.98520120455447113</v>
      </c>
      <c r="D35" s="309">
        <v>1.0412012524261745</v>
      </c>
      <c r="E35" s="309">
        <v>0.8622989741764242</v>
      </c>
    </row>
    <row r="36" spans="1:5" s="65" customFormat="1" ht="20.100000000000001" customHeight="1">
      <c r="A36" s="307">
        <v>33</v>
      </c>
      <c r="B36" s="308" t="s">
        <v>134</v>
      </c>
      <c r="C36" s="309">
        <v>1.0468508441127653</v>
      </c>
      <c r="D36" s="309">
        <v>1.2286158574785562</v>
      </c>
      <c r="E36" s="309">
        <v>0.93126851543876454</v>
      </c>
    </row>
    <row r="37" spans="1:5" s="65" customFormat="1" ht="20.100000000000001" customHeight="1">
      <c r="A37" s="307">
        <v>34</v>
      </c>
      <c r="B37" s="308" t="s">
        <v>45</v>
      </c>
      <c r="C37" s="309">
        <v>0.79935724185383672</v>
      </c>
      <c r="D37" s="309">
        <v>0.7560727806826919</v>
      </c>
      <c r="E37" s="309">
        <v>0.69074928776121258</v>
      </c>
    </row>
    <row r="38" spans="1:5" s="65" customFormat="1" ht="20.100000000000001" customHeight="1">
      <c r="A38" s="307">
        <v>35</v>
      </c>
      <c r="B38" s="308" t="s">
        <v>47</v>
      </c>
      <c r="C38" s="309">
        <v>1.134064821043739</v>
      </c>
      <c r="D38" s="309">
        <v>1.2175082271754367</v>
      </c>
      <c r="E38" s="309">
        <v>1.0476372677551593</v>
      </c>
    </row>
    <row r="39" spans="1:5" s="65" customFormat="1" ht="20.100000000000001" customHeight="1">
      <c r="A39" s="307">
        <v>36</v>
      </c>
      <c r="B39" s="308" t="s">
        <v>58</v>
      </c>
      <c r="C39" s="309">
        <v>1.0394920242535368</v>
      </c>
      <c r="D39" s="309">
        <v>1.0973983980297501</v>
      </c>
      <c r="E39" s="309">
        <v>1.0078996542380194</v>
      </c>
    </row>
    <row r="40" spans="1:5" s="65" customFormat="1" ht="20.100000000000001" customHeight="1">
      <c r="A40" s="307">
        <v>37</v>
      </c>
      <c r="B40" s="308" t="s">
        <v>48</v>
      </c>
      <c r="C40" s="309">
        <v>0.96266496452393557</v>
      </c>
      <c r="D40" s="309">
        <v>0.98527280620018753</v>
      </c>
      <c r="E40" s="309">
        <v>0.92966528905857126</v>
      </c>
    </row>
    <row r="41" spans="1:5" s="64" customFormat="1" ht="24" customHeight="1">
      <c r="A41" s="887" t="s">
        <v>49</v>
      </c>
      <c r="B41" s="888"/>
      <c r="C41" s="479">
        <v>1.0139153283731475</v>
      </c>
      <c r="D41" s="479">
        <v>1.0531246412394462</v>
      </c>
      <c r="E41" s="479">
        <v>0.97261172861481449</v>
      </c>
    </row>
  </sheetData>
  <mergeCells count="2">
    <mergeCell ref="A1:E1"/>
    <mergeCell ref="A41:B41"/>
  </mergeCells>
  <printOptions horizontalCentered="1"/>
  <pageMargins left="0.6" right="0.5" top="0.5" bottom="0.5" header="0.31496062992126" footer="0.3"/>
  <pageSetup paperSize="9" scale="92" firstPageNumber="24" orientation="portrait" useFirstPageNumber="1" r:id="rId1"/>
  <headerFooter alignWithMargins="0">
    <oddFooter>&amp;L    AISHE 2019-20&amp;CT-20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tabColor rgb="FF00B050"/>
  </sheetPr>
  <dimension ref="A1:W42"/>
  <sheetViews>
    <sheetView view="pageBreakPreview" zoomScaleSheetLayoutView="100" workbookViewId="0">
      <pane xSplit="2" ySplit="3" topLeftCell="O34" activePane="bottomRight" state="frozen"/>
      <selection activeCell="E42" sqref="E42"/>
      <selection pane="topRight" activeCell="E42" sqref="E42"/>
      <selection pane="bottomLeft" activeCell="E42" sqref="E42"/>
      <selection pane="bottomRight" activeCell="X42" sqref="X42"/>
    </sheetView>
  </sheetViews>
  <sheetFormatPr defaultColWidth="9.140625" defaultRowHeight="14.25"/>
  <cols>
    <col min="1" max="1" width="4.28515625" style="317" customWidth="1"/>
    <col min="2" max="2" width="28" style="101" customWidth="1"/>
    <col min="3" max="3" width="7.85546875" style="101" customWidth="1"/>
    <col min="4" max="4" width="8.42578125" style="101" customWidth="1"/>
    <col min="5" max="5" width="8.7109375" style="101" customWidth="1"/>
    <col min="6" max="6" width="7.28515625" style="101" customWidth="1"/>
    <col min="7" max="7" width="8.28515625" style="101" customWidth="1"/>
    <col min="8" max="8" width="7.85546875" style="101" customWidth="1"/>
    <col min="9" max="9" width="7.140625" style="101" customWidth="1"/>
    <col min="10" max="10" width="8" style="101" customWidth="1"/>
    <col min="11" max="11" width="6.7109375" style="101" customWidth="1"/>
    <col min="12" max="12" width="7.7109375" style="101" customWidth="1"/>
    <col min="13" max="14" width="8.140625" style="101" customWidth="1"/>
    <col min="15" max="22" width="9" style="101" customWidth="1"/>
    <col min="23" max="23" width="10.140625" style="101" customWidth="1"/>
    <col min="24" max="16384" width="9.140625" style="101"/>
  </cols>
  <sheetData>
    <row r="1" spans="1:23" s="318" customFormat="1" ht="33" customHeight="1">
      <c r="A1" s="311"/>
      <c r="B1" s="729" t="s">
        <v>748</v>
      </c>
      <c r="C1" s="893" t="s">
        <v>913</v>
      </c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3" t="s">
        <v>914</v>
      </c>
      <c r="P1" s="894"/>
      <c r="Q1" s="894"/>
      <c r="R1" s="894"/>
      <c r="S1" s="894"/>
      <c r="T1" s="894"/>
      <c r="U1" s="894"/>
      <c r="V1" s="894"/>
      <c r="W1" s="894"/>
    </row>
    <row r="2" spans="1:23" s="319" customFormat="1" ht="29.25" customHeight="1">
      <c r="A2" s="750" t="s">
        <v>165</v>
      </c>
      <c r="B2" s="895" t="s">
        <v>713</v>
      </c>
      <c r="C2" s="896" t="s">
        <v>133</v>
      </c>
      <c r="D2" s="897"/>
      <c r="E2" s="898"/>
      <c r="F2" s="896" t="s">
        <v>110</v>
      </c>
      <c r="G2" s="897"/>
      <c r="H2" s="898"/>
      <c r="I2" s="896" t="s">
        <v>111</v>
      </c>
      <c r="J2" s="897"/>
      <c r="K2" s="898"/>
      <c r="L2" s="896" t="s">
        <v>112</v>
      </c>
      <c r="M2" s="897"/>
      <c r="N2" s="898"/>
      <c r="O2" s="896" t="s">
        <v>137</v>
      </c>
      <c r="P2" s="897"/>
      <c r="Q2" s="898"/>
      <c r="R2" s="896" t="s">
        <v>108</v>
      </c>
      <c r="S2" s="897"/>
      <c r="T2" s="898"/>
      <c r="U2" s="889" t="s">
        <v>109</v>
      </c>
      <c r="V2" s="890"/>
      <c r="W2" s="891"/>
    </row>
    <row r="3" spans="1:23" s="319" customFormat="1" ht="21.75" customHeight="1">
      <c r="A3" s="750"/>
      <c r="B3" s="784"/>
      <c r="C3" s="313" t="s">
        <v>87</v>
      </c>
      <c r="D3" s="313" t="s">
        <v>88</v>
      </c>
      <c r="E3" s="313" t="s">
        <v>12</v>
      </c>
      <c r="F3" s="313" t="s">
        <v>87</v>
      </c>
      <c r="G3" s="313" t="s">
        <v>88</v>
      </c>
      <c r="H3" s="313" t="s">
        <v>12</v>
      </c>
      <c r="I3" s="313" t="s">
        <v>87</v>
      </c>
      <c r="J3" s="313" t="s">
        <v>88</v>
      </c>
      <c r="K3" s="313" t="s">
        <v>12</v>
      </c>
      <c r="L3" s="313" t="s">
        <v>87</v>
      </c>
      <c r="M3" s="313" t="s">
        <v>88</v>
      </c>
      <c r="N3" s="313" t="s">
        <v>12</v>
      </c>
      <c r="O3" s="313" t="s">
        <v>87</v>
      </c>
      <c r="P3" s="313" t="s">
        <v>88</v>
      </c>
      <c r="Q3" s="313" t="s">
        <v>12</v>
      </c>
      <c r="R3" s="313" t="s">
        <v>87</v>
      </c>
      <c r="S3" s="313" t="s">
        <v>88</v>
      </c>
      <c r="T3" s="313" t="s">
        <v>12</v>
      </c>
      <c r="U3" s="313" t="s">
        <v>87</v>
      </c>
      <c r="V3" s="313" t="s">
        <v>88</v>
      </c>
      <c r="W3" s="313" t="s">
        <v>12</v>
      </c>
    </row>
    <row r="4" spans="1:23" s="312" customFormat="1">
      <c r="A4" s="314">
        <v>1</v>
      </c>
      <c r="B4" s="314">
        <v>2</v>
      </c>
      <c r="C4" s="314">
        <v>3</v>
      </c>
      <c r="D4" s="314">
        <v>4</v>
      </c>
      <c r="E4" s="314">
        <v>5</v>
      </c>
      <c r="F4" s="314">
        <v>6</v>
      </c>
      <c r="G4" s="314">
        <v>7</v>
      </c>
      <c r="H4" s="314">
        <v>8</v>
      </c>
      <c r="I4" s="314">
        <v>9</v>
      </c>
      <c r="J4" s="314">
        <v>10</v>
      </c>
      <c r="K4" s="314">
        <v>11</v>
      </c>
      <c r="L4" s="314">
        <v>12</v>
      </c>
      <c r="M4" s="314">
        <v>13</v>
      </c>
      <c r="N4" s="314">
        <v>14</v>
      </c>
      <c r="O4" s="314">
        <v>15</v>
      </c>
      <c r="P4" s="314">
        <v>16</v>
      </c>
      <c r="Q4" s="314">
        <v>17</v>
      </c>
      <c r="R4" s="314">
        <v>18</v>
      </c>
      <c r="S4" s="314">
        <v>19</v>
      </c>
      <c r="T4" s="314">
        <v>20</v>
      </c>
      <c r="U4" s="314">
        <v>21</v>
      </c>
      <c r="V4" s="314">
        <v>22</v>
      </c>
      <c r="W4" s="314">
        <v>23</v>
      </c>
    </row>
    <row r="5" spans="1:23" ht="32.25" customHeight="1">
      <c r="A5" s="100">
        <v>1</v>
      </c>
      <c r="B5" s="303" t="s">
        <v>154</v>
      </c>
      <c r="C5" s="155">
        <v>254</v>
      </c>
      <c r="D5" s="155">
        <v>209</v>
      </c>
      <c r="E5" s="155">
        <v>463</v>
      </c>
      <c r="F5" s="155">
        <v>11</v>
      </c>
      <c r="G5" s="155">
        <v>3</v>
      </c>
      <c r="H5" s="155">
        <v>14</v>
      </c>
      <c r="I5" s="155">
        <v>4</v>
      </c>
      <c r="J5" s="155">
        <v>11</v>
      </c>
      <c r="K5" s="155">
        <v>15</v>
      </c>
      <c r="L5" s="155">
        <v>42</v>
      </c>
      <c r="M5" s="155">
        <v>40</v>
      </c>
      <c r="N5" s="155">
        <v>82</v>
      </c>
      <c r="O5" s="155">
        <v>0</v>
      </c>
      <c r="P5" s="155">
        <v>0</v>
      </c>
      <c r="Q5" s="155">
        <v>0</v>
      </c>
      <c r="R5" s="155">
        <v>10</v>
      </c>
      <c r="S5" s="155">
        <v>12</v>
      </c>
      <c r="T5" s="155">
        <v>22</v>
      </c>
      <c r="U5" s="155">
        <v>34</v>
      </c>
      <c r="V5" s="155">
        <v>39</v>
      </c>
      <c r="W5" s="155">
        <v>73</v>
      </c>
    </row>
    <row r="6" spans="1:23" ht="24.75" customHeight="1">
      <c r="A6" s="100">
        <v>2</v>
      </c>
      <c r="B6" s="303" t="s">
        <v>15</v>
      </c>
      <c r="C6" s="155">
        <v>64116</v>
      </c>
      <c r="D6" s="155">
        <v>35621</v>
      </c>
      <c r="E6" s="155">
        <v>99737</v>
      </c>
      <c r="F6" s="155">
        <v>8044</v>
      </c>
      <c r="G6" s="155">
        <v>5712</v>
      </c>
      <c r="H6" s="155">
        <v>13756</v>
      </c>
      <c r="I6" s="155">
        <v>1114</v>
      </c>
      <c r="J6" s="155">
        <v>512</v>
      </c>
      <c r="K6" s="155">
        <v>1626</v>
      </c>
      <c r="L6" s="155">
        <v>24177</v>
      </c>
      <c r="M6" s="155">
        <v>12106</v>
      </c>
      <c r="N6" s="155">
        <v>36283</v>
      </c>
      <c r="O6" s="155">
        <v>208</v>
      </c>
      <c r="P6" s="155">
        <v>38</v>
      </c>
      <c r="Q6" s="155">
        <v>246</v>
      </c>
      <c r="R6" s="155">
        <v>3079</v>
      </c>
      <c r="S6" s="155">
        <v>1628</v>
      </c>
      <c r="T6" s="155">
        <v>4707</v>
      </c>
      <c r="U6" s="155">
        <v>1781</v>
      </c>
      <c r="V6" s="155">
        <v>2180</v>
      </c>
      <c r="W6" s="155">
        <v>3961</v>
      </c>
    </row>
    <row r="7" spans="1:23" ht="24.75" customHeight="1">
      <c r="A7" s="100">
        <v>3</v>
      </c>
      <c r="B7" s="303" t="s">
        <v>16</v>
      </c>
      <c r="C7" s="155">
        <v>1213</v>
      </c>
      <c r="D7" s="155">
        <v>791</v>
      </c>
      <c r="E7" s="155">
        <v>2004</v>
      </c>
      <c r="F7" s="155">
        <v>63</v>
      </c>
      <c r="G7" s="155">
        <v>19</v>
      </c>
      <c r="H7" s="155">
        <v>82</v>
      </c>
      <c r="I7" s="155">
        <v>500</v>
      </c>
      <c r="J7" s="155">
        <v>530</v>
      </c>
      <c r="K7" s="155">
        <v>1030</v>
      </c>
      <c r="L7" s="155">
        <v>170</v>
      </c>
      <c r="M7" s="155">
        <v>67</v>
      </c>
      <c r="N7" s="155">
        <v>237</v>
      </c>
      <c r="O7" s="155">
        <v>8</v>
      </c>
      <c r="P7" s="155">
        <v>0</v>
      </c>
      <c r="Q7" s="155">
        <v>8</v>
      </c>
      <c r="R7" s="155">
        <v>41</v>
      </c>
      <c r="S7" s="155">
        <v>11</v>
      </c>
      <c r="T7" s="155">
        <v>52</v>
      </c>
      <c r="U7" s="155">
        <v>444</v>
      </c>
      <c r="V7" s="155">
        <v>500</v>
      </c>
      <c r="W7" s="155">
        <v>944</v>
      </c>
    </row>
    <row r="8" spans="1:23" ht="24.75" customHeight="1">
      <c r="A8" s="100">
        <v>4</v>
      </c>
      <c r="B8" s="303" t="s">
        <v>17</v>
      </c>
      <c r="C8" s="155">
        <v>13579</v>
      </c>
      <c r="D8" s="155">
        <v>9501</v>
      </c>
      <c r="E8" s="155">
        <v>23080</v>
      </c>
      <c r="F8" s="155">
        <v>848</v>
      </c>
      <c r="G8" s="155">
        <v>574</v>
      </c>
      <c r="H8" s="155">
        <v>1422</v>
      </c>
      <c r="I8" s="155">
        <v>1617</v>
      </c>
      <c r="J8" s="155">
        <v>1369</v>
      </c>
      <c r="K8" s="155">
        <v>2986</v>
      </c>
      <c r="L8" s="155">
        <v>3137</v>
      </c>
      <c r="M8" s="155">
        <v>2466</v>
      </c>
      <c r="N8" s="155">
        <v>5603</v>
      </c>
      <c r="O8" s="155">
        <v>51</v>
      </c>
      <c r="P8" s="155">
        <v>11</v>
      </c>
      <c r="Q8" s="155">
        <v>62</v>
      </c>
      <c r="R8" s="155">
        <v>2225</v>
      </c>
      <c r="S8" s="155">
        <v>618</v>
      </c>
      <c r="T8" s="155">
        <v>2843</v>
      </c>
      <c r="U8" s="155">
        <v>347</v>
      </c>
      <c r="V8" s="155">
        <v>385</v>
      </c>
      <c r="W8" s="155">
        <v>732</v>
      </c>
    </row>
    <row r="9" spans="1:23" ht="24.75" customHeight="1">
      <c r="A9" s="100">
        <v>5</v>
      </c>
      <c r="B9" s="303" t="s">
        <v>18</v>
      </c>
      <c r="C9" s="155">
        <v>23213</v>
      </c>
      <c r="D9" s="155">
        <v>6384</v>
      </c>
      <c r="E9" s="155">
        <v>29597</v>
      </c>
      <c r="F9" s="155">
        <v>1278</v>
      </c>
      <c r="G9" s="155">
        <v>254</v>
      </c>
      <c r="H9" s="155">
        <v>1532</v>
      </c>
      <c r="I9" s="155">
        <v>111</v>
      </c>
      <c r="J9" s="155">
        <v>94</v>
      </c>
      <c r="K9" s="155">
        <v>205</v>
      </c>
      <c r="L9" s="155">
        <v>8627</v>
      </c>
      <c r="M9" s="155">
        <v>1936</v>
      </c>
      <c r="N9" s="155">
        <v>10563</v>
      </c>
      <c r="O9" s="155">
        <v>121</v>
      </c>
      <c r="P9" s="155">
        <v>19</v>
      </c>
      <c r="Q9" s="155">
        <v>140</v>
      </c>
      <c r="R9" s="155">
        <v>2139</v>
      </c>
      <c r="S9" s="155">
        <v>461</v>
      </c>
      <c r="T9" s="155">
        <v>2600</v>
      </c>
      <c r="U9" s="155">
        <v>145</v>
      </c>
      <c r="V9" s="155">
        <v>206</v>
      </c>
      <c r="W9" s="155">
        <v>351</v>
      </c>
    </row>
    <row r="10" spans="1:23" ht="24.75" customHeight="1">
      <c r="A10" s="100">
        <v>6</v>
      </c>
      <c r="B10" s="303" t="s">
        <v>19</v>
      </c>
      <c r="C10" s="155">
        <v>1595</v>
      </c>
      <c r="D10" s="155">
        <v>2169</v>
      </c>
      <c r="E10" s="155">
        <v>3764</v>
      </c>
      <c r="F10" s="155">
        <v>205</v>
      </c>
      <c r="G10" s="155">
        <v>108</v>
      </c>
      <c r="H10" s="155">
        <v>313</v>
      </c>
      <c r="I10" s="155">
        <v>19</v>
      </c>
      <c r="J10" s="155">
        <v>8</v>
      </c>
      <c r="K10" s="155">
        <v>27</v>
      </c>
      <c r="L10" s="155">
        <v>131</v>
      </c>
      <c r="M10" s="155">
        <v>76</v>
      </c>
      <c r="N10" s="155">
        <v>207</v>
      </c>
      <c r="O10" s="155">
        <v>17</v>
      </c>
      <c r="P10" s="155">
        <v>3</v>
      </c>
      <c r="Q10" s="155">
        <v>20</v>
      </c>
      <c r="R10" s="155">
        <v>15</v>
      </c>
      <c r="S10" s="155">
        <v>14</v>
      </c>
      <c r="T10" s="155">
        <v>29</v>
      </c>
      <c r="U10" s="155">
        <v>285</v>
      </c>
      <c r="V10" s="155">
        <v>600</v>
      </c>
      <c r="W10" s="155">
        <v>885</v>
      </c>
    </row>
    <row r="11" spans="1:23" ht="24.75" customHeight="1">
      <c r="A11" s="100">
        <v>7</v>
      </c>
      <c r="B11" s="303" t="s">
        <v>20</v>
      </c>
      <c r="C11" s="155">
        <v>11452</v>
      </c>
      <c r="D11" s="155">
        <v>10783</v>
      </c>
      <c r="E11" s="155">
        <v>22235</v>
      </c>
      <c r="F11" s="155">
        <v>1143</v>
      </c>
      <c r="G11" s="155">
        <v>717</v>
      </c>
      <c r="H11" s="155">
        <v>1860</v>
      </c>
      <c r="I11" s="155">
        <v>677</v>
      </c>
      <c r="J11" s="155">
        <v>781</v>
      </c>
      <c r="K11" s="155">
        <v>1458</v>
      </c>
      <c r="L11" s="155">
        <v>3431</v>
      </c>
      <c r="M11" s="155">
        <v>2904</v>
      </c>
      <c r="N11" s="155">
        <v>6335</v>
      </c>
      <c r="O11" s="155">
        <v>55</v>
      </c>
      <c r="P11" s="155">
        <v>46</v>
      </c>
      <c r="Q11" s="155">
        <v>101</v>
      </c>
      <c r="R11" s="155">
        <v>274</v>
      </c>
      <c r="S11" s="155">
        <v>321</v>
      </c>
      <c r="T11" s="155">
        <v>595</v>
      </c>
      <c r="U11" s="155">
        <v>507</v>
      </c>
      <c r="V11" s="155">
        <v>1037</v>
      </c>
      <c r="W11" s="155">
        <v>1544</v>
      </c>
    </row>
    <row r="12" spans="1:23" ht="24.75" customHeight="1">
      <c r="A12" s="100">
        <v>8</v>
      </c>
      <c r="B12" s="303" t="s">
        <v>155</v>
      </c>
      <c r="C12" s="155">
        <v>119</v>
      </c>
      <c r="D12" s="155">
        <v>116</v>
      </c>
      <c r="E12" s="155">
        <v>235</v>
      </c>
      <c r="F12" s="155">
        <v>10</v>
      </c>
      <c r="G12" s="155">
        <v>3</v>
      </c>
      <c r="H12" s="155">
        <v>13</v>
      </c>
      <c r="I12" s="155">
        <v>6</v>
      </c>
      <c r="J12" s="155">
        <v>7</v>
      </c>
      <c r="K12" s="155">
        <v>13</v>
      </c>
      <c r="L12" s="155">
        <v>27</v>
      </c>
      <c r="M12" s="155">
        <v>14</v>
      </c>
      <c r="N12" s="155">
        <v>41</v>
      </c>
      <c r="O12" s="155">
        <v>3</v>
      </c>
      <c r="P12" s="155">
        <v>0</v>
      </c>
      <c r="Q12" s="155">
        <v>3</v>
      </c>
      <c r="R12" s="155">
        <v>5</v>
      </c>
      <c r="S12" s="155">
        <v>2</v>
      </c>
      <c r="T12" s="155">
        <v>7</v>
      </c>
      <c r="U12" s="155">
        <v>9</v>
      </c>
      <c r="V12" s="155">
        <v>10</v>
      </c>
      <c r="W12" s="155">
        <v>19</v>
      </c>
    </row>
    <row r="13" spans="1:23" ht="24.75" customHeight="1">
      <c r="A13" s="100">
        <v>9</v>
      </c>
      <c r="B13" s="303" t="s">
        <v>156</v>
      </c>
      <c r="C13" s="155">
        <v>163</v>
      </c>
      <c r="D13" s="155">
        <v>109</v>
      </c>
      <c r="E13" s="155">
        <v>272</v>
      </c>
      <c r="F13" s="155">
        <v>18</v>
      </c>
      <c r="G13" s="155">
        <v>5</v>
      </c>
      <c r="H13" s="155">
        <v>23</v>
      </c>
      <c r="I13" s="155">
        <v>3</v>
      </c>
      <c r="J13" s="155">
        <v>2</v>
      </c>
      <c r="K13" s="155">
        <v>5</v>
      </c>
      <c r="L13" s="155">
        <v>32</v>
      </c>
      <c r="M13" s="155">
        <v>21</v>
      </c>
      <c r="N13" s="155">
        <v>53</v>
      </c>
      <c r="O13" s="155">
        <v>5</v>
      </c>
      <c r="P13" s="155">
        <v>0</v>
      </c>
      <c r="Q13" s="155">
        <v>5</v>
      </c>
      <c r="R13" s="155">
        <v>4</v>
      </c>
      <c r="S13" s="155">
        <v>3</v>
      </c>
      <c r="T13" s="155">
        <v>7</v>
      </c>
      <c r="U13" s="155">
        <v>2</v>
      </c>
      <c r="V13" s="155">
        <v>8</v>
      </c>
      <c r="W13" s="155">
        <v>10</v>
      </c>
    </row>
    <row r="14" spans="1:23" ht="24.75" customHeight="1">
      <c r="A14" s="100">
        <v>10</v>
      </c>
      <c r="B14" s="303" t="s">
        <v>23</v>
      </c>
      <c r="C14" s="155">
        <v>10008</v>
      </c>
      <c r="D14" s="155">
        <v>11754</v>
      </c>
      <c r="E14" s="155">
        <v>21762</v>
      </c>
      <c r="F14" s="155">
        <v>1112</v>
      </c>
      <c r="G14" s="155">
        <v>825</v>
      </c>
      <c r="H14" s="155">
        <v>1937</v>
      </c>
      <c r="I14" s="155">
        <v>333</v>
      </c>
      <c r="J14" s="155">
        <v>248</v>
      </c>
      <c r="K14" s="155">
        <v>581</v>
      </c>
      <c r="L14" s="155">
        <v>1328</v>
      </c>
      <c r="M14" s="155">
        <v>918</v>
      </c>
      <c r="N14" s="155">
        <v>2246</v>
      </c>
      <c r="O14" s="155">
        <v>156</v>
      </c>
      <c r="P14" s="155">
        <v>69</v>
      </c>
      <c r="Q14" s="155">
        <v>225</v>
      </c>
      <c r="R14" s="155">
        <v>948</v>
      </c>
      <c r="S14" s="155">
        <v>467</v>
      </c>
      <c r="T14" s="155">
        <v>1415</v>
      </c>
      <c r="U14" s="155">
        <v>557</v>
      </c>
      <c r="V14" s="155">
        <v>1054</v>
      </c>
      <c r="W14" s="155">
        <v>1611</v>
      </c>
    </row>
    <row r="15" spans="1:23" ht="24.75" customHeight="1">
      <c r="A15" s="100">
        <v>11</v>
      </c>
      <c r="B15" s="303" t="s">
        <v>24</v>
      </c>
      <c r="C15" s="155">
        <v>1671</v>
      </c>
      <c r="D15" s="155">
        <v>1968</v>
      </c>
      <c r="E15" s="155">
        <v>3639</v>
      </c>
      <c r="F15" s="155">
        <v>31</v>
      </c>
      <c r="G15" s="155">
        <v>17</v>
      </c>
      <c r="H15" s="155">
        <v>48</v>
      </c>
      <c r="I15" s="155">
        <v>45</v>
      </c>
      <c r="J15" s="155">
        <v>49</v>
      </c>
      <c r="K15" s="155">
        <v>94</v>
      </c>
      <c r="L15" s="155">
        <v>141</v>
      </c>
      <c r="M15" s="155">
        <v>193</v>
      </c>
      <c r="N15" s="155">
        <v>334</v>
      </c>
      <c r="O15" s="155">
        <v>4</v>
      </c>
      <c r="P15" s="155">
        <v>3</v>
      </c>
      <c r="Q15" s="155">
        <v>7</v>
      </c>
      <c r="R15" s="155">
        <v>29</v>
      </c>
      <c r="S15" s="155">
        <v>43</v>
      </c>
      <c r="T15" s="155">
        <v>72</v>
      </c>
      <c r="U15" s="155">
        <v>269</v>
      </c>
      <c r="V15" s="155">
        <v>621</v>
      </c>
      <c r="W15" s="155">
        <v>890</v>
      </c>
    </row>
    <row r="16" spans="1:23" ht="24.75" customHeight="1">
      <c r="A16" s="100">
        <v>12</v>
      </c>
      <c r="B16" s="303" t="s">
        <v>25</v>
      </c>
      <c r="C16" s="155">
        <v>35627</v>
      </c>
      <c r="D16" s="155">
        <v>24761</v>
      </c>
      <c r="E16" s="155">
        <v>60388</v>
      </c>
      <c r="F16" s="155">
        <v>2196</v>
      </c>
      <c r="G16" s="155">
        <v>1265</v>
      </c>
      <c r="H16" s="155">
        <v>3461</v>
      </c>
      <c r="I16" s="155">
        <v>1643</v>
      </c>
      <c r="J16" s="155">
        <v>1129</v>
      </c>
      <c r="K16" s="155">
        <v>2772</v>
      </c>
      <c r="L16" s="155">
        <v>7247</v>
      </c>
      <c r="M16" s="155">
        <v>4146</v>
      </c>
      <c r="N16" s="155">
        <v>11393</v>
      </c>
      <c r="O16" s="155">
        <v>181</v>
      </c>
      <c r="P16" s="155">
        <v>50</v>
      </c>
      <c r="Q16" s="155">
        <v>231</v>
      </c>
      <c r="R16" s="155">
        <v>1065</v>
      </c>
      <c r="S16" s="155">
        <v>653</v>
      </c>
      <c r="T16" s="155">
        <v>1718</v>
      </c>
      <c r="U16" s="155">
        <v>1030</v>
      </c>
      <c r="V16" s="155">
        <v>1060</v>
      </c>
      <c r="W16" s="155">
        <v>2090</v>
      </c>
    </row>
    <row r="17" spans="1:23" ht="24.75" customHeight="1">
      <c r="A17" s="100">
        <v>13</v>
      </c>
      <c r="B17" s="303" t="s">
        <v>26</v>
      </c>
      <c r="C17" s="155">
        <v>18541</v>
      </c>
      <c r="D17" s="155">
        <v>20690</v>
      </c>
      <c r="E17" s="155">
        <v>39231</v>
      </c>
      <c r="F17" s="155">
        <v>1532</v>
      </c>
      <c r="G17" s="155">
        <v>1018</v>
      </c>
      <c r="H17" s="155">
        <v>2550</v>
      </c>
      <c r="I17" s="155">
        <v>29</v>
      </c>
      <c r="J17" s="155">
        <v>16</v>
      </c>
      <c r="K17" s="155">
        <v>45</v>
      </c>
      <c r="L17" s="155">
        <v>2331</v>
      </c>
      <c r="M17" s="155">
        <v>2194</v>
      </c>
      <c r="N17" s="155">
        <v>4525</v>
      </c>
      <c r="O17" s="155">
        <v>91</v>
      </c>
      <c r="P17" s="155">
        <v>40</v>
      </c>
      <c r="Q17" s="155">
        <v>131</v>
      </c>
      <c r="R17" s="155">
        <v>552</v>
      </c>
      <c r="S17" s="155">
        <v>182</v>
      </c>
      <c r="T17" s="155">
        <v>734</v>
      </c>
      <c r="U17" s="155">
        <v>604</v>
      </c>
      <c r="V17" s="155">
        <v>1049</v>
      </c>
      <c r="W17" s="155">
        <v>1653</v>
      </c>
    </row>
    <row r="18" spans="1:23" ht="24.75" customHeight="1">
      <c r="A18" s="100">
        <v>14</v>
      </c>
      <c r="B18" s="303" t="s">
        <v>27</v>
      </c>
      <c r="C18" s="155">
        <v>5648</v>
      </c>
      <c r="D18" s="155">
        <v>5133</v>
      </c>
      <c r="E18" s="155">
        <v>10781</v>
      </c>
      <c r="F18" s="155">
        <v>569</v>
      </c>
      <c r="G18" s="155">
        <v>394</v>
      </c>
      <c r="H18" s="155">
        <v>963</v>
      </c>
      <c r="I18" s="155">
        <v>215</v>
      </c>
      <c r="J18" s="155">
        <v>174</v>
      </c>
      <c r="K18" s="155">
        <v>389</v>
      </c>
      <c r="L18" s="155">
        <v>363</v>
      </c>
      <c r="M18" s="155">
        <v>287</v>
      </c>
      <c r="N18" s="155">
        <v>650</v>
      </c>
      <c r="O18" s="155">
        <v>34</v>
      </c>
      <c r="P18" s="155">
        <v>10</v>
      </c>
      <c r="Q18" s="155">
        <v>44</v>
      </c>
      <c r="R18" s="155">
        <v>52</v>
      </c>
      <c r="S18" s="155">
        <v>37</v>
      </c>
      <c r="T18" s="155">
        <v>89</v>
      </c>
      <c r="U18" s="155">
        <v>198</v>
      </c>
      <c r="V18" s="155">
        <v>190</v>
      </c>
      <c r="W18" s="155">
        <v>388</v>
      </c>
    </row>
    <row r="19" spans="1:23" ht="26.25" customHeight="1">
      <c r="A19" s="100">
        <v>15</v>
      </c>
      <c r="B19" s="303" t="s">
        <v>57</v>
      </c>
      <c r="C19" s="155">
        <v>6580</v>
      </c>
      <c r="D19" s="155">
        <v>4741</v>
      </c>
      <c r="E19" s="155">
        <v>11321</v>
      </c>
      <c r="F19" s="155">
        <v>280</v>
      </c>
      <c r="G19" s="155">
        <v>255</v>
      </c>
      <c r="H19" s="155">
        <v>535</v>
      </c>
      <c r="I19" s="155">
        <v>177</v>
      </c>
      <c r="J19" s="155">
        <v>57</v>
      </c>
      <c r="K19" s="155">
        <v>234</v>
      </c>
      <c r="L19" s="155">
        <v>276</v>
      </c>
      <c r="M19" s="155">
        <v>104</v>
      </c>
      <c r="N19" s="155">
        <v>380</v>
      </c>
      <c r="O19" s="155">
        <v>33</v>
      </c>
      <c r="P19" s="155">
        <v>10</v>
      </c>
      <c r="Q19" s="155">
        <v>43</v>
      </c>
      <c r="R19" s="155">
        <v>4373</v>
      </c>
      <c r="S19" s="155">
        <v>2111</v>
      </c>
      <c r="T19" s="155">
        <v>6484</v>
      </c>
      <c r="U19" s="155">
        <v>205</v>
      </c>
      <c r="V19" s="155">
        <v>324</v>
      </c>
      <c r="W19" s="155">
        <v>529</v>
      </c>
    </row>
    <row r="20" spans="1:23" ht="24.75" customHeight="1">
      <c r="A20" s="100">
        <v>16</v>
      </c>
      <c r="B20" s="303" t="s">
        <v>29</v>
      </c>
      <c r="C20" s="155">
        <v>9514</v>
      </c>
      <c r="D20" s="155">
        <v>4174</v>
      </c>
      <c r="E20" s="155">
        <v>13688</v>
      </c>
      <c r="F20" s="155">
        <v>437</v>
      </c>
      <c r="G20" s="155">
        <v>132</v>
      </c>
      <c r="H20" s="155">
        <v>569</v>
      </c>
      <c r="I20" s="155">
        <v>498</v>
      </c>
      <c r="J20" s="155">
        <v>756</v>
      </c>
      <c r="K20" s="155">
        <v>1254</v>
      </c>
      <c r="L20" s="155">
        <v>2879</v>
      </c>
      <c r="M20" s="155">
        <v>888</v>
      </c>
      <c r="N20" s="155">
        <v>3767</v>
      </c>
      <c r="O20" s="155">
        <v>41</v>
      </c>
      <c r="P20" s="155">
        <v>5</v>
      </c>
      <c r="Q20" s="155">
        <v>46</v>
      </c>
      <c r="R20" s="155">
        <v>669</v>
      </c>
      <c r="S20" s="155">
        <v>236</v>
      </c>
      <c r="T20" s="155">
        <v>905</v>
      </c>
      <c r="U20" s="155">
        <v>433</v>
      </c>
      <c r="V20" s="155">
        <v>707</v>
      </c>
      <c r="W20" s="155">
        <v>1140</v>
      </c>
    </row>
    <row r="21" spans="1:23" ht="24.75" customHeight="1">
      <c r="A21" s="100">
        <v>17</v>
      </c>
      <c r="B21" s="303" t="s">
        <v>30</v>
      </c>
      <c r="C21" s="155">
        <v>80677</v>
      </c>
      <c r="D21" s="155">
        <v>67691</v>
      </c>
      <c r="E21" s="155">
        <v>148368</v>
      </c>
      <c r="F21" s="155">
        <v>8391</v>
      </c>
      <c r="G21" s="155">
        <v>4168</v>
      </c>
      <c r="H21" s="155">
        <v>12559</v>
      </c>
      <c r="I21" s="155">
        <v>2207</v>
      </c>
      <c r="J21" s="155">
        <v>1022</v>
      </c>
      <c r="K21" s="155">
        <v>3229</v>
      </c>
      <c r="L21" s="155">
        <v>30024</v>
      </c>
      <c r="M21" s="155">
        <v>24554</v>
      </c>
      <c r="N21" s="155">
        <v>54578</v>
      </c>
      <c r="O21" s="155">
        <v>283</v>
      </c>
      <c r="P21" s="155">
        <v>105</v>
      </c>
      <c r="Q21" s="155">
        <v>388</v>
      </c>
      <c r="R21" s="155">
        <v>4714</v>
      </c>
      <c r="S21" s="155">
        <v>4048</v>
      </c>
      <c r="T21" s="155">
        <v>8762</v>
      </c>
      <c r="U21" s="155">
        <v>4016</v>
      </c>
      <c r="V21" s="155">
        <v>8209</v>
      </c>
      <c r="W21" s="155">
        <v>12225</v>
      </c>
    </row>
    <row r="22" spans="1:23" ht="24.75" customHeight="1">
      <c r="A22" s="100">
        <v>18</v>
      </c>
      <c r="B22" s="303" t="s">
        <v>31</v>
      </c>
      <c r="C22" s="155">
        <v>23712</v>
      </c>
      <c r="D22" s="155">
        <v>37846</v>
      </c>
      <c r="E22" s="155">
        <v>61558</v>
      </c>
      <c r="F22" s="155">
        <v>906</v>
      </c>
      <c r="G22" s="155">
        <v>1380</v>
      </c>
      <c r="H22" s="155">
        <v>2286</v>
      </c>
      <c r="I22" s="155">
        <v>86</v>
      </c>
      <c r="J22" s="155">
        <v>99</v>
      </c>
      <c r="K22" s="155">
        <v>185</v>
      </c>
      <c r="L22" s="155">
        <v>9231</v>
      </c>
      <c r="M22" s="155">
        <v>14651</v>
      </c>
      <c r="N22" s="155">
        <v>23882</v>
      </c>
      <c r="O22" s="155">
        <v>119</v>
      </c>
      <c r="P22" s="155">
        <v>45</v>
      </c>
      <c r="Q22" s="155">
        <v>164</v>
      </c>
      <c r="R22" s="155">
        <v>4112</v>
      </c>
      <c r="S22" s="155">
        <v>3926</v>
      </c>
      <c r="T22" s="155">
        <v>8038</v>
      </c>
      <c r="U22" s="155">
        <v>7114</v>
      </c>
      <c r="V22" s="155">
        <v>12558</v>
      </c>
      <c r="W22" s="155">
        <v>19672</v>
      </c>
    </row>
    <row r="23" spans="1:23" ht="24.75" customHeight="1">
      <c r="A23" s="100">
        <v>19</v>
      </c>
      <c r="B23" s="303" t="s">
        <v>761</v>
      </c>
      <c r="C23" s="155">
        <v>135</v>
      </c>
      <c r="D23" s="155">
        <v>64</v>
      </c>
      <c r="E23" s="155">
        <v>199</v>
      </c>
      <c r="F23" s="155">
        <v>2</v>
      </c>
      <c r="G23" s="155">
        <v>0</v>
      </c>
      <c r="H23" s="155">
        <v>2</v>
      </c>
      <c r="I23" s="155">
        <v>83</v>
      </c>
      <c r="J23" s="155">
        <v>61</v>
      </c>
      <c r="K23" s="155">
        <v>144</v>
      </c>
      <c r="L23" s="155">
        <v>2</v>
      </c>
      <c r="M23" s="155">
        <v>0</v>
      </c>
      <c r="N23" s="155">
        <v>2</v>
      </c>
      <c r="O23" s="155">
        <v>0</v>
      </c>
      <c r="P23" s="155">
        <v>0</v>
      </c>
      <c r="Q23" s="155">
        <v>0</v>
      </c>
      <c r="R23" s="155">
        <v>89</v>
      </c>
      <c r="S23" s="155">
        <v>22</v>
      </c>
      <c r="T23" s="155">
        <v>111</v>
      </c>
      <c r="U23" s="155">
        <v>37</v>
      </c>
      <c r="V23" s="155">
        <v>41</v>
      </c>
      <c r="W23" s="155">
        <v>78</v>
      </c>
    </row>
    <row r="24" spans="1:23" ht="24.75" customHeight="1">
      <c r="A24" s="100">
        <v>20</v>
      </c>
      <c r="B24" s="303" t="s">
        <v>32</v>
      </c>
      <c r="C24" s="155">
        <v>25</v>
      </c>
      <c r="D24" s="155">
        <v>20</v>
      </c>
      <c r="E24" s="155">
        <v>45</v>
      </c>
      <c r="F24" s="155">
        <v>5</v>
      </c>
      <c r="G24" s="155">
        <v>3</v>
      </c>
      <c r="H24" s="155">
        <v>8</v>
      </c>
      <c r="I24" s="155">
        <v>8</v>
      </c>
      <c r="J24" s="155">
        <v>11</v>
      </c>
      <c r="K24" s="155">
        <v>19</v>
      </c>
      <c r="L24" s="155">
        <v>11</v>
      </c>
      <c r="M24" s="155">
        <v>6</v>
      </c>
      <c r="N24" s="155">
        <v>17</v>
      </c>
      <c r="O24" s="155">
        <v>0</v>
      </c>
      <c r="P24" s="155">
        <v>0</v>
      </c>
      <c r="Q24" s="155">
        <v>0</v>
      </c>
      <c r="R24" s="155">
        <v>17</v>
      </c>
      <c r="S24" s="155">
        <v>14</v>
      </c>
      <c r="T24" s="155">
        <v>31</v>
      </c>
      <c r="U24" s="155">
        <v>0</v>
      </c>
      <c r="V24" s="155">
        <v>0</v>
      </c>
      <c r="W24" s="155">
        <v>0</v>
      </c>
    </row>
    <row r="25" spans="1:23" ht="24.75" customHeight="1">
      <c r="A25" s="100">
        <v>21</v>
      </c>
      <c r="B25" s="303" t="s">
        <v>33</v>
      </c>
      <c r="C25" s="155">
        <v>37474</v>
      </c>
      <c r="D25" s="155">
        <v>26632</v>
      </c>
      <c r="E25" s="155">
        <v>64106</v>
      </c>
      <c r="F25" s="155">
        <v>2781</v>
      </c>
      <c r="G25" s="155">
        <v>1469</v>
      </c>
      <c r="H25" s="155">
        <v>4250</v>
      </c>
      <c r="I25" s="155">
        <v>899</v>
      </c>
      <c r="J25" s="155">
        <v>564</v>
      </c>
      <c r="K25" s="155">
        <v>1463</v>
      </c>
      <c r="L25" s="155">
        <v>8874</v>
      </c>
      <c r="M25" s="155">
        <v>5338</v>
      </c>
      <c r="N25" s="155">
        <v>14212</v>
      </c>
      <c r="O25" s="155">
        <v>142</v>
      </c>
      <c r="P25" s="155">
        <v>72</v>
      </c>
      <c r="Q25" s="155">
        <v>214</v>
      </c>
      <c r="R25" s="155">
        <v>1514</v>
      </c>
      <c r="S25" s="155">
        <v>1145</v>
      </c>
      <c r="T25" s="155">
        <v>2659</v>
      </c>
      <c r="U25" s="155">
        <v>1274</v>
      </c>
      <c r="V25" s="155">
        <v>1782</v>
      </c>
      <c r="W25" s="155">
        <v>3056</v>
      </c>
    </row>
    <row r="26" spans="1:23" ht="24.75" customHeight="1">
      <c r="A26" s="100">
        <v>22</v>
      </c>
      <c r="B26" s="303" t="s">
        <v>34</v>
      </c>
      <c r="C26" s="155">
        <v>95447</v>
      </c>
      <c r="D26" s="155">
        <v>67685</v>
      </c>
      <c r="E26" s="155">
        <v>163132</v>
      </c>
      <c r="F26" s="155">
        <v>12202</v>
      </c>
      <c r="G26" s="155">
        <v>6800</v>
      </c>
      <c r="H26" s="155">
        <v>19002</v>
      </c>
      <c r="I26" s="155">
        <v>1881</v>
      </c>
      <c r="J26" s="155">
        <v>769</v>
      </c>
      <c r="K26" s="155">
        <v>2650</v>
      </c>
      <c r="L26" s="155">
        <v>22893</v>
      </c>
      <c r="M26" s="155">
        <v>13947</v>
      </c>
      <c r="N26" s="155">
        <v>36840</v>
      </c>
      <c r="O26" s="155">
        <v>392</v>
      </c>
      <c r="P26" s="155">
        <v>130</v>
      </c>
      <c r="Q26" s="155">
        <v>522</v>
      </c>
      <c r="R26" s="155">
        <v>4823</v>
      </c>
      <c r="S26" s="155">
        <v>3320</v>
      </c>
      <c r="T26" s="155">
        <v>8143</v>
      </c>
      <c r="U26" s="155">
        <v>6744</v>
      </c>
      <c r="V26" s="155">
        <v>5757</v>
      </c>
      <c r="W26" s="155">
        <v>12501</v>
      </c>
    </row>
    <row r="27" spans="1:23" ht="24.75" customHeight="1">
      <c r="A27" s="100">
        <v>23</v>
      </c>
      <c r="B27" s="303" t="s">
        <v>35</v>
      </c>
      <c r="C27" s="155">
        <v>2792</v>
      </c>
      <c r="D27" s="155">
        <v>2702</v>
      </c>
      <c r="E27" s="155">
        <v>5494</v>
      </c>
      <c r="F27" s="155">
        <v>187</v>
      </c>
      <c r="G27" s="155">
        <v>107</v>
      </c>
      <c r="H27" s="155">
        <v>294</v>
      </c>
      <c r="I27" s="155">
        <v>414</v>
      </c>
      <c r="J27" s="155">
        <v>446</v>
      </c>
      <c r="K27" s="155">
        <v>860</v>
      </c>
      <c r="L27" s="155">
        <v>495</v>
      </c>
      <c r="M27" s="155">
        <v>418</v>
      </c>
      <c r="N27" s="155">
        <v>913</v>
      </c>
      <c r="O27" s="155">
        <v>5</v>
      </c>
      <c r="P27" s="155">
        <v>9</v>
      </c>
      <c r="Q27" s="155">
        <v>14</v>
      </c>
      <c r="R27" s="155">
        <v>95</v>
      </c>
      <c r="S27" s="155">
        <v>29</v>
      </c>
      <c r="T27" s="155">
        <v>124</v>
      </c>
      <c r="U27" s="155">
        <v>544</v>
      </c>
      <c r="V27" s="155">
        <v>520</v>
      </c>
      <c r="W27" s="155">
        <v>1064</v>
      </c>
    </row>
    <row r="28" spans="1:23" ht="24.75" customHeight="1">
      <c r="A28" s="100">
        <v>24</v>
      </c>
      <c r="B28" s="303" t="s">
        <v>36</v>
      </c>
      <c r="C28" s="155">
        <v>1597</v>
      </c>
      <c r="D28" s="155">
        <v>2027</v>
      </c>
      <c r="E28" s="155">
        <v>3624</v>
      </c>
      <c r="F28" s="155">
        <v>47</v>
      </c>
      <c r="G28" s="155">
        <v>33</v>
      </c>
      <c r="H28" s="155">
        <v>80</v>
      </c>
      <c r="I28" s="155">
        <v>864</v>
      </c>
      <c r="J28" s="155">
        <v>1566</v>
      </c>
      <c r="K28" s="155">
        <v>2430</v>
      </c>
      <c r="L28" s="155">
        <v>87</v>
      </c>
      <c r="M28" s="155">
        <v>49</v>
      </c>
      <c r="N28" s="155">
        <v>136</v>
      </c>
      <c r="O28" s="155">
        <v>4</v>
      </c>
      <c r="P28" s="155">
        <v>1</v>
      </c>
      <c r="Q28" s="155">
        <v>5</v>
      </c>
      <c r="R28" s="155">
        <v>106</v>
      </c>
      <c r="S28" s="155">
        <v>55</v>
      </c>
      <c r="T28" s="155">
        <v>161</v>
      </c>
      <c r="U28" s="155">
        <v>871</v>
      </c>
      <c r="V28" s="155">
        <v>1577</v>
      </c>
      <c r="W28" s="155">
        <v>2448</v>
      </c>
    </row>
    <row r="29" spans="1:23" ht="24.75" customHeight="1">
      <c r="A29" s="100">
        <v>25</v>
      </c>
      <c r="B29" s="303" t="s">
        <v>37</v>
      </c>
      <c r="C29" s="155">
        <v>1032</v>
      </c>
      <c r="D29" s="155">
        <v>895</v>
      </c>
      <c r="E29" s="155">
        <v>1927</v>
      </c>
      <c r="F29" s="155">
        <v>34</v>
      </c>
      <c r="G29" s="155">
        <v>13</v>
      </c>
      <c r="H29" s="155">
        <v>47</v>
      </c>
      <c r="I29" s="155">
        <v>759</v>
      </c>
      <c r="J29" s="155">
        <v>834</v>
      </c>
      <c r="K29" s="155">
        <v>1593</v>
      </c>
      <c r="L29" s="155">
        <v>68</v>
      </c>
      <c r="M29" s="155">
        <v>15</v>
      </c>
      <c r="N29" s="155">
        <v>83</v>
      </c>
      <c r="O29" s="155">
        <v>4</v>
      </c>
      <c r="P29" s="155">
        <v>0</v>
      </c>
      <c r="Q29" s="155">
        <v>4</v>
      </c>
      <c r="R29" s="155">
        <v>15</v>
      </c>
      <c r="S29" s="155">
        <v>1</v>
      </c>
      <c r="T29" s="155">
        <v>16</v>
      </c>
      <c r="U29" s="155">
        <v>763</v>
      </c>
      <c r="V29" s="155">
        <v>840</v>
      </c>
      <c r="W29" s="155">
        <v>1603</v>
      </c>
    </row>
    <row r="30" spans="1:23" ht="24.75" customHeight="1">
      <c r="A30" s="100">
        <v>26</v>
      </c>
      <c r="B30" s="303" t="s">
        <v>38</v>
      </c>
      <c r="C30" s="155">
        <v>1058</v>
      </c>
      <c r="D30" s="155">
        <v>1363</v>
      </c>
      <c r="E30" s="155">
        <v>2421</v>
      </c>
      <c r="F30" s="155">
        <v>35</v>
      </c>
      <c r="G30" s="155">
        <v>13</v>
      </c>
      <c r="H30" s="155">
        <v>48</v>
      </c>
      <c r="I30" s="155">
        <v>710</v>
      </c>
      <c r="J30" s="155">
        <v>1246</v>
      </c>
      <c r="K30" s="155">
        <v>1956</v>
      </c>
      <c r="L30" s="155">
        <v>82</v>
      </c>
      <c r="M30" s="155">
        <v>30</v>
      </c>
      <c r="N30" s="155">
        <v>112</v>
      </c>
      <c r="O30" s="155">
        <v>2</v>
      </c>
      <c r="P30" s="155">
        <v>0</v>
      </c>
      <c r="Q30" s="155">
        <v>2</v>
      </c>
      <c r="R30" s="155">
        <v>21</v>
      </c>
      <c r="S30" s="155">
        <v>6</v>
      </c>
      <c r="T30" s="155">
        <v>27</v>
      </c>
      <c r="U30" s="155">
        <v>771</v>
      </c>
      <c r="V30" s="155">
        <v>1279</v>
      </c>
      <c r="W30" s="155">
        <v>2050</v>
      </c>
    </row>
    <row r="31" spans="1:23" ht="24.75" customHeight="1">
      <c r="A31" s="100">
        <v>27</v>
      </c>
      <c r="B31" s="303" t="s">
        <v>39</v>
      </c>
      <c r="C31" s="155">
        <v>25065</v>
      </c>
      <c r="D31" s="155">
        <v>14991</v>
      </c>
      <c r="E31" s="155">
        <v>40056</v>
      </c>
      <c r="F31" s="155">
        <v>1271</v>
      </c>
      <c r="G31" s="155">
        <v>734</v>
      </c>
      <c r="H31" s="155">
        <v>2005</v>
      </c>
      <c r="I31" s="155">
        <v>595</v>
      </c>
      <c r="J31" s="155">
        <v>570</v>
      </c>
      <c r="K31" s="155">
        <v>1165</v>
      </c>
      <c r="L31" s="155">
        <v>3902</v>
      </c>
      <c r="M31" s="155">
        <v>1804</v>
      </c>
      <c r="N31" s="155">
        <v>5706</v>
      </c>
      <c r="O31" s="155">
        <v>101</v>
      </c>
      <c r="P31" s="155">
        <v>36</v>
      </c>
      <c r="Q31" s="155">
        <v>137</v>
      </c>
      <c r="R31" s="155">
        <v>249</v>
      </c>
      <c r="S31" s="155">
        <v>147</v>
      </c>
      <c r="T31" s="155">
        <v>396</v>
      </c>
      <c r="U31" s="155">
        <v>194</v>
      </c>
      <c r="V31" s="155">
        <v>301</v>
      </c>
      <c r="W31" s="155">
        <v>495</v>
      </c>
    </row>
    <row r="32" spans="1:23" ht="24.75" customHeight="1">
      <c r="A32" s="100">
        <v>28</v>
      </c>
      <c r="B32" s="303" t="s">
        <v>40</v>
      </c>
      <c r="C32" s="155">
        <v>3576</v>
      </c>
      <c r="D32" s="155">
        <v>2795</v>
      </c>
      <c r="E32" s="155">
        <v>6371</v>
      </c>
      <c r="F32" s="155">
        <v>412</v>
      </c>
      <c r="G32" s="155">
        <v>264</v>
      </c>
      <c r="H32" s="155">
        <v>676</v>
      </c>
      <c r="I32" s="155">
        <v>32</v>
      </c>
      <c r="J32" s="155">
        <v>13</v>
      </c>
      <c r="K32" s="155">
        <v>45</v>
      </c>
      <c r="L32" s="155">
        <v>1936</v>
      </c>
      <c r="M32" s="155">
        <v>1683</v>
      </c>
      <c r="N32" s="155">
        <v>3619</v>
      </c>
      <c r="O32" s="155">
        <v>31</v>
      </c>
      <c r="P32" s="155">
        <v>5</v>
      </c>
      <c r="Q32" s="155">
        <v>36</v>
      </c>
      <c r="R32" s="155">
        <v>112</v>
      </c>
      <c r="S32" s="155">
        <v>63</v>
      </c>
      <c r="T32" s="155">
        <v>175</v>
      </c>
      <c r="U32" s="155">
        <v>297</v>
      </c>
      <c r="V32" s="155">
        <v>324</v>
      </c>
      <c r="W32" s="155">
        <v>621</v>
      </c>
    </row>
    <row r="33" spans="1:23" ht="24.75" customHeight="1">
      <c r="A33" s="100">
        <v>29</v>
      </c>
      <c r="B33" s="303" t="s">
        <v>41</v>
      </c>
      <c r="C33" s="155">
        <v>21105</v>
      </c>
      <c r="D33" s="155">
        <v>30967</v>
      </c>
      <c r="E33" s="155">
        <v>52072</v>
      </c>
      <c r="F33" s="155">
        <v>1648</v>
      </c>
      <c r="G33" s="155">
        <v>2054</v>
      </c>
      <c r="H33" s="155">
        <v>3702</v>
      </c>
      <c r="I33" s="155">
        <v>29</v>
      </c>
      <c r="J33" s="155">
        <v>21</v>
      </c>
      <c r="K33" s="155">
        <v>50</v>
      </c>
      <c r="L33" s="155">
        <v>1117</v>
      </c>
      <c r="M33" s="155">
        <v>1569</v>
      </c>
      <c r="N33" s="155">
        <v>2686</v>
      </c>
      <c r="O33" s="155">
        <v>73</v>
      </c>
      <c r="P33" s="155">
        <v>37</v>
      </c>
      <c r="Q33" s="155">
        <v>110</v>
      </c>
      <c r="R33" s="155">
        <v>410</v>
      </c>
      <c r="S33" s="155">
        <v>181</v>
      </c>
      <c r="T33" s="155">
        <v>591</v>
      </c>
      <c r="U33" s="155">
        <v>9473</v>
      </c>
      <c r="V33" s="155">
        <v>16785</v>
      </c>
      <c r="W33" s="155">
        <v>26258</v>
      </c>
    </row>
    <row r="34" spans="1:23" ht="24.75" customHeight="1">
      <c r="A34" s="100">
        <v>30</v>
      </c>
      <c r="B34" s="303" t="s">
        <v>42</v>
      </c>
      <c r="C34" s="155">
        <v>49032</v>
      </c>
      <c r="D34" s="155">
        <v>28345</v>
      </c>
      <c r="E34" s="155">
        <v>77377</v>
      </c>
      <c r="F34" s="155">
        <v>4683</v>
      </c>
      <c r="G34" s="155">
        <v>1406</v>
      </c>
      <c r="H34" s="155">
        <v>6089</v>
      </c>
      <c r="I34" s="155">
        <v>1876</v>
      </c>
      <c r="J34" s="155">
        <v>608</v>
      </c>
      <c r="K34" s="155">
        <v>2484</v>
      </c>
      <c r="L34" s="155">
        <v>16236</v>
      </c>
      <c r="M34" s="155">
        <v>7575</v>
      </c>
      <c r="N34" s="155">
        <v>23811</v>
      </c>
      <c r="O34" s="155">
        <v>159</v>
      </c>
      <c r="P34" s="155">
        <v>54</v>
      </c>
      <c r="Q34" s="155">
        <v>213</v>
      </c>
      <c r="R34" s="155">
        <v>1607</v>
      </c>
      <c r="S34" s="155">
        <v>624</v>
      </c>
      <c r="T34" s="155">
        <v>2231</v>
      </c>
      <c r="U34" s="155">
        <v>1102</v>
      </c>
      <c r="V34" s="155">
        <v>1337</v>
      </c>
      <c r="W34" s="155">
        <v>2439</v>
      </c>
    </row>
    <row r="35" spans="1:23" ht="24.75" customHeight="1">
      <c r="A35" s="100">
        <v>31</v>
      </c>
      <c r="B35" s="303" t="s">
        <v>43</v>
      </c>
      <c r="C35" s="155">
        <v>1000</v>
      </c>
      <c r="D35" s="155">
        <v>711</v>
      </c>
      <c r="E35" s="155">
        <v>1711</v>
      </c>
      <c r="F35" s="155">
        <v>48</v>
      </c>
      <c r="G35" s="155">
        <v>16</v>
      </c>
      <c r="H35" s="155">
        <v>64</v>
      </c>
      <c r="I35" s="155">
        <v>169</v>
      </c>
      <c r="J35" s="155">
        <v>243</v>
      </c>
      <c r="K35" s="155">
        <v>412</v>
      </c>
      <c r="L35" s="155">
        <v>222</v>
      </c>
      <c r="M35" s="155">
        <v>185</v>
      </c>
      <c r="N35" s="155">
        <v>407</v>
      </c>
      <c r="O35" s="155">
        <v>3</v>
      </c>
      <c r="P35" s="155">
        <v>0</v>
      </c>
      <c r="Q35" s="155">
        <v>3</v>
      </c>
      <c r="R35" s="155">
        <v>24</v>
      </c>
      <c r="S35" s="155">
        <v>5</v>
      </c>
      <c r="T35" s="155">
        <v>29</v>
      </c>
      <c r="U35" s="155">
        <v>177</v>
      </c>
      <c r="V35" s="155">
        <v>255</v>
      </c>
      <c r="W35" s="155">
        <v>432</v>
      </c>
    </row>
    <row r="36" spans="1:23" ht="24.75" customHeight="1">
      <c r="A36" s="100">
        <v>32</v>
      </c>
      <c r="B36" s="303" t="s">
        <v>44</v>
      </c>
      <c r="C36" s="155">
        <v>102469</v>
      </c>
      <c r="D36" s="155">
        <v>99616</v>
      </c>
      <c r="E36" s="155">
        <v>202085</v>
      </c>
      <c r="F36" s="155">
        <v>12283</v>
      </c>
      <c r="G36" s="155">
        <v>10225</v>
      </c>
      <c r="H36" s="155">
        <v>22508</v>
      </c>
      <c r="I36" s="155">
        <v>303</v>
      </c>
      <c r="J36" s="155">
        <v>205</v>
      </c>
      <c r="K36" s="155">
        <v>508</v>
      </c>
      <c r="L36" s="155">
        <v>72558</v>
      </c>
      <c r="M36" s="155">
        <v>70704</v>
      </c>
      <c r="N36" s="155">
        <v>143262</v>
      </c>
      <c r="O36" s="155">
        <v>330</v>
      </c>
      <c r="P36" s="155">
        <v>223</v>
      </c>
      <c r="Q36" s="155">
        <v>553</v>
      </c>
      <c r="R36" s="155">
        <v>3440</v>
      </c>
      <c r="S36" s="155">
        <v>2589</v>
      </c>
      <c r="T36" s="155">
        <v>6029</v>
      </c>
      <c r="U36" s="155">
        <v>10037</v>
      </c>
      <c r="V36" s="155">
        <v>15805</v>
      </c>
      <c r="W36" s="155">
        <v>25842</v>
      </c>
    </row>
    <row r="37" spans="1:23" ht="24.75" customHeight="1">
      <c r="A37" s="100">
        <v>33</v>
      </c>
      <c r="B37" s="315" t="s">
        <v>134</v>
      </c>
      <c r="C37" s="155">
        <v>49351</v>
      </c>
      <c r="D37" s="155">
        <v>33352</v>
      </c>
      <c r="E37" s="155">
        <v>82703</v>
      </c>
      <c r="F37" s="155">
        <v>5502</v>
      </c>
      <c r="G37" s="155">
        <v>3853</v>
      </c>
      <c r="H37" s="155">
        <v>9355</v>
      </c>
      <c r="I37" s="155">
        <v>2336</v>
      </c>
      <c r="J37" s="155">
        <v>658</v>
      </c>
      <c r="K37" s="155">
        <v>2994</v>
      </c>
      <c r="L37" s="155">
        <v>22343</v>
      </c>
      <c r="M37" s="155">
        <v>12978</v>
      </c>
      <c r="N37" s="155">
        <v>35321</v>
      </c>
      <c r="O37" s="155">
        <v>140</v>
      </c>
      <c r="P37" s="155">
        <v>53</v>
      </c>
      <c r="Q37" s="155">
        <v>193</v>
      </c>
      <c r="R37" s="155">
        <v>4066</v>
      </c>
      <c r="S37" s="155">
        <v>3236</v>
      </c>
      <c r="T37" s="155">
        <v>7302</v>
      </c>
      <c r="U37" s="155">
        <v>1051</v>
      </c>
      <c r="V37" s="155">
        <v>2018</v>
      </c>
      <c r="W37" s="155">
        <v>3069</v>
      </c>
    </row>
    <row r="38" spans="1:23" ht="24.75" customHeight="1">
      <c r="A38" s="100">
        <v>34</v>
      </c>
      <c r="B38" s="303" t="s">
        <v>45</v>
      </c>
      <c r="C38" s="155">
        <v>1513</v>
      </c>
      <c r="D38" s="155">
        <v>898</v>
      </c>
      <c r="E38" s="155">
        <v>2411</v>
      </c>
      <c r="F38" s="155">
        <v>225</v>
      </c>
      <c r="G38" s="155">
        <v>103</v>
      </c>
      <c r="H38" s="155">
        <v>328</v>
      </c>
      <c r="I38" s="155">
        <v>221</v>
      </c>
      <c r="J38" s="155">
        <v>133</v>
      </c>
      <c r="K38" s="155">
        <v>354</v>
      </c>
      <c r="L38" s="155">
        <v>176</v>
      </c>
      <c r="M38" s="155">
        <v>93</v>
      </c>
      <c r="N38" s="155">
        <v>269</v>
      </c>
      <c r="O38" s="155">
        <v>6</v>
      </c>
      <c r="P38" s="155">
        <v>1</v>
      </c>
      <c r="Q38" s="155">
        <v>7</v>
      </c>
      <c r="R38" s="155">
        <v>21</v>
      </c>
      <c r="S38" s="155">
        <v>9</v>
      </c>
      <c r="T38" s="155">
        <v>30</v>
      </c>
      <c r="U38" s="155">
        <v>90</v>
      </c>
      <c r="V38" s="155">
        <v>67</v>
      </c>
      <c r="W38" s="155">
        <v>157</v>
      </c>
    </row>
    <row r="39" spans="1:23" ht="24.75" customHeight="1">
      <c r="A39" s="100">
        <v>35</v>
      </c>
      <c r="B39" s="303" t="s">
        <v>47</v>
      </c>
      <c r="C39" s="155">
        <v>109990</v>
      </c>
      <c r="D39" s="155">
        <v>51449</v>
      </c>
      <c r="E39" s="155">
        <v>161439</v>
      </c>
      <c r="F39" s="155">
        <v>10637</v>
      </c>
      <c r="G39" s="155">
        <v>3158</v>
      </c>
      <c r="H39" s="155">
        <v>13795</v>
      </c>
      <c r="I39" s="155">
        <v>290</v>
      </c>
      <c r="J39" s="155">
        <v>109</v>
      </c>
      <c r="K39" s="155">
        <v>399</v>
      </c>
      <c r="L39" s="155">
        <v>33882</v>
      </c>
      <c r="M39" s="155">
        <v>11703</v>
      </c>
      <c r="N39" s="155">
        <v>45585</v>
      </c>
      <c r="O39" s="155">
        <v>403</v>
      </c>
      <c r="P39" s="155">
        <v>99</v>
      </c>
      <c r="Q39" s="155">
        <v>502</v>
      </c>
      <c r="R39" s="155">
        <v>7367</v>
      </c>
      <c r="S39" s="155">
        <v>3199</v>
      </c>
      <c r="T39" s="155">
        <v>10566</v>
      </c>
      <c r="U39" s="155">
        <v>1238</v>
      </c>
      <c r="V39" s="155">
        <v>1680</v>
      </c>
      <c r="W39" s="155">
        <v>2918</v>
      </c>
    </row>
    <row r="40" spans="1:23" ht="24.75" customHeight="1">
      <c r="A40" s="100">
        <v>36</v>
      </c>
      <c r="B40" s="303" t="s">
        <v>46</v>
      </c>
      <c r="C40" s="155">
        <v>11214</v>
      </c>
      <c r="D40" s="155">
        <v>7100</v>
      </c>
      <c r="E40" s="155">
        <v>18314</v>
      </c>
      <c r="F40" s="155">
        <v>869</v>
      </c>
      <c r="G40" s="155">
        <v>379</v>
      </c>
      <c r="H40" s="155">
        <v>1248</v>
      </c>
      <c r="I40" s="155">
        <v>102</v>
      </c>
      <c r="J40" s="155">
        <v>61</v>
      </c>
      <c r="K40" s="155">
        <v>163</v>
      </c>
      <c r="L40" s="155">
        <v>1350</v>
      </c>
      <c r="M40" s="155">
        <v>674</v>
      </c>
      <c r="N40" s="155">
        <v>2024</v>
      </c>
      <c r="O40" s="155">
        <v>35</v>
      </c>
      <c r="P40" s="155">
        <v>11</v>
      </c>
      <c r="Q40" s="155">
        <v>46</v>
      </c>
      <c r="R40" s="155">
        <v>420</v>
      </c>
      <c r="S40" s="155">
        <v>199</v>
      </c>
      <c r="T40" s="155">
        <v>619</v>
      </c>
      <c r="U40" s="155">
        <v>193</v>
      </c>
      <c r="V40" s="155">
        <v>245</v>
      </c>
      <c r="W40" s="155">
        <v>438</v>
      </c>
    </row>
    <row r="41" spans="1:23" ht="24.75" customHeight="1">
      <c r="A41" s="100">
        <v>37</v>
      </c>
      <c r="B41" s="303" t="s">
        <v>48</v>
      </c>
      <c r="C41" s="155">
        <v>42780</v>
      </c>
      <c r="D41" s="155">
        <v>22766</v>
      </c>
      <c r="E41" s="155">
        <v>65546</v>
      </c>
      <c r="F41" s="155">
        <v>5317</v>
      </c>
      <c r="G41" s="155">
        <v>1851</v>
      </c>
      <c r="H41" s="155">
        <v>7168</v>
      </c>
      <c r="I41" s="155">
        <v>572</v>
      </c>
      <c r="J41" s="155">
        <v>396</v>
      </c>
      <c r="K41" s="155">
        <v>968</v>
      </c>
      <c r="L41" s="155">
        <v>4846</v>
      </c>
      <c r="M41" s="155">
        <v>1469</v>
      </c>
      <c r="N41" s="155">
        <v>6315</v>
      </c>
      <c r="O41" s="155">
        <v>208</v>
      </c>
      <c r="P41" s="155">
        <v>43</v>
      </c>
      <c r="Q41" s="155">
        <v>251</v>
      </c>
      <c r="R41" s="155">
        <v>4062</v>
      </c>
      <c r="S41" s="155">
        <v>1113</v>
      </c>
      <c r="T41" s="155">
        <v>5175</v>
      </c>
      <c r="U41" s="155">
        <v>412</v>
      </c>
      <c r="V41" s="155">
        <v>399</v>
      </c>
      <c r="W41" s="155">
        <v>811</v>
      </c>
    </row>
    <row r="42" spans="1:23" s="316" customFormat="1" ht="30.75" customHeight="1">
      <c r="A42" s="892" t="s">
        <v>49</v>
      </c>
      <c r="B42" s="892"/>
      <c r="C42" s="91">
        <f>SUM(C5:C41)</f>
        <v>864337</v>
      </c>
      <c r="D42" s="91">
        <f t="shared" ref="D42:W42" si="0">SUM(D5:D41)</f>
        <v>638819</v>
      </c>
      <c r="E42" s="91">
        <f t="shared" si="0"/>
        <v>1503156</v>
      </c>
      <c r="F42" s="91">
        <f t="shared" si="0"/>
        <v>85262</v>
      </c>
      <c r="G42" s="91">
        <f t="shared" si="0"/>
        <v>49330</v>
      </c>
      <c r="H42" s="91">
        <f t="shared" si="0"/>
        <v>134592</v>
      </c>
      <c r="I42" s="91">
        <f t="shared" si="0"/>
        <v>21427</v>
      </c>
      <c r="J42" s="91">
        <f t="shared" si="0"/>
        <v>15378</v>
      </c>
      <c r="K42" s="91">
        <f t="shared" si="0"/>
        <v>36805</v>
      </c>
      <c r="L42" s="91">
        <f t="shared" si="0"/>
        <v>284674</v>
      </c>
      <c r="M42" s="91">
        <f t="shared" si="0"/>
        <v>197805</v>
      </c>
      <c r="N42" s="91">
        <f t="shared" si="0"/>
        <v>482479</v>
      </c>
      <c r="O42" s="91">
        <f t="shared" si="0"/>
        <v>3448</v>
      </c>
      <c r="P42" s="91">
        <f t="shared" si="0"/>
        <v>1228</v>
      </c>
      <c r="Q42" s="91">
        <f t="shared" si="0"/>
        <v>4676</v>
      </c>
      <c r="R42" s="91">
        <f t="shared" si="0"/>
        <v>52764</v>
      </c>
      <c r="S42" s="91">
        <f t="shared" si="0"/>
        <v>30730</v>
      </c>
      <c r="T42" s="91">
        <f t="shared" si="0"/>
        <v>83494</v>
      </c>
      <c r="U42" s="91">
        <f t="shared" si="0"/>
        <v>53248</v>
      </c>
      <c r="V42" s="91">
        <f t="shared" si="0"/>
        <v>81749</v>
      </c>
      <c r="W42" s="91">
        <f t="shared" si="0"/>
        <v>134997</v>
      </c>
    </row>
  </sheetData>
  <mergeCells count="12">
    <mergeCell ref="U2:W2"/>
    <mergeCell ref="A42:B42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5" right="0.4" top="0.4" bottom="0.4" header="0.27559055118110198" footer="0.23622047244094499"/>
  <pageSetup paperSize="9" scale="75" firstPageNumber="2" pageOrder="overThenDown" orientation="portrait" useFirstPageNumber="1" r:id="rId1"/>
  <headerFooter alignWithMargins="0">
    <oddFooter>&amp;L      AISHE 2019-20&amp;CT-21</oddFooter>
  </headerFooter>
  <colBreaks count="1" manualBreakCount="1">
    <brk id="14" max="3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tabColor rgb="FF00B050"/>
  </sheetPr>
  <dimension ref="A1:W42"/>
  <sheetViews>
    <sheetView view="pageBreakPreview" topLeftCell="N1" zoomScaleSheetLayoutView="100" workbookViewId="0">
      <pane ySplit="3" topLeftCell="A36" activePane="bottomLeft" state="frozen"/>
      <selection activeCell="E42" sqref="E42"/>
      <selection pane="bottomLeft" activeCell="A43" sqref="A43:XFD127"/>
    </sheetView>
  </sheetViews>
  <sheetFormatPr defaultColWidth="9.140625" defaultRowHeight="14.25"/>
  <cols>
    <col min="1" max="1" width="4.85546875" style="317" customWidth="1"/>
    <col min="2" max="2" width="25" style="103" customWidth="1"/>
    <col min="3" max="8" width="13.28515625" style="103" customWidth="1"/>
    <col min="9" max="14" width="14" style="103" customWidth="1"/>
    <col min="15" max="23" width="10" style="103" customWidth="1"/>
    <col min="24" max="16384" width="9.140625" style="103"/>
  </cols>
  <sheetData>
    <row r="1" spans="1:23" s="97" customFormat="1" ht="35.25" customHeight="1">
      <c r="A1" s="110"/>
      <c r="B1" s="723" t="s">
        <v>749</v>
      </c>
      <c r="C1" s="908" t="s">
        <v>915</v>
      </c>
      <c r="D1" s="908"/>
      <c r="E1" s="908"/>
      <c r="F1" s="908"/>
      <c r="G1" s="908"/>
      <c r="H1" s="908"/>
      <c r="I1" s="899" t="str">
        <f>C1</f>
        <v>State &amp; Post-wise Number of Male &amp; Female Teachers 
(Based on actual Response)</v>
      </c>
      <c r="J1" s="899"/>
      <c r="K1" s="899"/>
      <c r="L1" s="899"/>
      <c r="M1" s="899"/>
      <c r="N1" s="899"/>
      <c r="O1" s="899" t="str">
        <f>I1</f>
        <v>State &amp; Post-wise Number of Male &amp; Female Teachers 
(Based on actual Response)</v>
      </c>
      <c r="P1" s="899"/>
      <c r="Q1" s="899"/>
      <c r="R1" s="899"/>
      <c r="S1" s="899"/>
      <c r="T1" s="899"/>
      <c r="U1" s="899"/>
      <c r="V1" s="899"/>
      <c r="W1" s="899"/>
    </row>
    <row r="2" spans="1:23" s="320" customFormat="1" ht="31.5" customHeight="1">
      <c r="A2" s="750" t="s">
        <v>750</v>
      </c>
      <c r="B2" s="900" t="s">
        <v>713</v>
      </c>
      <c r="C2" s="900" t="s">
        <v>720</v>
      </c>
      <c r="D2" s="900"/>
      <c r="E2" s="900"/>
      <c r="F2" s="900" t="s">
        <v>721</v>
      </c>
      <c r="G2" s="901"/>
      <c r="H2" s="901"/>
      <c r="I2" s="900" t="s">
        <v>722</v>
      </c>
      <c r="J2" s="901"/>
      <c r="K2" s="901"/>
      <c r="L2" s="900" t="s">
        <v>723</v>
      </c>
      <c r="M2" s="901"/>
      <c r="N2" s="901"/>
      <c r="O2" s="900" t="s">
        <v>724</v>
      </c>
      <c r="P2" s="901"/>
      <c r="Q2" s="901"/>
      <c r="R2" s="902" t="s">
        <v>60</v>
      </c>
      <c r="S2" s="903"/>
      <c r="T2" s="904"/>
      <c r="U2" s="905" t="s">
        <v>725</v>
      </c>
      <c r="V2" s="906"/>
      <c r="W2" s="906"/>
    </row>
    <row r="3" spans="1:23" s="326" customFormat="1" ht="21.75" customHeight="1">
      <c r="A3" s="750"/>
      <c r="B3" s="900"/>
      <c r="C3" s="324" t="s">
        <v>87</v>
      </c>
      <c r="D3" s="324" t="s">
        <v>88</v>
      </c>
      <c r="E3" s="324" t="s">
        <v>12</v>
      </c>
      <c r="F3" s="324" t="s">
        <v>87</v>
      </c>
      <c r="G3" s="324" t="s">
        <v>88</v>
      </c>
      <c r="H3" s="324" t="s">
        <v>12</v>
      </c>
      <c r="I3" s="324" t="s">
        <v>87</v>
      </c>
      <c r="J3" s="324" t="s">
        <v>88</v>
      </c>
      <c r="K3" s="324" t="s">
        <v>12</v>
      </c>
      <c r="L3" s="324" t="s">
        <v>87</v>
      </c>
      <c r="M3" s="324" t="s">
        <v>88</v>
      </c>
      <c r="N3" s="324" t="s">
        <v>12</v>
      </c>
      <c r="O3" s="324" t="s">
        <v>87</v>
      </c>
      <c r="P3" s="324" t="s">
        <v>88</v>
      </c>
      <c r="Q3" s="324" t="s">
        <v>12</v>
      </c>
      <c r="R3" s="324" t="s">
        <v>87</v>
      </c>
      <c r="S3" s="324" t="s">
        <v>88</v>
      </c>
      <c r="T3" s="324" t="s">
        <v>12</v>
      </c>
      <c r="U3" s="325" t="s">
        <v>87</v>
      </c>
      <c r="V3" s="325" t="s">
        <v>88</v>
      </c>
      <c r="W3" s="325" t="s">
        <v>12</v>
      </c>
    </row>
    <row r="4" spans="1:23" s="320" customFormat="1">
      <c r="A4" s="314">
        <v>1</v>
      </c>
      <c r="B4" s="314">
        <v>2</v>
      </c>
      <c r="C4" s="314">
        <v>3</v>
      </c>
      <c r="D4" s="314">
        <v>4</v>
      </c>
      <c r="E4" s="314">
        <v>5</v>
      </c>
      <c r="F4" s="314">
        <v>6</v>
      </c>
      <c r="G4" s="314">
        <v>7</v>
      </c>
      <c r="H4" s="314">
        <v>8</v>
      </c>
      <c r="I4" s="314">
        <v>9</v>
      </c>
      <c r="J4" s="314">
        <v>10</v>
      </c>
      <c r="K4" s="314">
        <v>11</v>
      </c>
      <c r="L4" s="314">
        <v>12</v>
      </c>
      <c r="M4" s="314">
        <v>13</v>
      </c>
      <c r="N4" s="314">
        <v>14</v>
      </c>
      <c r="O4" s="314">
        <v>15</v>
      </c>
      <c r="P4" s="314">
        <v>16</v>
      </c>
      <c r="Q4" s="314">
        <v>17</v>
      </c>
      <c r="R4" s="314">
        <v>18</v>
      </c>
      <c r="S4" s="314">
        <v>19</v>
      </c>
      <c r="T4" s="314">
        <v>20</v>
      </c>
      <c r="U4" s="314">
        <v>21</v>
      </c>
      <c r="V4" s="314">
        <v>22</v>
      </c>
      <c r="W4" s="314">
        <v>23</v>
      </c>
    </row>
    <row r="5" spans="1:23" ht="33" customHeight="1">
      <c r="A5" s="100">
        <v>1</v>
      </c>
      <c r="B5" s="303" t="s">
        <v>154</v>
      </c>
      <c r="C5" s="321">
        <v>24</v>
      </c>
      <c r="D5" s="321">
        <v>2</v>
      </c>
      <c r="E5" s="321">
        <v>26</v>
      </c>
      <c r="F5" s="321">
        <v>51</v>
      </c>
      <c r="G5" s="321">
        <v>12</v>
      </c>
      <c r="H5" s="321">
        <v>63</v>
      </c>
      <c r="I5" s="321">
        <v>107</v>
      </c>
      <c r="J5" s="321">
        <v>53</v>
      </c>
      <c r="K5" s="321">
        <v>160</v>
      </c>
      <c r="L5" s="321">
        <v>12</v>
      </c>
      <c r="M5" s="321">
        <v>8</v>
      </c>
      <c r="N5" s="321">
        <v>20</v>
      </c>
      <c r="O5" s="321">
        <v>49</v>
      </c>
      <c r="P5" s="321">
        <v>111</v>
      </c>
      <c r="Q5" s="321">
        <v>160</v>
      </c>
      <c r="R5" s="321">
        <v>254</v>
      </c>
      <c r="S5" s="321">
        <v>209</v>
      </c>
      <c r="T5" s="321">
        <v>463</v>
      </c>
      <c r="U5" s="321">
        <v>11</v>
      </c>
      <c r="V5" s="321">
        <v>23</v>
      </c>
      <c r="W5" s="321">
        <v>34</v>
      </c>
    </row>
    <row r="6" spans="1:23" ht="24.75" customHeight="1">
      <c r="A6" s="100">
        <v>2</v>
      </c>
      <c r="B6" s="303" t="s">
        <v>15</v>
      </c>
      <c r="C6" s="321">
        <v>7282</v>
      </c>
      <c r="D6" s="321">
        <v>1947</v>
      </c>
      <c r="E6" s="321">
        <v>9229</v>
      </c>
      <c r="F6" s="321">
        <v>6845</v>
      </c>
      <c r="G6" s="321">
        <v>2482</v>
      </c>
      <c r="H6" s="321">
        <v>9327</v>
      </c>
      <c r="I6" s="321">
        <v>46694</v>
      </c>
      <c r="J6" s="321">
        <v>26059</v>
      </c>
      <c r="K6" s="321">
        <v>72753</v>
      </c>
      <c r="L6" s="321">
        <v>828</v>
      </c>
      <c r="M6" s="321">
        <v>3353</v>
      </c>
      <c r="N6" s="321">
        <v>4181</v>
      </c>
      <c r="O6" s="321">
        <v>2384</v>
      </c>
      <c r="P6" s="321">
        <v>1720</v>
      </c>
      <c r="Q6" s="321">
        <v>4104</v>
      </c>
      <c r="R6" s="321">
        <v>64116</v>
      </c>
      <c r="S6" s="321">
        <v>35621</v>
      </c>
      <c r="T6" s="321">
        <v>99737</v>
      </c>
      <c r="U6" s="321">
        <v>83</v>
      </c>
      <c r="V6" s="321">
        <v>60</v>
      </c>
      <c r="W6" s="321">
        <v>143</v>
      </c>
    </row>
    <row r="7" spans="1:23" ht="24.75" customHeight="1">
      <c r="A7" s="100">
        <v>3</v>
      </c>
      <c r="B7" s="303" t="s">
        <v>16</v>
      </c>
      <c r="C7" s="321">
        <v>171</v>
      </c>
      <c r="D7" s="321">
        <v>33</v>
      </c>
      <c r="E7" s="321">
        <v>204</v>
      </c>
      <c r="F7" s="321">
        <v>180</v>
      </c>
      <c r="G7" s="321">
        <v>55</v>
      </c>
      <c r="H7" s="321">
        <v>235</v>
      </c>
      <c r="I7" s="321">
        <v>826</v>
      </c>
      <c r="J7" s="321">
        <v>674</v>
      </c>
      <c r="K7" s="321">
        <v>1500</v>
      </c>
      <c r="L7" s="321">
        <v>18</v>
      </c>
      <c r="M7" s="321">
        <v>14</v>
      </c>
      <c r="N7" s="321">
        <v>32</v>
      </c>
      <c r="O7" s="321">
        <v>13</v>
      </c>
      <c r="P7" s="321">
        <v>13</v>
      </c>
      <c r="Q7" s="321">
        <v>26</v>
      </c>
      <c r="R7" s="321">
        <v>1213</v>
      </c>
      <c r="S7" s="321">
        <v>791</v>
      </c>
      <c r="T7" s="321">
        <v>2004</v>
      </c>
      <c r="U7" s="321">
        <v>5</v>
      </c>
      <c r="V7" s="321">
        <v>2</v>
      </c>
      <c r="W7" s="321">
        <v>7</v>
      </c>
    </row>
    <row r="8" spans="1:23" ht="24.75" customHeight="1">
      <c r="A8" s="100">
        <v>4</v>
      </c>
      <c r="B8" s="303" t="s">
        <v>17</v>
      </c>
      <c r="C8" s="321">
        <v>1257</v>
      </c>
      <c r="D8" s="321">
        <v>365</v>
      </c>
      <c r="E8" s="321">
        <v>1622</v>
      </c>
      <c r="F8" s="321">
        <v>2489</v>
      </c>
      <c r="G8" s="321">
        <v>1416</v>
      </c>
      <c r="H8" s="321">
        <v>3905</v>
      </c>
      <c r="I8" s="321">
        <v>8618</v>
      </c>
      <c r="J8" s="321">
        <v>6371</v>
      </c>
      <c r="K8" s="321">
        <v>14989</v>
      </c>
      <c r="L8" s="321">
        <v>415</v>
      </c>
      <c r="M8" s="321">
        <v>375</v>
      </c>
      <c r="N8" s="321">
        <v>790</v>
      </c>
      <c r="O8" s="321">
        <v>781</v>
      </c>
      <c r="P8" s="321">
        <v>958</v>
      </c>
      <c r="Q8" s="321">
        <v>1739</v>
      </c>
      <c r="R8" s="321">
        <v>13579</v>
      </c>
      <c r="S8" s="321">
        <v>9501</v>
      </c>
      <c r="T8" s="321">
        <v>23080</v>
      </c>
      <c r="U8" s="321">
        <v>19</v>
      </c>
      <c r="V8" s="321">
        <v>16</v>
      </c>
      <c r="W8" s="321">
        <v>35</v>
      </c>
    </row>
    <row r="9" spans="1:23" ht="24.75" customHeight="1">
      <c r="A9" s="100">
        <v>5</v>
      </c>
      <c r="B9" s="303" t="s">
        <v>18</v>
      </c>
      <c r="C9" s="321">
        <v>1933</v>
      </c>
      <c r="D9" s="321">
        <v>423</v>
      </c>
      <c r="E9" s="321">
        <v>2356</v>
      </c>
      <c r="F9" s="321">
        <v>3336</v>
      </c>
      <c r="G9" s="321">
        <v>757</v>
      </c>
      <c r="H9" s="321">
        <v>4093</v>
      </c>
      <c r="I9" s="321">
        <v>16407</v>
      </c>
      <c r="J9" s="321">
        <v>4362</v>
      </c>
      <c r="K9" s="321">
        <v>20769</v>
      </c>
      <c r="L9" s="321">
        <v>683</v>
      </c>
      <c r="M9" s="321">
        <v>509</v>
      </c>
      <c r="N9" s="321">
        <v>1192</v>
      </c>
      <c r="O9" s="321">
        <v>649</v>
      </c>
      <c r="P9" s="321">
        <v>270</v>
      </c>
      <c r="Q9" s="321">
        <v>919</v>
      </c>
      <c r="R9" s="321">
        <v>23213</v>
      </c>
      <c r="S9" s="321">
        <v>6384</v>
      </c>
      <c r="T9" s="321">
        <v>29597</v>
      </c>
      <c r="U9" s="321">
        <v>205</v>
      </c>
      <c r="V9" s="321">
        <v>63</v>
      </c>
      <c r="W9" s="321">
        <v>268</v>
      </c>
    </row>
    <row r="10" spans="1:23" ht="24.75" customHeight="1">
      <c r="A10" s="100">
        <v>6</v>
      </c>
      <c r="B10" s="303" t="s">
        <v>19</v>
      </c>
      <c r="C10" s="321">
        <v>443</v>
      </c>
      <c r="D10" s="321">
        <v>301</v>
      </c>
      <c r="E10" s="321">
        <v>744</v>
      </c>
      <c r="F10" s="321">
        <v>224</v>
      </c>
      <c r="G10" s="321">
        <v>322</v>
      </c>
      <c r="H10" s="321">
        <v>546</v>
      </c>
      <c r="I10" s="321">
        <v>864</v>
      </c>
      <c r="J10" s="321">
        <v>1368</v>
      </c>
      <c r="K10" s="321">
        <v>2232</v>
      </c>
      <c r="L10" s="321">
        <v>12</v>
      </c>
      <c r="M10" s="321">
        <v>9</v>
      </c>
      <c r="N10" s="321">
        <v>21</v>
      </c>
      <c r="O10" s="321">
        <v>44</v>
      </c>
      <c r="P10" s="321">
        <v>156</v>
      </c>
      <c r="Q10" s="321">
        <v>200</v>
      </c>
      <c r="R10" s="321">
        <v>1595</v>
      </c>
      <c r="S10" s="321">
        <v>2169</v>
      </c>
      <c r="T10" s="321">
        <v>3764</v>
      </c>
      <c r="U10" s="321">
        <v>8</v>
      </c>
      <c r="V10" s="321">
        <v>13</v>
      </c>
      <c r="W10" s="321">
        <v>21</v>
      </c>
    </row>
    <row r="11" spans="1:23" ht="24.75" customHeight="1">
      <c r="A11" s="100">
        <v>7</v>
      </c>
      <c r="B11" s="303" t="s">
        <v>20</v>
      </c>
      <c r="C11" s="321">
        <v>1184</v>
      </c>
      <c r="D11" s="321">
        <v>652</v>
      </c>
      <c r="E11" s="321">
        <v>1836</v>
      </c>
      <c r="F11" s="321">
        <v>986</v>
      </c>
      <c r="G11" s="321">
        <v>631</v>
      </c>
      <c r="H11" s="321">
        <v>1617</v>
      </c>
      <c r="I11" s="321">
        <v>7553</v>
      </c>
      <c r="J11" s="321">
        <v>6554</v>
      </c>
      <c r="K11" s="321">
        <v>14107</v>
      </c>
      <c r="L11" s="321">
        <v>531</v>
      </c>
      <c r="M11" s="321">
        <v>1775</v>
      </c>
      <c r="N11" s="321">
        <v>2306</v>
      </c>
      <c r="O11" s="321">
        <v>1090</v>
      </c>
      <c r="P11" s="321">
        <v>1069</v>
      </c>
      <c r="Q11" s="321">
        <v>2159</v>
      </c>
      <c r="R11" s="321">
        <v>11452</v>
      </c>
      <c r="S11" s="321">
        <v>10783</v>
      </c>
      <c r="T11" s="321">
        <v>22235</v>
      </c>
      <c r="U11" s="321">
        <v>108</v>
      </c>
      <c r="V11" s="321">
        <v>102</v>
      </c>
      <c r="W11" s="321">
        <v>210</v>
      </c>
    </row>
    <row r="12" spans="1:23" ht="24.75" customHeight="1">
      <c r="A12" s="100">
        <v>8</v>
      </c>
      <c r="B12" s="303" t="s">
        <v>155</v>
      </c>
      <c r="C12" s="321">
        <v>7</v>
      </c>
      <c r="D12" s="321">
        <v>4</v>
      </c>
      <c r="E12" s="321">
        <v>11</v>
      </c>
      <c r="F12" s="321">
        <v>6</v>
      </c>
      <c r="G12" s="321">
        <v>4</v>
      </c>
      <c r="H12" s="321">
        <v>10</v>
      </c>
      <c r="I12" s="321">
        <v>101</v>
      </c>
      <c r="J12" s="321">
        <v>100</v>
      </c>
      <c r="K12" s="321">
        <v>201</v>
      </c>
      <c r="L12" s="321">
        <v>3</v>
      </c>
      <c r="M12" s="321">
        <v>7</v>
      </c>
      <c r="N12" s="321">
        <v>10</v>
      </c>
      <c r="O12" s="321">
        <v>1</v>
      </c>
      <c r="P12" s="321">
        <v>0</v>
      </c>
      <c r="Q12" s="321">
        <v>1</v>
      </c>
      <c r="R12" s="321">
        <v>119</v>
      </c>
      <c r="S12" s="321">
        <v>116</v>
      </c>
      <c r="T12" s="321">
        <v>235</v>
      </c>
      <c r="U12" s="321">
        <v>1</v>
      </c>
      <c r="V12" s="321">
        <v>1</v>
      </c>
      <c r="W12" s="321">
        <v>2</v>
      </c>
    </row>
    <row r="13" spans="1:23" ht="24.75" customHeight="1">
      <c r="A13" s="100">
        <v>9</v>
      </c>
      <c r="B13" s="303" t="s">
        <v>156</v>
      </c>
      <c r="C13" s="321">
        <v>11</v>
      </c>
      <c r="D13" s="321">
        <v>6</v>
      </c>
      <c r="E13" s="321">
        <v>17</v>
      </c>
      <c r="F13" s="321">
        <v>20</v>
      </c>
      <c r="G13" s="321">
        <v>10</v>
      </c>
      <c r="H13" s="321">
        <v>30</v>
      </c>
      <c r="I13" s="321">
        <v>112</v>
      </c>
      <c r="J13" s="321">
        <v>43</v>
      </c>
      <c r="K13" s="321">
        <v>155</v>
      </c>
      <c r="L13" s="321">
        <v>3</v>
      </c>
      <c r="M13" s="321">
        <v>40</v>
      </c>
      <c r="N13" s="321">
        <v>43</v>
      </c>
      <c r="O13" s="321">
        <v>12</v>
      </c>
      <c r="P13" s="321">
        <v>3</v>
      </c>
      <c r="Q13" s="321">
        <v>15</v>
      </c>
      <c r="R13" s="321">
        <v>163</v>
      </c>
      <c r="S13" s="321">
        <v>109</v>
      </c>
      <c r="T13" s="321">
        <v>272</v>
      </c>
      <c r="U13" s="321">
        <v>5</v>
      </c>
      <c r="V13" s="321">
        <v>7</v>
      </c>
      <c r="W13" s="321">
        <v>12</v>
      </c>
    </row>
    <row r="14" spans="1:23" ht="24.75" customHeight="1">
      <c r="A14" s="100">
        <v>10</v>
      </c>
      <c r="B14" s="303" t="s">
        <v>23</v>
      </c>
      <c r="C14" s="321">
        <v>2333</v>
      </c>
      <c r="D14" s="321">
        <v>1234</v>
      </c>
      <c r="E14" s="321">
        <v>3567</v>
      </c>
      <c r="F14" s="321">
        <v>1749</v>
      </c>
      <c r="G14" s="321">
        <v>2326</v>
      </c>
      <c r="H14" s="321">
        <v>4075</v>
      </c>
      <c r="I14" s="321">
        <v>5213</v>
      </c>
      <c r="J14" s="321">
        <v>6958</v>
      </c>
      <c r="K14" s="321">
        <v>12171</v>
      </c>
      <c r="L14" s="321">
        <v>165</v>
      </c>
      <c r="M14" s="321">
        <v>427</v>
      </c>
      <c r="N14" s="321">
        <v>592</v>
      </c>
      <c r="O14" s="321">
        <v>474</v>
      </c>
      <c r="P14" s="321">
        <v>759</v>
      </c>
      <c r="Q14" s="321">
        <v>1233</v>
      </c>
      <c r="R14" s="321">
        <v>10008</v>
      </c>
      <c r="S14" s="321">
        <v>11754</v>
      </c>
      <c r="T14" s="321">
        <v>21762</v>
      </c>
      <c r="U14" s="321">
        <v>74</v>
      </c>
      <c r="V14" s="321">
        <v>50</v>
      </c>
      <c r="W14" s="321">
        <v>124</v>
      </c>
    </row>
    <row r="15" spans="1:23" ht="24.75" customHeight="1">
      <c r="A15" s="100">
        <v>11</v>
      </c>
      <c r="B15" s="303" t="s">
        <v>24</v>
      </c>
      <c r="C15" s="321">
        <v>171</v>
      </c>
      <c r="D15" s="321">
        <v>56</v>
      </c>
      <c r="E15" s="321">
        <v>227</v>
      </c>
      <c r="F15" s="321">
        <v>272</v>
      </c>
      <c r="G15" s="321">
        <v>286</v>
      </c>
      <c r="H15" s="321">
        <v>558</v>
      </c>
      <c r="I15" s="321">
        <v>1138</v>
      </c>
      <c r="J15" s="321">
        <v>1345</v>
      </c>
      <c r="K15" s="321">
        <v>2483</v>
      </c>
      <c r="L15" s="321">
        <v>14</v>
      </c>
      <c r="M15" s="321">
        <v>45</v>
      </c>
      <c r="N15" s="321">
        <v>59</v>
      </c>
      <c r="O15" s="321">
        <v>51</v>
      </c>
      <c r="P15" s="321">
        <v>162</v>
      </c>
      <c r="Q15" s="321">
        <v>213</v>
      </c>
      <c r="R15" s="321">
        <v>1671</v>
      </c>
      <c r="S15" s="321">
        <v>1968</v>
      </c>
      <c r="T15" s="321">
        <v>3639</v>
      </c>
      <c r="U15" s="321">
        <v>25</v>
      </c>
      <c r="V15" s="321">
        <v>74</v>
      </c>
      <c r="W15" s="321">
        <v>99</v>
      </c>
    </row>
    <row r="16" spans="1:23" ht="24.75" customHeight="1">
      <c r="A16" s="100">
        <v>12</v>
      </c>
      <c r="B16" s="303" t="s">
        <v>25</v>
      </c>
      <c r="C16" s="321">
        <v>4161</v>
      </c>
      <c r="D16" s="321">
        <v>1540</v>
      </c>
      <c r="E16" s="321">
        <v>5701</v>
      </c>
      <c r="F16" s="321">
        <v>5138</v>
      </c>
      <c r="G16" s="321">
        <v>2598</v>
      </c>
      <c r="H16" s="321">
        <v>7736</v>
      </c>
      <c r="I16" s="321">
        <v>22191</v>
      </c>
      <c r="J16" s="321">
        <v>14555</v>
      </c>
      <c r="K16" s="321">
        <v>36746</v>
      </c>
      <c r="L16" s="321">
        <v>1461</v>
      </c>
      <c r="M16" s="321">
        <v>3549</v>
      </c>
      <c r="N16" s="321">
        <v>5010</v>
      </c>
      <c r="O16" s="321">
        <v>1251</v>
      </c>
      <c r="P16" s="321">
        <v>1465</v>
      </c>
      <c r="Q16" s="321">
        <v>2716</v>
      </c>
      <c r="R16" s="321">
        <v>35627</v>
      </c>
      <c r="S16" s="321">
        <v>24761</v>
      </c>
      <c r="T16" s="321">
        <v>60388</v>
      </c>
      <c r="U16" s="321">
        <v>1425</v>
      </c>
      <c r="V16" s="321">
        <v>1054</v>
      </c>
      <c r="W16" s="321">
        <v>2479</v>
      </c>
    </row>
    <row r="17" spans="1:23" ht="24.75" customHeight="1">
      <c r="A17" s="100">
        <v>13</v>
      </c>
      <c r="B17" s="303" t="s">
        <v>26</v>
      </c>
      <c r="C17" s="321">
        <v>2396</v>
      </c>
      <c r="D17" s="321">
        <v>1054</v>
      </c>
      <c r="E17" s="321">
        <v>3450</v>
      </c>
      <c r="F17" s="321">
        <v>2220</v>
      </c>
      <c r="G17" s="321">
        <v>2035</v>
      </c>
      <c r="H17" s="321">
        <v>4255</v>
      </c>
      <c r="I17" s="321">
        <v>12789</v>
      </c>
      <c r="J17" s="321">
        <v>15185</v>
      </c>
      <c r="K17" s="321">
        <v>27974</v>
      </c>
      <c r="L17" s="321">
        <v>426</v>
      </c>
      <c r="M17" s="321">
        <v>1195</v>
      </c>
      <c r="N17" s="321">
        <v>1621</v>
      </c>
      <c r="O17" s="321">
        <v>451</v>
      </c>
      <c r="P17" s="321">
        <v>939</v>
      </c>
      <c r="Q17" s="321">
        <v>1390</v>
      </c>
      <c r="R17" s="321">
        <v>18541</v>
      </c>
      <c r="S17" s="321">
        <v>20690</v>
      </c>
      <c r="T17" s="321">
        <v>39231</v>
      </c>
      <c r="U17" s="321">
        <v>259</v>
      </c>
      <c r="V17" s="321">
        <v>282</v>
      </c>
      <c r="W17" s="321">
        <v>541</v>
      </c>
    </row>
    <row r="18" spans="1:23" ht="24.75" customHeight="1">
      <c r="A18" s="100">
        <v>14</v>
      </c>
      <c r="B18" s="303" t="s">
        <v>27</v>
      </c>
      <c r="C18" s="321">
        <v>909</v>
      </c>
      <c r="D18" s="321">
        <v>292</v>
      </c>
      <c r="E18" s="321">
        <v>1201</v>
      </c>
      <c r="F18" s="321">
        <v>837</v>
      </c>
      <c r="G18" s="321">
        <v>400</v>
      </c>
      <c r="H18" s="321">
        <v>1237</v>
      </c>
      <c r="I18" s="321">
        <v>3579</v>
      </c>
      <c r="J18" s="321">
        <v>3547</v>
      </c>
      <c r="K18" s="321">
        <v>7126</v>
      </c>
      <c r="L18" s="321">
        <v>190</v>
      </c>
      <c r="M18" s="321">
        <v>719</v>
      </c>
      <c r="N18" s="321">
        <v>909</v>
      </c>
      <c r="O18" s="321">
        <v>103</v>
      </c>
      <c r="P18" s="321">
        <v>154</v>
      </c>
      <c r="Q18" s="321">
        <v>257</v>
      </c>
      <c r="R18" s="321">
        <v>5648</v>
      </c>
      <c r="S18" s="321">
        <v>5133</v>
      </c>
      <c r="T18" s="321">
        <v>10781</v>
      </c>
      <c r="U18" s="321">
        <v>30</v>
      </c>
      <c r="V18" s="321">
        <v>21</v>
      </c>
      <c r="W18" s="321">
        <v>51</v>
      </c>
    </row>
    <row r="19" spans="1:23" ht="24.75" customHeight="1">
      <c r="A19" s="100">
        <v>15</v>
      </c>
      <c r="B19" s="303" t="s">
        <v>57</v>
      </c>
      <c r="C19" s="321">
        <v>863</v>
      </c>
      <c r="D19" s="321">
        <v>272</v>
      </c>
      <c r="E19" s="321">
        <v>1135</v>
      </c>
      <c r="F19" s="321">
        <v>716</v>
      </c>
      <c r="G19" s="321">
        <v>434</v>
      </c>
      <c r="H19" s="321">
        <v>1150</v>
      </c>
      <c r="I19" s="321">
        <v>3822</v>
      </c>
      <c r="J19" s="321">
        <v>2926</v>
      </c>
      <c r="K19" s="321">
        <v>6748</v>
      </c>
      <c r="L19" s="321">
        <v>310</v>
      </c>
      <c r="M19" s="321">
        <v>498</v>
      </c>
      <c r="N19" s="321">
        <v>808</v>
      </c>
      <c r="O19" s="321">
        <v>831</v>
      </c>
      <c r="P19" s="321">
        <v>582</v>
      </c>
      <c r="Q19" s="321">
        <v>1413</v>
      </c>
      <c r="R19" s="321">
        <v>6580</v>
      </c>
      <c r="S19" s="321">
        <v>4741</v>
      </c>
      <c r="T19" s="321">
        <v>11321</v>
      </c>
      <c r="U19" s="321">
        <v>38</v>
      </c>
      <c r="V19" s="321">
        <v>29</v>
      </c>
      <c r="W19" s="321">
        <v>67</v>
      </c>
    </row>
    <row r="20" spans="1:23" ht="24.75" customHeight="1">
      <c r="A20" s="100">
        <v>16</v>
      </c>
      <c r="B20" s="303" t="s">
        <v>29</v>
      </c>
      <c r="C20" s="321">
        <v>810</v>
      </c>
      <c r="D20" s="321">
        <v>165</v>
      </c>
      <c r="E20" s="321">
        <v>975</v>
      </c>
      <c r="F20" s="321">
        <v>920</v>
      </c>
      <c r="G20" s="321">
        <v>299</v>
      </c>
      <c r="H20" s="321">
        <v>1219</v>
      </c>
      <c r="I20" s="321">
        <v>6828</v>
      </c>
      <c r="J20" s="321">
        <v>2926</v>
      </c>
      <c r="K20" s="321">
        <v>9754</v>
      </c>
      <c r="L20" s="321">
        <v>227</v>
      </c>
      <c r="M20" s="321">
        <v>292</v>
      </c>
      <c r="N20" s="321">
        <v>519</v>
      </c>
      <c r="O20" s="321">
        <v>652</v>
      </c>
      <c r="P20" s="321">
        <v>423</v>
      </c>
      <c r="Q20" s="321">
        <v>1075</v>
      </c>
      <c r="R20" s="321">
        <v>9514</v>
      </c>
      <c r="S20" s="321">
        <v>4174</v>
      </c>
      <c r="T20" s="321">
        <v>13688</v>
      </c>
      <c r="U20" s="321">
        <v>77</v>
      </c>
      <c r="V20" s="321">
        <v>69</v>
      </c>
      <c r="W20" s="321">
        <v>146</v>
      </c>
    </row>
    <row r="21" spans="1:23" ht="24.75" customHeight="1">
      <c r="A21" s="100">
        <v>17</v>
      </c>
      <c r="B21" s="303" t="s">
        <v>30</v>
      </c>
      <c r="C21" s="321">
        <v>12578</v>
      </c>
      <c r="D21" s="321">
        <v>4748</v>
      </c>
      <c r="E21" s="321">
        <v>17326</v>
      </c>
      <c r="F21" s="321">
        <v>10584</v>
      </c>
      <c r="G21" s="321">
        <v>6523</v>
      </c>
      <c r="H21" s="321">
        <v>17107</v>
      </c>
      <c r="I21" s="321">
        <v>45593</v>
      </c>
      <c r="J21" s="321">
        <v>40559</v>
      </c>
      <c r="K21" s="321">
        <v>86152</v>
      </c>
      <c r="L21" s="321">
        <v>4456</v>
      </c>
      <c r="M21" s="321">
        <v>8445</v>
      </c>
      <c r="N21" s="321">
        <v>12901</v>
      </c>
      <c r="O21" s="321">
        <v>6443</v>
      </c>
      <c r="P21" s="321">
        <v>6388</v>
      </c>
      <c r="Q21" s="321">
        <v>12831</v>
      </c>
      <c r="R21" s="321">
        <v>80677</v>
      </c>
      <c r="S21" s="321">
        <v>67691</v>
      </c>
      <c r="T21" s="321">
        <v>148368</v>
      </c>
      <c r="U21" s="321">
        <v>1023</v>
      </c>
      <c r="V21" s="321">
        <v>1028</v>
      </c>
      <c r="W21" s="321">
        <v>2051</v>
      </c>
    </row>
    <row r="22" spans="1:23" ht="24.75" customHeight="1">
      <c r="A22" s="100">
        <v>18</v>
      </c>
      <c r="B22" s="303" t="s">
        <v>31</v>
      </c>
      <c r="C22" s="321">
        <v>3193</v>
      </c>
      <c r="D22" s="321">
        <v>1976</v>
      </c>
      <c r="E22" s="321">
        <v>5169</v>
      </c>
      <c r="F22" s="321">
        <v>2939</v>
      </c>
      <c r="G22" s="321">
        <v>2788</v>
      </c>
      <c r="H22" s="321">
        <v>5727</v>
      </c>
      <c r="I22" s="321">
        <v>15166</v>
      </c>
      <c r="J22" s="321">
        <v>26837</v>
      </c>
      <c r="K22" s="321">
        <v>42003</v>
      </c>
      <c r="L22" s="321">
        <v>997</v>
      </c>
      <c r="M22" s="321">
        <v>2310</v>
      </c>
      <c r="N22" s="321">
        <v>3307</v>
      </c>
      <c r="O22" s="321">
        <v>1361</v>
      </c>
      <c r="P22" s="321">
        <v>3882</v>
      </c>
      <c r="Q22" s="321">
        <v>5243</v>
      </c>
      <c r="R22" s="321">
        <v>23712</v>
      </c>
      <c r="S22" s="321">
        <v>37846</v>
      </c>
      <c r="T22" s="321">
        <v>61558</v>
      </c>
      <c r="U22" s="321">
        <v>56</v>
      </c>
      <c r="V22" s="321">
        <v>53</v>
      </c>
      <c r="W22" s="321">
        <v>109</v>
      </c>
    </row>
    <row r="23" spans="1:23" ht="24.75" customHeight="1">
      <c r="A23" s="100">
        <v>19</v>
      </c>
      <c r="B23" s="303" t="s">
        <v>761</v>
      </c>
      <c r="C23" s="321">
        <v>6</v>
      </c>
      <c r="D23" s="321">
        <v>3</v>
      </c>
      <c r="E23" s="321">
        <v>9</v>
      </c>
      <c r="F23" s="321">
        <v>5</v>
      </c>
      <c r="G23" s="321">
        <v>1</v>
      </c>
      <c r="H23" s="321">
        <v>6</v>
      </c>
      <c r="I23" s="321">
        <v>86</v>
      </c>
      <c r="J23" s="321">
        <v>47</v>
      </c>
      <c r="K23" s="321">
        <v>133</v>
      </c>
      <c r="L23" s="321">
        <v>5</v>
      </c>
      <c r="M23" s="321">
        <v>0</v>
      </c>
      <c r="N23" s="321">
        <v>5</v>
      </c>
      <c r="O23" s="321">
        <v>33</v>
      </c>
      <c r="P23" s="321">
        <v>13</v>
      </c>
      <c r="Q23" s="321">
        <v>46</v>
      </c>
      <c r="R23" s="321">
        <v>135</v>
      </c>
      <c r="S23" s="321">
        <v>64</v>
      </c>
      <c r="T23" s="321">
        <v>199</v>
      </c>
      <c r="U23" s="321">
        <v>0</v>
      </c>
      <c r="V23" s="321">
        <v>0</v>
      </c>
      <c r="W23" s="321">
        <v>0</v>
      </c>
    </row>
    <row r="24" spans="1:23" ht="24.75" customHeight="1">
      <c r="A24" s="100">
        <v>20</v>
      </c>
      <c r="B24" s="303" t="s">
        <v>32</v>
      </c>
      <c r="C24" s="321">
        <v>2</v>
      </c>
      <c r="D24" s="321">
        <v>1</v>
      </c>
      <c r="E24" s="321">
        <v>3</v>
      </c>
      <c r="F24" s="321">
        <v>0</v>
      </c>
      <c r="G24" s="321">
        <v>0</v>
      </c>
      <c r="H24" s="321">
        <v>0</v>
      </c>
      <c r="I24" s="321">
        <v>23</v>
      </c>
      <c r="J24" s="321">
        <v>19</v>
      </c>
      <c r="K24" s="321">
        <v>42</v>
      </c>
      <c r="L24" s="321">
        <v>0</v>
      </c>
      <c r="M24" s="321">
        <v>0</v>
      </c>
      <c r="N24" s="321">
        <v>0</v>
      </c>
      <c r="O24" s="321">
        <v>0</v>
      </c>
      <c r="P24" s="321">
        <v>0</v>
      </c>
      <c r="Q24" s="321">
        <v>0</v>
      </c>
      <c r="R24" s="321">
        <v>25</v>
      </c>
      <c r="S24" s="321">
        <v>20</v>
      </c>
      <c r="T24" s="321">
        <v>45</v>
      </c>
      <c r="U24" s="321">
        <v>0</v>
      </c>
      <c r="V24" s="321">
        <v>0</v>
      </c>
      <c r="W24" s="321">
        <v>0</v>
      </c>
    </row>
    <row r="25" spans="1:23" ht="24.75" customHeight="1">
      <c r="A25" s="100">
        <v>21</v>
      </c>
      <c r="B25" s="303" t="s">
        <v>33</v>
      </c>
      <c r="C25" s="321">
        <v>4775</v>
      </c>
      <c r="D25" s="321">
        <v>2549</v>
      </c>
      <c r="E25" s="321">
        <v>7324</v>
      </c>
      <c r="F25" s="321">
        <v>3985</v>
      </c>
      <c r="G25" s="321">
        <v>2311</v>
      </c>
      <c r="H25" s="321">
        <v>6296</v>
      </c>
      <c r="I25" s="321">
        <v>25048</v>
      </c>
      <c r="J25" s="321">
        <v>17483</v>
      </c>
      <c r="K25" s="321">
        <v>42531</v>
      </c>
      <c r="L25" s="321">
        <v>1426</v>
      </c>
      <c r="M25" s="321">
        <v>2260</v>
      </c>
      <c r="N25" s="321">
        <v>3686</v>
      </c>
      <c r="O25" s="321">
        <v>1947</v>
      </c>
      <c r="P25" s="321">
        <v>1818</v>
      </c>
      <c r="Q25" s="321">
        <v>3765</v>
      </c>
      <c r="R25" s="321">
        <v>37474</v>
      </c>
      <c r="S25" s="321">
        <v>26632</v>
      </c>
      <c r="T25" s="321">
        <v>64106</v>
      </c>
      <c r="U25" s="321">
        <v>293</v>
      </c>
      <c r="V25" s="321">
        <v>211</v>
      </c>
      <c r="W25" s="321">
        <v>504</v>
      </c>
    </row>
    <row r="26" spans="1:23" ht="24.75" customHeight="1">
      <c r="A26" s="100">
        <v>22</v>
      </c>
      <c r="B26" s="303" t="s">
        <v>34</v>
      </c>
      <c r="C26" s="321">
        <v>10412</v>
      </c>
      <c r="D26" s="321">
        <v>4103</v>
      </c>
      <c r="E26" s="321">
        <v>14515</v>
      </c>
      <c r="F26" s="321">
        <v>12789</v>
      </c>
      <c r="G26" s="321">
        <v>6465</v>
      </c>
      <c r="H26" s="321">
        <v>19254</v>
      </c>
      <c r="I26" s="321">
        <v>63431</v>
      </c>
      <c r="J26" s="321">
        <v>45524</v>
      </c>
      <c r="K26" s="321">
        <v>108955</v>
      </c>
      <c r="L26" s="321">
        <v>2273</v>
      </c>
      <c r="M26" s="321">
        <v>4536</v>
      </c>
      <c r="N26" s="321">
        <v>6809</v>
      </c>
      <c r="O26" s="321">
        <v>4749</v>
      </c>
      <c r="P26" s="321">
        <v>5565</v>
      </c>
      <c r="Q26" s="321">
        <v>10314</v>
      </c>
      <c r="R26" s="321">
        <v>95447</v>
      </c>
      <c r="S26" s="321">
        <v>67685</v>
      </c>
      <c r="T26" s="321">
        <v>163132</v>
      </c>
      <c r="U26" s="321">
        <v>1793</v>
      </c>
      <c r="V26" s="321">
        <v>1492</v>
      </c>
      <c r="W26" s="321">
        <v>3285</v>
      </c>
    </row>
    <row r="27" spans="1:23" ht="24.75" customHeight="1">
      <c r="A27" s="100">
        <v>23</v>
      </c>
      <c r="B27" s="303" t="s">
        <v>35</v>
      </c>
      <c r="C27" s="321">
        <v>274</v>
      </c>
      <c r="D27" s="321">
        <v>107</v>
      </c>
      <c r="E27" s="321">
        <v>381</v>
      </c>
      <c r="F27" s="321">
        <v>521</v>
      </c>
      <c r="G27" s="321">
        <v>408</v>
      </c>
      <c r="H27" s="321">
        <v>929</v>
      </c>
      <c r="I27" s="321">
        <v>1796</v>
      </c>
      <c r="J27" s="321">
        <v>1874</v>
      </c>
      <c r="K27" s="321">
        <v>3670</v>
      </c>
      <c r="L27" s="321">
        <v>24</v>
      </c>
      <c r="M27" s="321">
        <v>174</v>
      </c>
      <c r="N27" s="321">
        <v>198</v>
      </c>
      <c r="O27" s="321">
        <v>128</v>
      </c>
      <c r="P27" s="321">
        <v>128</v>
      </c>
      <c r="Q27" s="321">
        <v>256</v>
      </c>
      <c r="R27" s="321">
        <v>2792</v>
      </c>
      <c r="S27" s="321">
        <v>2702</v>
      </c>
      <c r="T27" s="321">
        <v>5494</v>
      </c>
      <c r="U27" s="321">
        <v>49</v>
      </c>
      <c r="V27" s="321">
        <v>11</v>
      </c>
      <c r="W27" s="321">
        <v>60</v>
      </c>
    </row>
    <row r="28" spans="1:23" ht="24.75" customHeight="1">
      <c r="A28" s="100">
        <v>24</v>
      </c>
      <c r="B28" s="303" t="s">
        <v>36</v>
      </c>
      <c r="C28" s="321">
        <v>171</v>
      </c>
      <c r="D28" s="321">
        <v>69</v>
      </c>
      <c r="E28" s="321">
        <v>240</v>
      </c>
      <c r="F28" s="321">
        <v>244</v>
      </c>
      <c r="G28" s="321">
        <v>229</v>
      </c>
      <c r="H28" s="321">
        <v>473</v>
      </c>
      <c r="I28" s="321">
        <v>1077</v>
      </c>
      <c r="J28" s="321">
        <v>1539</v>
      </c>
      <c r="K28" s="321">
        <v>2616</v>
      </c>
      <c r="L28" s="321">
        <v>50</v>
      </c>
      <c r="M28" s="321">
        <v>96</v>
      </c>
      <c r="N28" s="321">
        <v>146</v>
      </c>
      <c r="O28" s="321">
        <v>53</v>
      </c>
      <c r="P28" s="321">
        <v>83</v>
      </c>
      <c r="Q28" s="321">
        <v>136</v>
      </c>
      <c r="R28" s="321">
        <v>1597</v>
      </c>
      <c r="S28" s="321">
        <v>2027</v>
      </c>
      <c r="T28" s="321">
        <v>3624</v>
      </c>
      <c r="U28" s="321">
        <v>2</v>
      </c>
      <c r="V28" s="321">
        <v>11</v>
      </c>
      <c r="W28" s="321">
        <v>13</v>
      </c>
    </row>
    <row r="29" spans="1:23" ht="24.75" customHeight="1">
      <c r="A29" s="100">
        <v>25</v>
      </c>
      <c r="B29" s="303" t="s">
        <v>37</v>
      </c>
      <c r="C29" s="321">
        <v>128</v>
      </c>
      <c r="D29" s="321">
        <v>29</v>
      </c>
      <c r="E29" s="321">
        <v>157</v>
      </c>
      <c r="F29" s="321">
        <v>262</v>
      </c>
      <c r="G29" s="321">
        <v>207</v>
      </c>
      <c r="H29" s="321">
        <v>469</v>
      </c>
      <c r="I29" s="321">
        <v>501</v>
      </c>
      <c r="J29" s="321">
        <v>467</v>
      </c>
      <c r="K29" s="321">
        <v>968</v>
      </c>
      <c r="L29" s="321">
        <v>36</v>
      </c>
      <c r="M29" s="321">
        <v>84</v>
      </c>
      <c r="N29" s="321">
        <v>120</v>
      </c>
      <c r="O29" s="321">
        <v>98</v>
      </c>
      <c r="P29" s="321">
        <v>99</v>
      </c>
      <c r="Q29" s="321">
        <v>197</v>
      </c>
      <c r="R29" s="321">
        <v>1032</v>
      </c>
      <c r="S29" s="321">
        <v>895</v>
      </c>
      <c r="T29" s="321">
        <v>1927</v>
      </c>
      <c r="U29" s="321">
        <v>7</v>
      </c>
      <c r="V29" s="321">
        <v>9</v>
      </c>
      <c r="W29" s="321">
        <v>16</v>
      </c>
    </row>
    <row r="30" spans="1:23" ht="24.75" customHeight="1">
      <c r="A30" s="100">
        <v>26</v>
      </c>
      <c r="B30" s="303" t="s">
        <v>38</v>
      </c>
      <c r="C30" s="321">
        <v>112</v>
      </c>
      <c r="D30" s="321">
        <v>50</v>
      </c>
      <c r="E30" s="321">
        <v>162</v>
      </c>
      <c r="F30" s="321">
        <v>70</v>
      </c>
      <c r="G30" s="321">
        <v>99</v>
      </c>
      <c r="H30" s="321">
        <v>169</v>
      </c>
      <c r="I30" s="321">
        <v>824</v>
      </c>
      <c r="J30" s="321">
        <v>1127</v>
      </c>
      <c r="K30" s="321">
        <v>1951</v>
      </c>
      <c r="L30" s="321">
        <v>29</v>
      </c>
      <c r="M30" s="321">
        <v>57</v>
      </c>
      <c r="N30" s="321">
        <v>86</v>
      </c>
      <c r="O30" s="321">
        <v>19</v>
      </c>
      <c r="P30" s="321">
        <v>28</v>
      </c>
      <c r="Q30" s="321">
        <v>47</v>
      </c>
      <c r="R30" s="321">
        <v>1058</v>
      </c>
      <c r="S30" s="321">
        <v>1363</v>
      </c>
      <c r="T30" s="321">
        <v>2421</v>
      </c>
      <c r="U30" s="321">
        <v>4</v>
      </c>
      <c r="V30" s="321">
        <v>2</v>
      </c>
      <c r="W30" s="321">
        <v>6</v>
      </c>
    </row>
    <row r="31" spans="1:23" ht="24.75" customHeight="1">
      <c r="A31" s="100">
        <v>27</v>
      </c>
      <c r="B31" s="303" t="s">
        <v>39</v>
      </c>
      <c r="C31" s="321">
        <v>2325</v>
      </c>
      <c r="D31" s="321">
        <v>642</v>
      </c>
      <c r="E31" s="321">
        <v>2967</v>
      </c>
      <c r="F31" s="321">
        <v>2880</v>
      </c>
      <c r="G31" s="321">
        <v>1131</v>
      </c>
      <c r="H31" s="321">
        <v>4011</v>
      </c>
      <c r="I31" s="321">
        <v>17447</v>
      </c>
      <c r="J31" s="321">
        <v>10222</v>
      </c>
      <c r="K31" s="321">
        <v>27669</v>
      </c>
      <c r="L31" s="321">
        <v>1414</v>
      </c>
      <c r="M31" s="321">
        <v>2026</v>
      </c>
      <c r="N31" s="321">
        <v>3440</v>
      </c>
      <c r="O31" s="321">
        <v>847</v>
      </c>
      <c r="P31" s="321">
        <v>863</v>
      </c>
      <c r="Q31" s="321">
        <v>1710</v>
      </c>
      <c r="R31" s="321">
        <v>25065</v>
      </c>
      <c r="S31" s="321">
        <v>14991</v>
      </c>
      <c r="T31" s="321">
        <v>40056</v>
      </c>
      <c r="U31" s="321">
        <v>152</v>
      </c>
      <c r="V31" s="321">
        <v>107</v>
      </c>
      <c r="W31" s="321">
        <v>259</v>
      </c>
    </row>
    <row r="32" spans="1:23" ht="24.75" customHeight="1">
      <c r="A32" s="100">
        <v>28</v>
      </c>
      <c r="B32" s="303" t="s">
        <v>40</v>
      </c>
      <c r="C32" s="321">
        <v>754</v>
      </c>
      <c r="D32" s="321">
        <v>282</v>
      </c>
      <c r="E32" s="321">
        <v>1036</v>
      </c>
      <c r="F32" s="321">
        <v>508</v>
      </c>
      <c r="G32" s="321">
        <v>352</v>
      </c>
      <c r="H32" s="321">
        <v>860</v>
      </c>
      <c r="I32" s="321">
        <v>1941</v>
      </c>
      <c r="J32" s="321">
        <v>1564</v>
      </c>
      <c r="K32" s="321">
        <v>3505</v>
      </c>
      <c r="L32" s="321">
        <v>337</v>
      </c>
      <c r="M32" s="321">
        <v>551</v>
      </c>
      <c r="N32" s="321">
        <v>888</v>
      </c>
      <c r="O32" s="321">
        <v>34</v>
      </c>
      <c r="P32" s="321">
        <v>45</v>
      </c>
      <c r="Q32" s="321">
        <v>79</v>
      </c>
      <c r="R32" s="321">
        <v>3576</v>
      </c>
      <c r="S32" s="321">
        <v>2795</v>
      </c>
      <c r="T32" s="321">
        <v>6371</v>
      </c>
      <c r="U32" s="321">
        <v>2</v>
      </c>
      <c r="V32" s="321">
        <v>1</v>
      </c>
      <c r="W32" s="321">
        <v>3</v>
      </c>
    </row>
    <row r="33" spans="1:23" ht="24.75" customHeight="1">
      <c r="A33" s="100">
        <v>29</v>
      </c>
      <c r="B33" s="303" t="s">
        <v>41</v>
      </c>
      <c r="C33" s="321">
        <v>2407</v>
      </c>
      <c r="D33" s="321">
        <v>1352</v>
      </c>
      <c r="E33" s="321">
        <v>3759</v>
      </c>
      <c r="F33" s="321">
        <v>2189</v>
      </c>
      <c r="G33" s="321">
        <v>2079</v>
      </c>
      <c r="H33" s="321">
        <v>4268</v>
      </c>
      <c r="I33" s="321">
        <v>15309</v>
      </c>
      <c r="J33" s="321">
        <v>22280</v>
      </c>
      <c r="K33" s="321">
        <v>37589</v>
      </c>
      <c r="L33" s="321">
        <v>536</v>
      </c>
      <c r="M33" s="321">
        <v>3729</v>
      </c>
      <c r="N33" s="321">
        <v>4265</v>
      </c>
      <c r="O33" s="321">
        <v>466</v>
      </c>
      <c r="P33" s="321">
        <v>1238</v>
      </c>
      <c r="Q33" s="321">
        <v>1704</v>
      </c>
      <c r="R33" s="321">
        <v>21105</v>
      </c>
      <c r="S33" s="321">
        <v>30967</v>
      </c>
      <c r="T33" s="321">
        <v>52072</v>
      </c>
      <c r="U33" s="321">
        <v>198</v>
      </c>
      <c r="V33" s="321">
        <v>289</v>
      </c>
      <c r="W33" s="321">
        <v>487</v>
      </c>
    </row>
    <row r="34" spans="1:23" ht="24.75" customHeight="1">
      <c r="A34" s="100">
        <v>30</v>
      </c>
      <c r="B34" s="303" t="s">
        <v>42</v>
      </c>
      <c r="C34" s="321">
        <v>5152</v>
      </c>
      <c r="D34" s="321">
        <v>1913</v>
      </c>
      <c r="E34" s="321">
        <v>7065</v>
      </c>
      <c r="F34" s="321">
        <v>4322</v>
      </c>
      <c r="G34" s="321">
        <v>2797</v>
      </c>
      <c r="H34" s="321">
        <v>7119</v>
      </c>
      <c r="I34" s="321">
        <v>36311</v>
      </c>
      <c r="J34" s="321">
        <v>22011</v>
      </c>
      <c r="K34" s="321">
        <v>58322</v>
      </c>
      <c r="L34" s="321">
        <v>2575</v>
      </c>
      <c r="M34" s="321">
        <v>1206</v>
      </c>
      <c r="N34" s="321">
        <v>3781</v>
      </c>
      <c r="O34" s="321">
        <v>515</v>
      </c>
      <c r="P34" s="321">
        <v>295</v>
      </c>
      <c r="Q34" s="321">
        <v>810</v>
      </c>
      <c r="R34" s="321">
        <v>49032</v>
      </c>
      <c r="S34" s="321">
        <v>28345</v>
      </c>
      <c r="T34" s="321">
        <v>77377</v>
      </c>
      <c r="U34" s="321">
        <v>157</v>
      </c>
      <c r="V34" s="321">
        <v>123</v>
      </c>
      <c r="W34" s="321">
        <v>280</v>
      </c>
    </row>
    <row r="35" spans="1:23" ht="24.75" customHeight="1">
      <c r="A35" s="100">
        <v>31</v>
      </c>
      <c r="B35" s="303" t="s">
        <v>43</v>
      </c>
      <c r="C35" s="321">
        <v>101</v>
      </c>
      <c r="D35" s="321">
        <v>29</v>
      </c>
      <c r="E35" s="321">
        <v>130</v>
      </c>
      <c r="F35" s="321">
        <v>132</v>
      </c>
      <c r="G35" s="321">
        <v>59</v>
      </c>
      <c r="H35" s="321">
        <v>191</v>
      </c>
      <c r="I35" s="321">
        <v>729</v>
      </c>
      <c r="J35" s="321">
        <v>537</v>
      </c>
      <c r="K35" s="321">
        <v>1266</v>
      </c>
      <c r="L35" s="321">
        <v>26</v>
      </c>
      <c r="M35" s="321">
        <v>52</v>
      </c>
      <c r="N35" s="321">
        <v>78</v>
      </c>
      <c r="O35" s="321">
        <v>8</v>
      </c>
      <c r="P35" s="321">
        <v>30</v>
      </c>
      <c r="Q35" s="321">
        <v>38</v>
      </c>
      <c r="R35" s="321">
        <v>1000</v>
      </c>
      <c r="S35" s="321">
        <v>711</v>
      </c>
      <c r="T35" s="321">
        <v>1711</v>
      </c>
      <c r="U35" s="321">
        <v>4</v>
      </c>
      <c r="V35" s="321">
        <v>4</v>
      </c>
      <c r="W35" s="321">
        <v>8</v>
      </c>
    </row>
    <row r="36" spans="1:23" ht="24.75" customHeight="1">
      <c r="A36" s="100">
        <v>32</v>
      </c>
      <c r="B36" s="303" t="s">
        <v>44</v>
      </c>
      <c r="C36" s="321">
        <v>11804</v>
      </c>
      <c r="D36" s="321">
        <v>5628</v>
      </c>
      <c r="E36" s="321">
        <v>17432</v>
      </c>
      <c r="F36" s="321">
        <v>11581</v>
      </c>
      <c r="G36" s="321">
        <v>8847</v>
      </c>
      <c r="H36" s="321">
        <v>20428</v>
      </c>
      <c r="I36" s="321">
        <v>74366</v>
      </c>
      <c r="J36" s="321">
        <v>77009</v>
      </c>
      <c r="K36" s="321">
        <v>151375</v>
      </c>
      <c r="L36" s="321">
        <v>2286</v>
      </c>
      <c r="M36" s="321">
        <v>5484</v>
      </c>
      <c r="N36" s="321">
        <v>7770</v>
      </c>
      <c r="O36" s="321">
        <v>2223</v>
      </c>
      <c r="P36" s="321">
        <v>2512</v>
      </c>
      <c r="Q36" s="321">
        <v>4735</v>
      </c>
      <c r="R36" s="321">
        <v>102469</v>
      </c>
      <c r="S36" s="321">
        <v>99616</v>
      </c>
      <c r="T36" s="321">
        <v>202085</v>
      </c>
      <c r="U36" s="321">
        <v>209</v>
      </c>
      <c r="V36" s="321">
        <v>136</v>
      </c>
      <c r="W36" s="321">
        <v>345</v>
      </c>
    </row>
    <row r="37" spans="1:23" ht="24.75" customHeight="1">
      <c r="A37" s="100">
        <v>33</v>
      </c>
      <c r="B37" s="322" t="s">
        <v>134</v>
      </c>
      <c r="C37" s="321">
        <v>5482</v>
      </c>
      <c r="D37" s="321">
        <v>1708</v>
      </c>
      <c r="E37" s="321">
        <v>7190</v>
      </c>
      <c r="F37" s="321">
        <v>4715</v>
      </c>
      <c r="G37" s="321">
        <v>2729</v>
      </c>
      <c r="H37" s="321">
        <v>7444</v>
      </c>
      <c r="I37" s="321">
        <v>36653</v>
      </c>
      <c r="J37" s="321">
        <v>25470</v>
      </c>
      <c r="K37" s="321">
        <v>62123</v>
      </c>
      <c r="L37" s="321">
        <v>888</v>
      </c>
      <c r="M37" s="321">
        <v>2319</v>
      </c>
      <c r="N37" s="321">
        <v>3207</v>
      </c>
      <c r="O37" s="321">
        <v>1535</v>
      </c>
      <c r="P37" s="321">
        <v>1086</v>
      </c>
      <c r="Q37" s="321">
        <v>2621</v>
      </c>
      <c r="R37" s="321">
        <v>49351</v>
      </c>
      <c r="S37" s="321">
        <v>33352</v>
      </c>
      <c r="T37" s="321">
        <v>82703</v>
      </c>
      <c r="U37" s="321">
        <v>78</v>
      </c>
      <c r="V37" s="321">
        <v>40</v>
      </c>
      <c r="W37" s="321">
        <v>118</v>
      </c>
    </row>
    <row r="38" spans="1:23" ht="24.75" customHeight="1">
      <c r="A38" s="100">
        <v>34</v>
      </c>
      <c r="B38" s="303" t="s">
        <v>45</v>
      </c>
      <c r="C38" s="321">
        <v>114</v>
      </c>
      <c r="D38" s="321">
        <v>29</v>
      </c>
      <c r="E38" s="321">
        <v>143</v>
      </c>
      <c r="F38" s="321">
        <v>167</v>
      </c>
      <c r="G38" s="321">
        <v>72</v>
      </c>
      <c r="H38" s="321">
        <v>239</v>
      </c>
      <c r="I38" s="321">
        <v>847</v>
      </c>
      <c r="J38" s="321">
        <v>414</v>
      </c>
      <c r="K38" s="321">
        <v>1261</v>
      </c>
      <c r="L38" s="321">
        <v>216</v>
      </c>
      <c r="M38" s="321">
        <v>263</v>
      </c>
      <c r="N38" s="321">
        <v>479</v>
      </c>
      <c r="O38" s="321">
        <v>118</v>
      </c>
      <c r="P38" s="321">
        <v>79</v>
      </c>
      <c r="Q38" s="321">
        <v>197</v>
      </c>
      <c r="R38" s="321">
        <v>1513</v>
      </c>
      <c r="S38" s="321">
        <v>898</v>
      </c>
      <c r="T38" s="321">
        <v>2411</v>
      </c>
      <c r="U38" s="321">
        <v>51</v>
      </c>
      <c r="V38" s="321">
        <v>41</v>
      </c>
      <c r="W38" s="321">
        <v>92</v>
      </c>
    </row>
    <row r="39" spans="1:23" ht="24.75" customHeight="1">
      <c r="A39" s="100">
        <v>35</v>
      </c>
      <c r="B39" s="303" t="s">
        <v>47</v>
      </c>
      <c r="C39" s="321">
        <v>11650</v>
      </c>
      <c r="D39" s="321">
        <v>3364</v>
      </c>
      <c r="E39" s="321">
        <v>15014</v>
      </c>
      <c r="F39" s="321">
        <v>11301</v>
      </c>
      <c r="G39" s="321">
        <v>5319</v>
      </c>
      <c r="H39" s="321">
        <v>16620</v>
      </c>
      <c r="I39" s="321">
        <v>76631</v>
      </c>
      <c r="J39" s="321">
        <v>35426</v>
      </c>
      <c r="K39" s="321">
        <v>112057</v>
      </c>
      <c r="L39" s="321">
        <v>3115</v>
      </c>
      <c r="M39" s="321">
        <v>4214</v>
      </c>
      <c r="N39" s="321">
        <v>7329</v>
      </c>
      <c r="O39" s="321">
        <v>6840</v>
      </c>
      <c r="P39" s="321">
        <v>2924</v>
      </c>
      <c r="Q39" s="321">
        <v>9764</v>
      </c>
      <c r="R39" s="321">
        <v>109990</v>
      </c>
      <c r="S39" s="321">
        <v>51449</v>
      </c>
      <c r="T39" s="321">
        <v>161439</v>
      </c>
      <c r="U39" s="321">
        <v>453</v>
      </c>
      <c r="V39" s="321">
        <v>202</v>
      </c>
      <c r="W39" s="321">
        <v>655</v>
      </c>
    </row>
    <row r="40" spans="1:23" ht="24.75" customHeight="1">
      <c r="A40" s="100">
        <v>36</v>
      </c>
      <c r="B40" s="303" t="s">
        <v>46</v>
      </c>
      <c r="C40" s="321">
        <v>1708</v>
      </c>
      <c r="D40" s="321">
        <v>558</v>
      </c>
      <c r="E40" s="321">
        <v>2266</v>
      </c>
      <c r="F40" s="321">
        <v>1400</v>
      </c>
      <c r="G40" s="321">
        <v>715</v>
      </c>
      <c r="H40" s="321">
        <v>2115</v>
      </c>
      <c r="I40" s="321">
        <v>7029</v>
      </c>
      <c r="J40" s="321">
        <v>4736</v>
      </c>
      <c r="K40" s="321">
        <v>11765</v>
      </c>
      <c r="L40" s="321">
        <v>390</v>
      </c>
      <c r="M40" s="321">
        <v>623</v>
      </c>
      <c r="N40" s="321">
        <v>1013</v>
      </c>
      <c r="O40" s="321">
        <v>595</v>
      </c>
      <c r="P40" s="321">
        <v>425</v>
      </c>
      <c r="Q40" s="321">
        <v>1020</v>
      </c>
      <c r="R40" s="321">
        <v>11214</v>
      </c>
      <c r="S40" s="321">
        <v>7100</v>
      </c>
      <c r="T40" s="321">
        <v>18314</v>
      </c>
      <c r="U40" s="321">
        <v>92</v>
      </c>
      <c r="V40" s="321">
        <v>43</v>
      </c>
      <c r="W40" s="321">
        <v>135</v>
      </c>
    </row>
    <row r="41" spans="1:23" ht="24.75" customHeight="1">
      <c r="A41" s="100">
        <v>37</v>
      </c>
      <c r="B41" s="303" t="s">
        <v>48</v>
      </c>
      <c r="C41" s="321">
        <v>4216</v>
      </c>
      <c r="D41" s="321">
        <v>992</v>
      </c>
      <c r="E41" s="321">
        <v>5208</v>
      </c>
      <c r="F41" s="321">
        <v>4069</v>
      </c>
      <c r="G41" s="321">
        <v>2287</v>
      </c>
      <c r="H41" s="321">
        <v>6356</v>
      </c>
      <c r="I41" s="321">
        <v>25581</v>
      </c>
      <c r="J41" s="321">
        <v>12117</v>
      </c>
      <c r="K41" s="321">
        <v>37698</v>
      </c>
      <c r="L41" s="321">
        <v>1273</v>
      </c>
      <c r="M41" s="321">
        <v>1278</v>
      </c>
      <c r="N41" s="321">
        <v>2551</v>
      </c>
      <c r="O41" s="321">
        <v>6539</v>
      </c>
      <c r="P41" s="321">
        <v>5284</v>
      </c>
      <c r="Q41" s="321">
        <v>11823</v>
      </c>
      <c r="R41" s="321">
        <v>42780</v>
      </c>
      <c r="S41" s="321">
        <v>22766</v>
      </c>
      <c r="T41" s="321">
        <v>65546</v>
      </c>
      <c r="U41" s="321">
        <v>1102</v>
      </c>
      <c r="V41" s="321">
        <v>808</v>
      </c>
      <c r="W41" s="321">
        <v>1910</v>
      </c>
    </row>
    <row r="42" spans="1:23" s="148" customFormat="1" ht="24.75" customHeight="1">
      <c r="A42" s="907" t="s">
        <v>49</v>
      </c>
      <c r="B42" s="907"/>
      <c r="C42" s="323">
        <f>SUM(C5:C41)</f>
        <v>101319</v>
      </c>
      <c r="D42" s="323">
        <f t="shared" ref="D42:W42" si="0">SUM(D5:D41)</f>
        <v>38478</v>
      </c>
      <c r="E42" s="323">
        <f t="shared" si="0"/>
        <v>139797</v>
      </c>
      <c r="F42" s="323">
        <f t="shared" si="0"/>
        <v>100652</v>
      </c>
      <c r="G42" s="323">
        <f t="shared" si="0"/>
        <v>59485</v>
      </c>
      <c r="H42" s="323">
        <f t="shared" si="0"/>
        <v>160137</v>
      </c>
      <c r="I42" s="323">
        <f t="shared" si="0"/>
        <v>583231</v>
      </c>
      <c r="J42" s="323">
        <f t="shared" si="0"/>
        <v>440288</v>
      </c>
      <c r="K42" s="323">
        <f t="shared" si="0"/>
        <v>1023519</v>
      </c>
      <c r="L42" s="323">
        <f t="shared" si="0"/>
        <v>27650</v>
      </c>
      <c r="M42" s="323">
        <f t="shared" si="0"/>
        <v>52522</v>
      </c>
      <c r="N42" s="323">
        <f t="shared" si="0"/>
        <v>80172</v>
      </c>
      <c r="O42" s="323">
        <f t="shared" si="0"/>
        <v>43387</v>
      </c>
      <c r="P42" s="323">
        <f t="shared" si="0"/>
        <v>41569</v>
      </c>
      <c r="Q42" s="323">
        <f t="shared" si="0"/>
        <v>84956</v>
      </c>
      <c r="R42" s="323">
        <f t="shared" si="0"/>
        <v>864337</v>
      </c>
      <c r="S42" s="323">
        <f t="shared" si="0"/>
        <v>638819</v>
      </c>
      <c r="T42" s="323">
        <f t="shared" si="0"/>
        <v>1503156</v>
      </c>
      <c r="U42" s="323">
        <f t="shared" si="0"/>
        <v>8098</v>
      </c>
      <c r="V42" s="323">
        <f t="shared" si="0"/>
        <v>6477</v>
      </c>
      <c r="W42" s="323">
        <f t="shared" si="0"/>
        <v>14575</v>
      </c>
    </row>
  </sheetData>
  <mergeCells count="13">
    <mergeCell ref="A42:B42"/>
    <mergeCell ref="I2:K2"/>
    <mergeCell ref="C1:H1"/>
    <mergeCell ref="A2:A3"/>
    <mergeCell ref="B2:B3"/>
    <mergeCell ref="C2:E2"/>
    <mergeCell ref="F2:H2"/>
    <mergeCell ref="I1:N1"/>
    <mergeCell ref="O1:W1"/>
    <mergeCell ref="L2:N2"/>
    <mergeCell ref="O2:Q2"/>
    <mergeCell ref="R2:T2"/>
    <mergeCell ref="U2:W2"/>
  </mergeCells>
  <printOptions horizontalCentered="1"/>
  <pageMargins left="0.5" right="0.4" top="0.4" bottom="0.4" header="0.27559055118110198" footer="0.23622047244094499"/>
  <pageSetup paperSize="9" scale="76" firstPageNumber="2" pageOrder="overThenDown" orientation="portrait" useFirstPageNumber="1" r:id="rId1"/>
  <headerFooter alignWithMargins="0">
    <oddFooter>&amp;L     AISHE 2019-20&amp;CT-22</oddFooter>
  </headerFooter>
  <colBreaks count="2" manualBreakCount="2">
    <brk id="8" max="41" man="1"/>
    <brk id="14" max="41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tabColor rgb="FF00B050"/>
  </sheetPr>
  <dimension ref="A1:W42"/>
  <sheetViews>
    <sheetView view="pageBreakPreview" topLeftCell="K25" zoomScale="85" zoomScaleSheetLayoutView="85" workbookViewId="0">
      <selection activeCell="S37" sqref="S37"/>
    </sheetView>
  </sheetViews>
  <sheetFormatPr defaultColWidth="9.140625" defaultRowHeight="14.25"/>
  <cols>
    <col min="1" max="1" width="5.28515625" style="334" customWidth="1"/>
    <col min="2" max="2" width="25.85546875" style="103" customWidth="1"/>
    <col min="3" max="14" width="14.5703125" style="103" customWidth="1"/>
    <col min="15" max="23" width="10.28515625" style="103" customWidth="1"/>
    <col min="24" max="16384" width="9.140625" style="332"/>
  </cols>
  <sheetData>
    <row r="1" spans="1:23" s="336" customFormat="1" ht="38.25" customHeight="1">
      <c r="A1" s="327"/>
      <c r="B1" s="723" t="s">
        <v>751</v>
      </c>
      <c r="C1" s="899" t="s">
        <v>916</v>
      </c>
      <c r="D1" s="899"/>
      <c r="E1" s="899"/>
      <c r="F1" s="899"/>
      <c r="G1" s="899"/>
      <c r="H1" s="899"/>
      <c r="I1" s="899" t="str">
        <f>C1</f>
        <v>Post-Wise Number of Teachers in Universities &amp; its Colleges 
(Based on actual Response)</v>
      </c>
      <c r="J1" s="899"/>
      <c r="K1" s="899"/>
      <c r="L1" s="899"/>
      <c r="M1" s="899"/>
      <c r="N1" s="899"/>
      <c r="O1" s="899" t="str">
        <f>I1</f>
        <v>Post-Wise Number of Teachers in Universities &amp; its Colleges 
(Based on actual Response)</v>
      </c>
      <c r="P1" s="899"/>
      <c r="Q1" s="899"/>
      <c r="R1" s="899"/>
      <c r="S1" s="899"/>
      <c r="T1" s="899"/>
      <c r="U1" s="899"/>
      <c r="V1" s="899"/>
      <c r="W1" s="899"/>
    </row>
    <row r="2" spans="1:23" s="329" customFormat="1" ht="31.5" customHeight="1">
      <c r="A2" s="916" t="s">
        <v>165</v>
      </c>
      <c r="B2" s="909" t="s">
        <v>713</v>
      </c>
      <c r="C2" s="909" t="s">
        <v>720</v>
      </c>
      <c r="D2" s="909"/>
      <c r="E2" s="909"/>
      <c r="F2" s="909" t="s">
        <v>721</v>
      </c>
      <c r="G2" s="910"/>
      <c r="H2" s="910"/>
      <c r="I2" s="909" t="s">
        <v>722</v>
      </c>
      <c r="J2" s="910"/>
      <c r="K2" s="910"/>
      <c r="L2" s="909" t="s">
        <v>723</v>
      </c>
      <c r="M2" s="910"/>
      <c r="N2" s="910"/>
      <c r="O2" s="909" t="s">
        <v>724</v>
      </c>
      <c r="P2" s="910"/>
      <c r="Q2" s="910"/>
      <c r="R2" s="911" t="s">
        <v>60</v>
      </c>
      <c r="S2" s="912"/>
      <c r="T2" s="913"/>
      <c r="U2" s="914" t="s">
        <v>725</v>
      </c>
      <c r="V2" s="915"/>
      <c r="W2" s="915"/>
    </row>
    <row r="3" spans="1:23" s="335" customFormat="1" ht="19.5" customHeight="1">
      <c r="A3" s="916"/>
      <c r="B3" s="909"/>
      <c r="C3" s="324" t="s">
        <v>87</v>
      </c>
      <c r="D3" s="324" t="s">
        <v>88</v>
      </c>
      <c r="E3" s="324" t="s">
        <v>12</v>
      </c>
      <c r="F3" s="324" t="s">
        <v>87</v>
      </c>
      <c r="G3" s="324" t="s">
        <v>88</v>
      </c>
      <c r="H3" s="324" t="s">
        <v>12</v>
      </c>
      <c r="I3" s="324" t="s">
        <v>87</v>
      </c>
      <c r="J3" s="324" t="s">
        <v>88</v>
      </c>
      <c r="K3" s="324" t="s">
        <v>12</v>
      </c>
      <c r="L3" s="324" t="s">
        <v>87</v>
      </c>
      <c r="M3" s="324" t="s">
        <v>88</v>
      </c>
      <c r="N3" s="324" t="s">
        <v>12</v>
      </c>
      <c r="O3" s="324" t="s">
        <v>87</v>
      </c>
      <c r="P3" s="324" t="s">
        <v>88</v>
      </c>
      <c r="Q3" s="324" t="s">
        <v>12</v>
      </c>
      <c r="R3" s="324" t="s">
        <v>87</v>
      </c>
      <c r="S3" s="324" t="s">
        <v>88</v>
      </c>
      <c r="T3" s="324" t="s">
        <v>12</v>
      </c>
      <c r="U3" s="325" t="s">
        <v>87</v>
      </c>
      <c r="V3" s="325" t="s">
        <v>88</v>
      </c>
      <c r="W3" s="325" t="s">
        <v>12</v>
      </c>
    </row>
    <row r="4" spans="1:23" s="329" customFormat="1" ht="19.5" customHeight="1">
      <c r="A4" s="330">
        <v>1</v>
      </c>
      <c r="B4" s="330">
        <v>2</v>
      </c>
      <c r="C4" s="330">
        <v>3</v>
      </c>
      <c r="D4" s="330">
        <v>4</v>
      </c>
      <c r="E4" s="330">
        <v>5</v>
      </c>
      <c r="F4" s="330">
        <v>6</v>
      </c>
      <c r="G4" s="330">
        <v>7</v>
      </c>
      <c r="H4" s="330">
        <v>8</v>
      </c>
      <c r="I4" s="330">
        <v>9</v>
      </c>
      <c r="J4" s="330">
        <v>10</v>
      </c>
      <c r="K4" s="330">
        <v>11</v>
      </c>
      <c r="L4" s="330">
        <v>12</v>
      </c>
      <c r="M4" s="330">
        <v>13</v>
      </c>
      <c r="N4" s="330">
        <v>14</v>
      </c>
      <c r="O4" s="330">
        <v>15</v>
      </c>
      <c r="P4" s="330">
        <v>16</v>
      </c>
      <c r="Q4" s="330">
        <v>17</v>
      </c>
      <c r="R4" s="330">
        <v>18</v>
      </c>
      <c r="S4" s="330">
        <v>19</v>
      </c>
      <c r="T4" s="330">
        <v>20</v>
      </c>
      <c r="U4" s="330">
        <v>21</v>
      </c>
      <c r="V4" s="330">
        <v>22</v>
      </c>
      <c r="W4" s="330">
        <v>23</v>
      </c>
    </row>
    <row r="5" spans="1:23" ht="30" customHeight="1">
      <c r="A5" s="331">
        <v>1</v>
      </c>
      <c r="B5" s="303" t="s">
        <v>154</v>
      </c>
      <c r="C5" s="321">
        <v>23</v>
      </c>
      <c r="D5" s="321">
        <v>2</v>
      </c>
      <c r="E5" s="321">
        <v>25</v>
      </c>
      <c r="F5" s="321">
        <v>51</v>
      </c>
      <c r="G5" s="321">
        <v>12</v>
      </c>
      <c r="H5" s="321">
        <v>63</v>
      </c>
      <c r="I5" s="321">
        <v>100</v>
      </c>
      <c r="J5" s="321">
        <v>48</v>
      </c>
      <c r="K5" s="321">
        <v>148</v>
      </c>
      <c r="L5" s="321">
        <v>12</v>
      </c>
      <c r="M5" s="321">
        <v>8</v>
      </c>
      <c r="N5" s="321">
        <v>20</v>
      </c>
      <c r="O5" s="321">
        <v>49</v>
      </c>
      <c r="P5" s="321">
        <v>111</v>
      </c>
      <c r="Q5" s="321">
        <v>160</v>
      </c>
      <c r="R5" s="321">
        <v>246</v>
      </c>
      <c r="S5" s="321">
        <v>204</v>
      </c>
      <c r="T5" s="321">
        <v>450</v>
      </c>
      <c r="U5" s="321">
        <v>11</v>
      </c>
      <c r="V5" s="321">
        <v>23</v>
      </c>
      <c r="W5" s="321">
        <v>34</v>
      </c>
    </row>
    <row r="6" spans="1:23" ht="24.75" customHeight="1">
      <c r="A6" s="331">
        <v>2</v>
      </c>
      <c r="B6" s="303" t="s">
        <v>15</v>
      </c>
      <c r="C6" s="321">
        <v>5759</v>
      </c>
      <c r="D6" s="321">
        <v>1344</v>
      </c>
      <c r="E6" s="321">
        <v>7103</v>
      </c>
      <c r="F6" s="321">
        <v>5999</v>
      </c>
      <c r="G6" s="321">
        <v>2161</v>
      </c>
      <c r="H6" s="321">
        <v>8160</v>
      </c>
      <c r="I6" s="321">
        <v>39072</v>
      </c>
      <c r="J6" s="321">
        <v>22238</v>
      </c>
      <c r="K6" s="321">
        <v>61310</v>
      </c>
      <c r="L6" s="321">
        <v>576</v>
      </c>
      <c r="M6" s="321">
        <v>1591</v>
      </c>
      <c r="N6" s="321">
        <v>2167</v>
      </c>
      <c r="O6" s="321">
        <v>1532</v>
      </c>
      <c r="P6" s="321">
        <v>1135</v>
      </c>
      <c r="Q6" s="321">
        <v>2667</v>
      </c>
      <c r="R6" s="321">
        <v>53007</v>
      </c>
      <c r="S6" s="321">
        <v>28522</v>
      </c>
      <c r="T6" s="321">
        <v>81529</v>
      </c>
      <c r="U6" s="321">
        <v>69</v>
      </c>
      <c r="V6" s="321">
        <v>53</v>
      </c>
      <c r="W6" s="321">
        <v>122</v>
      </c>
    </row>
    <row r="7" spans="1:23" ht="24.75" customHeight="1">
      <c r="A7" s="331">
        <v>3</v>
      </c>
      <c r="B7" s="303" t="s">
        <v>16</v>
      </c>
      <c r="C7" s="321">
        <v>49</v>
      </c>
      <c r="D7" s="321">
        <v>7</v>
      </c>
      <c r="E7" s="321">
        <v>56</v>
      </c>
      <c r="F7" s="321">
        <v>88</v>
      </c>
      <c r="G7" s="321">
        <v>22</v>
      </c>
      <c r="H7" s="321">
        <v>110</v>
      </c>
      <c r="I7" s="321">
        <v>338</v>
      </c>
      <c r="J7" s="321">
        <v>338</v>
      </c>
      <c r="K7" s="321">
        <v>676</v>
      </c>
      <c r="L7" s="321">
        <v>16</v>
      </c>
      <c r="M7" s="321">
        <v>6</v>
      </c>
      <c r="N7" s="321">
        <v>22</v>
      </c>
      <c r="O7" s="321">
        <v>5</v>
      </c>
      <c r="P7" s="321">
        <v>0</v>
      </c>
      <c r="Q7" s="321">
        <v>5</v>
      </c>
      <c r="R7" s="321">
        <v>497</v>
      </c>
      <c r="S7" s="321">
        <v>374</v>
      </c>
      <c r="T7" s="321">
        <v>871</v>
      </c>
      <c r="U7" s="321">
        <v>1</v>
      </c>
      <c r="V7" s="321">
        <v>1</v>
      </c>
      <c r="W7" s="321">
        <v>2</v>
      </c>
    </row>
    <row r="8" spans="1:23" ht="24.75" customHeight="1">
      <c r="A8" s="331">
        <v>4</v>
      </c>
      <c r="B8" s="303" t="s">
        <v>17</v>
      </c>
      <c r="C8" s="321">
        <v>629</v>
      </c>
      <c r="D8" s="321">
        <v>166</v>
      </c>
      <c r="E8" s="321">
        <v>795</v>
      </c>
      <c r="F8" s="321">
        <v>2068</v>
      </c>
      <c r="G8" s="321">
        <v>1241</v>
      </c>
      <c r="H8" s="321">
        <v>3309</v>
      </c>
      <c r="I8" s="321">
        <v>6832</v>
      </c>
      <c r="J8" s="321">
        <v>5114</v>
      </c>
      <c r="K8" s="321">
        <v>11946</v>
      </c>
      <c r="L8" s="321">
        <v>292</v>
      </c>
      <c r="M8" s="321">
        <v>217</v>
      </c>
      <c r="N8" s="321">
        <v>509</v>
      </c>
      <c r="O8" s="321">
        <v>680</v>
      </c>
      <c r="P8" s="321">
        <v>849</v>
      </c>
      <c r="Q8" s="321">
        <v>1529</v>
      </c>
      <c r="R8" s="321">
        <v>10511</v>
      </c>
      <c r="S8" s="321">
        <v>7599</v>
      </c>
      <c r="T8" s="321">
        <v>18110</v>
      </c>
      <c r="U8" s="321">
        <v>10</v>
      </c>
      <c r="V8" s="321">
        <v>12</v>
      </c>
      <c r="W8" s="321">
        <v>22</v>
      </c>
    </row>
    <row r="9" spans="1:23" ht="24.75" customHeight="1">
      <c r="A9" s="331">
        <v>5</v>
      </c>
      <c r="B9" s="303" t="s">
        <v>18</v>
      </c>
      <c r="C9" s="321">
        <v>1249</v>
      </c>
      <c r="D9" s="321">
        <v>281</v>
      </c>
      <c r="E9" s="321">
        <v>1530</v>
      </c>
      <c r="F9" s="321">
        <v>2828</v>
      </c>
      <c r="G9" s="321">
        <v>641</v>
      </c>
      <c r="H9" s="321">
        <v>3469</v>
      </c>
      <c r="I9" s="321">
        <v>13894</v>
      </c>
      <c r="J9" s="321">
        <v>3776</v>
      </c>
      <c r="K9" s="321">
        <v>17670</v>
      </c>
      <c r="L9" s="321">
        <v>322</v>
      </c>
      <c r="M9" s="321">
        <v>129</v>
      </c>
      <c r="N9" s="321">
        <v>451</v>
      </c>
      <c r="O9" s="321">
        <v>496</v>
      </c>
      <c r="P9" s="321">
        <v>219</v>
      </c>
      <c r="Q9" s="321">
        <v>715</v>
      </c>
      <c r="R9" s="321">
        <v>18927</v>
      </c>
      <c r="S9" s="321">
        <v>5096</v>
      </c>
      <c r="T9" s="321">
        <v>24023</v>
      </c>
      <c r="U9" s="321">
        <v>138</v>
      </c>
      <c r="V9" s="321">
        <v>50</v>
      </c>
      <c r="W9" s="321">
        <v>188</v>
      </c>
    </row>
    <row r="10" spans="1:23" ht="24.75" customHeight="1">
      <c r="A10" s="331">
        <v>6</v>
      </c>
      <c r="B10" s="303" t="s">
        <v>19</v>
      </c>
      <c r="C10" s="321">
        <v>75</v>
      </c>
      <c r="D10" s="321">
        <v>59</v>
      </c>
      <c r="E10" s="321">
        <v>134</v>
      </c>
      <c r="F10" s="321">
        <v>125</v>
      </c>
      <c r="G10" s="321">
        <v>248</v>
      </c>
      <c r="H10" s="321">
        <v>373</v>
      </c>
      <c r="I10" s="321">
        <v>321</v>
      </c>
      <c r="J10" s="321">
        <v>884</v>
      </c>
      <c r="K10" s="321">
        <v>1205</v>
      </c>
      <c r="L10" s="321">
        <v>9</v>
      </c>
      <c r="M10" s="321">
        <v>8</v>
      </c>
      <c r="N10" s="321">
        <v>17</v>
      </c>
      <c r="O10" s="321">
        <v>39</v>
      </c>
      <c r="P10" s="321">
        <v>133</v>
      </c>
      <c r="Q10" s="321">
        <v>172</v>
      </c>
      <c r="R10" s="321">
        <v>570</v>
      </c>
      <c r="S10" s="321">
        <v>1334</v>
      </c>
      <c r="T10" s="321">
        <v>1904</v>
      </c>
      <c r="U10" s="321">
        <v>1</v>
      </c>
      <c r="V10" s="321">
        <v>2</v>
      </c>
      <c r="W10" s="321">
        <v>3</v>
      </c>
    </row>
    <row r="11" spans="1:23" ht="24.75" customHeight="1">
      <c r="A11" s="331">
        <v>7</v>
      </c>
      <c r="B11" s="303" t="s">
        <v>20</v>
      </c>
      <c r="C11" s="321">
        <v>935</v>
      </c>
      <c r="D11" s="321">
        <v>530</v>
      </c>
      <c r="E11" s="321">
        <v>1465</v>
      </c>
      <c r="F11" s="321">
        <v>712</v>
      </c>
      <c r="G11" s="321">
        <v>524</v>
      </c>
      <c r="H11" s="321">
        <v>1236</v>
      </c>
      <c r="I11" s="321">
        <v>6266</v>
      </c>
      <c r="J11" s="321">
        <v>5850</v>
      </c>
      <c r="K11" s="321">
        <v>12116</v>
      </c>
      <c r="L11" s="321">
        <v>501</v>
      </c>
      <c r="M11" s="321">
        <v>1521</v>
      </c>
      <c r="N11" s="321">
        <v>2022</v>
      </c>
      <c r="O11" s="321">
        <v>992</v>
      </c>
      <c r="P11" s="321">
        <v>995</v>
      </c>
      <c r="Q11" s="321">
        <v>1987</v>
      </c>
      <c r="R11" s="321">
        <v>9497</v>
      </c>
      <c r="S11" s="321">
        <v>9506</v>
      </c>
      <c r="T11" s="321">
        <v>19003</v>
      </c>
      <c r="U11" s="321">
        <v>91</v>
      </c>
      <c r="V11" s="321">
        <v>86</v>
      </c>
      <c r="W11" s="321">
        <v>177</v>
      </c>
    </row>
    <row r="12" spans="1:23" ht="24.75" customHeight="1">
      <c r="A12" s="331">
        <v>8</v>
      </c>
      <c r="B12" s="303" t="s">
        <v>155</v>
      </c>
      <c r="C12" s="321">
        <v>6</v>
      </c>
      <c r="D12" s="321">
        <v>3</v>
      </c>
      <c r="E12" s="321">
        <v>9</v>
      </c>
      <c r="F12" s="321">
        <v>5</v>
      </c>
      <c r="G12" s="321">
        <v>4</v>
      </c>
      <c r="H12" s="321">
        <v>9</v>
      </c>
      <c r="I12" s="321">
        <v>97</v>
      </c>
      <c r="J12" s="321">
        <v>97</v>
      </c>
      <c r="K12" s="321">
        <v>194</v>
      </c>
      <c r="L12" s="321">
        <v>3</v>
      </c>
      <c r="M12" s="321">
        <v>7</v>
      </c>
      <c r="N12" s="321">
        <v>10</v>
      </c>
      <c r="O12" s="321">
        <v>0</v>
      </c>
      <c r="P12" s="321">
        <v>0</v>
      </c>
      <c r="Q12" s="321">
        <v>0</v>
      </c>
      <c r="R12" s="321">
        <v>111</v>
      </c>
      <c r="S12" s="321">
        <v>112</v>
      </c>
      <c r="T12" s="321">
        <v>223</v>
      </c>
      <c r="U12" s="321">
        <v>0</v>
      </c>
      <c r="V12" s="321">
        <v>1</v>
      </c>
      <c r="W12" s="321">
        <v>1</v>
      </c>
    </row>
    <row r="13" spans="1:23" ht="24.75" customHeight="1">
      <c r="A13" s="331">
        <v>9</v>
      </c>
      <c r="B13" s="303" t="s">
        <v>156</v>
      </c>
      <c r="C13" s="321">
        <v>11</v>
      </c>
      <c r="D13" s="321">
        <v>6</v>
      </c>
      <c r="E13" s="321">
        <v>17</v>
      </c>
      <c r="F13" s="321">
        <v>20</v>
      </c>
      <c r="G13" s="321">
        <v>10</v>
      </c>
      <c r="H13" s="321">
        <v>30</v>
      </c>
      <c r="I13" s="321">
        <v>112</v>
      </c>
      <c r="J13" s="321">
        <v>43</v>
      </c>
      <c r="K13" s="321">
        <v>155</v>
      </c>
      <c r="L13" s="321">
        <v>3</v>
      </c>
      <c r="M13" s="321">
        <v>40</v>
      </c>
      <c r="N13" s="321">
        <v>43</v>
      </c>
      <c r="O13" s="321">
        <v>12</v>
      </c>
      <c r="P13" s="321">
        <v>3</v>
      </c>
      <c r="Q13" s="321">
        <v>15</v>
      </c>
      <c r="R13" s="321">
        <v>163</v>
      </c>
      <c r="S13" s="321">
        <v>109</v>
      </c>
      <c r="T13" s="321">
        <v>272</v>
      </c>
      <c r="U13" s="321">
        <v>5</v>
      </c>
      <c r="V13" s="321">
        <v>7</v>
      </c>
      <c r="W13" s="321">
        <v>12</v>
      </c>
    </row>
    <row r="14" spans="1:23" ht="24.75" customHeight="1">
      <c r="A14" s="331">
        <v>10</v>
      </c>
      <c r="B14" s="303" t="s">
        <v>23</v>
      </c>
      <c r="C14" s="321">
        <v>611</v>
      </c>
      <c r="D14" s="321">
        <v>491</v>
      </c>
      <c r="E14" s="321">
        <v>1102</v>
      </c>
      <c r="F14" s="321">
        <v>962</v>
      </c>
      <c r="G14" s="321">
        <v>1880</v>
      </c>
      <c r="H14" s="321">
        <v>2842</v>
      </c>
      <c r="I14" s="321">
        <v>3102</v>
      </c>
      <c r="J14" s="321">
        <v>5275</v>
      </c>
      <c r="K14" s="321">
        <v>8377</v>
      </c>
      <c r="L14" s="321">
        <v>125</v>
      </c>
      <c r="M14" s="321">
        <v>207</v>
      </c>
      <c r="N14" s="321">
        <v>332</v>
      </c>
      <c r="O14" s="321">
        <v>350</v>
      </c>
      <c r="P14" s="321">
        <v>632</v>
      </c>
      <c r="Q14" s="321">
        <v>982</v>
      </c>
      <c r="R14" s="321">
        <v>5178</v>
      </c>
      <c r="S14" s="321">
        <v>8507</v>
      </c>
      <c r="T14" s="321">
        <v>13685</v>
      </c>
      <c r="U14" s="321">
        <v>28</v>
      </c>
      <c r="V14" s="321">
        <v>22</v>
      </c>
      <c r="W14" s="321">
        <v>50</v>
      </c>
    </row>
    <row r="15" spans="1:23" ht="24.75" customHeight="1">
      <c r="A15" s="331">
        <v>11</v>
      </c>
      <c r="B15" s="303" t="s">
        <v>24</v>
      </c>
      <c r="C15" s="321">
        <v>106</v>
      </c>
      <c r="D15" s="321">
        <v>40</v>
      </c>
      <c r="E15" s="321">
        <v>146</v>
      </c>
      <c r="F15" s="321">
        <v>225</v>
      </c>
      <c r="G15" s="321">
        <v>265</v>
      </c>
      <c r="H15" s="321">
        <v>490</v>
      </c>
      <c r="I15" s="321">
        <v>587</v>
      </c>
      <c r="J15" s="321">
        <v>1182</v>
      </c>
      <c r="K15" s="321">
        <v>1769</v>
      </c>
      <c r="L15" s="321">
        <v>14</v>
      </c>
      <c r="M15" s="321">
        <v>42</v>
      </c>
      <c r="N15" s="321">
        <v>56</v>
      </c>
      <c r="O15" s="321">
        <v>43</v>
      </c>
      <c r="P15" s="321">
        <v>138</v>
      </c>
      <c r="Q15" s="321">
        <v>181</v>
      </c>
      <c r="R15" s="321">
        <v>997</v>
      </c>
      <c r="S15" s="321">
        <v>1725</v>
      </c>
      <c r="T15" s="321">
        <v>2722</v>
      </c>
      <c r="U15" s="321">
        <v>22</v>
      </c>
      <c r="V15" s="321">
        <v>58</v>
      </c>
      <c r="W15" s="321">
        <v>80</v>
      </c>
    </row>
    <row r="16" spans="1:23" ht="24.75" customHeight="1">
      <c r="A16" s="331">
        <v>12</v>
      </c>
      <c r="B16" s="303" t="s">
        <v>25</v>
      </c>
      <c r="C16" s="321">
        <v>2692</v>
      </c>
      <c r="D16" s="321">
        <v>964</v>
      </c>
      <c r="E16" s="321">
        <v>3656</v>
      </c>
      <c r="F16" s="321">
        <v>3960</v>
      </c>
      <c r="G16" s="321">
        <v>2080</v>
      </c>
      <c r="H16" s="321">
        <v>6040</v>
      </c>
      <c r="I16" s="321">
        <v>17285</v>
      </c>
      <c r="J16" s="321">
        <v>11204</v>
      </c>
      <c r="K16" s="321">
        <v>28489</v>
      </c>
      <c r="L16" s="321">
        <v>864</v>
      </c>
      <c r="M16" s="321">
        <v>1956</v>
      </c>
      <c r="N16" s="321">
        <v>2820</v>
      </c>
      <c r="O16" s="321">
        <v>945</v>
      </c>
      <c r="P16" s="321">
        <v>1128</v>
      </c>
      <c r="Q16" s="321">
        <v>2073</v>
      </c>
      <c r="R16" s="321">
        <v>26843</v>
      </c>
      <c r="S16" s="321">
        <v>18249</v>
      </c>
      <c r="T16" s="321">
        <v>45092</v>
      </c>
      <c r="U16" s="321">
        <v>1097</v>
      </c>
      <c r="V16" s="321">
        <v>917</v>
      </c>
      <c r="W16" s="321">
        <v>2014</v>
      </c>
    </row>
    <row r="17" spans="1:23" ht="24.75" customHeight="1">
      <c r="A17" s="331">
        <v>13</v>
      </c>
      <c r="B17" s="303" t="s">
        <v>26</v>
      </c>
      <c r="C17" s="321">
        <v>1155</v>
      </c>
      <c r="D17" s="321">
        <v>618</v>
      </c>
      <c r="E17" s="321">
        <v>1773</v>
      </c>
      <c r="F17" s="321">
        <v>1584</v>
      </c>
      <c r="G17" s="321">
        <v>1556</v>
      </c>
      <c r="H17" s="321">
        <v>3140</v>
      </c>
      <c r="I17" s="321">
        <v>8287</v>
      </c>
      <c r="J17" s="321">
        <v>11400</v>
      </c>
      <c r="K17" s="321">
        <v>19687</v>
      </c>
      <c r="L17" s="321">
        <v>271</v>
      </c>
      <c r="M17" s="321">
        <v>780</v>
      </c>
      <c r="N17" s="321">
        <v>1051</v>
      </c>
      <c r="O17" s="321">
        <v>344</v>
      </c>
      <c r="P17" s="321">
        <v>864</v>
      </c>
      <c r="Q17" s="321">
        <v>1208</v>
      </c>
      <c r="R17" s="321">
        <v>11776</v>
      </c>
      <c r="S17" s="321">
        <v>15399</v>
      </c>
      <c r="T17" s="321">
        <v>27175</v>
      </c>
      <c r="U17" s="321">
        <v>135</v>
      </c>
      <c r="V17" s="321">
        <v>181</v>
      </c>
      <c r="W17" s="321">
        <v>316</v>
      </c>
    </row>
    <row r="18" spans="1:23" ht="24.75" customHeight="1">
      <c r="A18" s="331">
        <v>14</v>
      </c>
      <c r="B18" s="303" t="s">
        <v>27</v>
      </c>
      <c r="C18" s="321">
        <v>375</v>
      </c>
      <c r="D18" s="321">
        <v>159</v>
      </c>
      <c r="E18" s="321">
        <v>534</v>
      </c>
      <c r="F18" s="321">
        <v>573</v>
      </c>
      <c r="G18" s="321">
        <v>287</v>
      </c>
      <c r="H18" s="321">
        <v>860</v>
      </c>
      <c r="I18" s="321">
        <v>2100</v>
      </c>
      <c r="J18" s="321">
        <v>2337</v>
      </c>
      <c r="K18" s="321">
        <v>4437</v>
      </c>
      <c r="L18" s="321">
        <v>122</v>
      </c>
      <c r="M18" s="321">
        <v>431</v>
      </c>
      <c r="N18" s="321">
        <v>553</v>
      </c>
      <c r="O18" s="321">
        <v>77</v>
      </c>
      <c r="P18" s="321">
        <v>120</v>
      </c>
      <c r="Q18" s="321">
        <v>197</v>
      </c>
      <c r="R18" s="321">
        <v>3263</v>
      </c>
      <c r="S18" s="321">
        <v>3352</v>
      </c>
      <c r="T18" s="321">
        <v>6615</v>
      </c>
      <c r="U18" s="321">
        <v>16</v>
      </c>
      <c r="V18" s="321">
        <v>18</v>
      </c>
      <c r="W18" s="321">
        <v>34</v>
      </c>
    </row>
    <row r="19" spans="1:23" ht="24.75" customHeight="1">
      <c r="A19" s="331">
        <v>15</v>
      </c>
      <c r="B19" s="303" t="s">
        <v>57</v>
      </c>
      <c r="C19" s="321">
        <v>423</v>
      </c>
      <c r="D19" s="321">
        <v>149</v>
      </c>
      <c r="E19" s="321">
        <v>572</v>
      </c>
      <c r="F19" s="321">
        <v>525</v>
      </c>
      <c r="G19" s="321">
        <v>374</v>
      </c>
      <c r="H19" s="321">
        <v>899</v>
      </c>
      <c r="I19" s="321">
        <v>2278</v>
      </c>
      <c r="J19" s="321">
        <v>2163</v>
      </c>
      <c r="K19" s="321">
        <v>4441</v>
      </c>
      <c r="L19" s="321">
        <v>135</v>
      </c>
      <c r="M19" s="321">
        <v>209</v>
      </c>
      <c r="N19" s="321">
        <v>344</v>
      </c>
      <c r="O19" s="321">
        <v>691</v>
      </c>
      <c r="P19" s="321">
        <v>467</v>
      </c>
      <c r="Q19" s="321">
        <v>1158</v>
      </c>
      <c r="R19" s="321">
        <v>4066</v>
      </c>
      <c r="S19" s="321">
        <v>3366</v>
      </c>
      <c r="T19" s="321">
        <v>7432</v>
      </c>
      <c r="U19" s="321">
        <v>14</v>
      </c>
      <c r="V19" s="321">
        <v>4</v>
      </c>
      <c r="W19" s="321">
        <v>18</v>
      </c>
    </row>
    <row r="20" spans="1:23" ht="24.75" customHeight="1">
      <c r="A20" s="331">
        <v>16</v>
      </c>
      <c r="B20" s="303" t="s">
        <v>29</v>
      </c>
      <c r="C20" s="321">
        <v>446</v>
      </c>
      <c r="D20" s="321">
        <v>95</v>
      </c>
      <c r="E20" s="321">
        <v>541</v>
      </c>
      <c r="F20" s="321">
        <v>526</v>
      </c>
      <c r="G20" s="321">
        <v>185</v>
      </c>
      <c r="H20" s="321">
        <v>711</v>
      </c>
      <c r="I20" s="321">
        <v>4706</v>
      </c>
      <c r="J20" s="321">
        <v>2205</v>
      </c>
      <c r="K20" s="321">
        <v>6911</v>
      </c>
      <c r="L20" s="321">
        <v>130</v>
      </c>
      <c r="M20" s="321">
        <v>99</v>
      </c>
      <c r="N20" s="321">
        <v>229</v>
      </c>
      <c r="O20" s="321">
        <v>432</v>
      </c>
      <c r="P20" s="321">
        <v>302</v>
      </c>
      <c r="Q20" s="321">
        <v>734</v>
      </c>
      <c r="R20" s="321">
        <v>6275</v>
      </c>
      <c r="S20" s="321">
        <v>2931</v>
      </c>
      <c r="T20" s="321">
        <v>9206</v>
      </c>
      <c r="U20" s="321">
        <v>35</v>
      </c>
      <c r="V20" s="321">
        <v>45</v>
      </c>
      <c r="W20" s="321">
        <v>80</v>
      </c>
    </row>
    <row r="21" spans="1:23" ht="24.75" customHeight="1">
      <c r="A21" s="331">
        <v>17</v>
      </c>
      <c r="B21" s="303" t="s">
        <v>30</v>
      </c>
      <c r="C21" s="321">
        <v>8434</v>
      </c>
      <c r="D21" s="321">
        <v>3230</v>
      </c>
      <c r="E21" s="321">
        <v>11664</v>
      </c>
      <c r="F21" s="321">
        <v>7955</v>
      </c>
      <c r="G21" s="321">
        <v>4939</v>
      </c>
      <c r="H21" s="321">
        <v>12894</v>
      </c>
      <c r="I21" s="321">
        <v>33233</v>
      </c>
      <c r="J21" s="321">
        <v>30702</v>
      </c>
      <c r="K21" s="321">
        <v>63935</v>
      </c>
      <c r="L21" s="321">
        <v>2657</v>
      </c>
      <c r="M21" s="321">
        <v>5142</v>
      </c>
      <c r="N21" s="321">
        <v>7799</v>
      </c>
      <c r="O21" s="321">
        <v>5434</v>
      </c>
      <c r="P21" s="321">
        <v>5538</v>
      </c>
      <c r="Q21" s="321">
        <v>10972</v>
      </c>
      <c r="R21" s="321">
        <v>58547</v>
      </c>
      <c r="S21" s="321">
        <v>50475</v>
      </c>
      <c r="T21" s="321">
        <v>109022</v>
      </c>
      <c r="U21" s="321">
        <v>834</v>
      </c>
      <c r="V21" s="321">
        <v>924</v>
      </c>
      <c r="W21" s="321">
        <v>1758</v>
      </c>
    </row>
    <row r="22" spans="1:23" ht="24.75" customHeight="1">
      <c r="A22" s="331">
        <v>18</v>
      </c>
      <c r="B22" s="303" t="s">
        <v>31</v>
      </c>
      <c r="C22" s="321">
        <v>2557</v>
      </c>
      <c r="D22" s="321">
        <v>1521</v>
      </c>
      <c r="E22" s="321">
        <v>4078</v>
      </c>
      <c r="F22" s="321">
        <v>2521</v>
      </c>
      <c r="G22" s="321">
        <v>2537</v>
      </c>
      <c r="H22" s="321">
        <v>5058</v>
      </c>
      <c r="I22" s="321">
        <v>12710</v>
      </c>
      <c r="J22" s="321">
        <v>24011</v>
      </c>
      <c r="K22" s="321">
        <v>36721</v>
      </c>
      <c r="L22" s="321">
        <v>408</v>
      </c>
      <c r="M22" s="321">
        <v>1145</v>
      </c>
      <c r="N22" s="321">
        <v>1553</v>
      </c>
      <c r="O22" s="321">
        <v>1111</v>
      </c>
      <c r="P22" s="321">
        <v>3504</v>
      </c>
      <c r="Q22" s="321">
        <v>4615</v>
      </c>
      <c r="R22" s="321">
        <v>19346</v>
      </c>
      <c r="S22" s="321">
        <v>32755</v>
      </c>
      <c r="T22" s="321">
        <v>52101</v>
      </c>
      <c r="U22" s="321">
        <v>39</v>
      </c>
      <c r="V22" s="321">
        <v>37</v>
      </c>
      <c r="W22" s="321">
        <v>76</v>
      </c>
    </row>
    <row r="23" spans="1:23" ht="24.75" customHeight="1">
      <c r="A23" s="331">
        <v>19</v>
      </c>
      <c r="B23" s="303" t="s">
        <v>761</v>
      </c>
      <c r="C23" s="321">
        <v>3</v>
      </c>
      <c r="D23" s="321">
        <v>2</v>
      </c>
      <c r="E23" s="321">
        <v>5</v>
      </c>
      <c r="F23" s="321">
        <v>1</v>
      </c>
      <c r="G23" s="321">
        <v>1</v>
      </c>
      <c r="H23" s="321">
        <v>2</v>
      </c>
      <c r="I23" s="321">
        <v>37</v>
      </c>
      <c r="J23" s="321">
        <v>27</v>
      </c>
      <c r="K23" s="321">
        <v>64</v>
      </c>
      <c r="L23" s="321">
        <v>0</v>
      </c>
      <c r="M23" s="321">
        <v>0</v>
      </c>
      <c r="N23" s="321">
        <v>0</v>
      </c>
      <c r="O23" s="321">
        <v>28</v>
      </c>
      <c r="P23" s="321">
        <v>1</v>
      </c>
      <c r="Q23" s="321">
        <v>29</v>
      </c>
      <c r="R23" s="321">
        <v>69</v>
      </c>
      <c r="S23" s="321">
        <v>31</v>
      </c>
      <c r="T23" s="321">
        <v>100</v>
      </c>
      <c r="U23" s="321">
        <v>0</v>
      </c>
      <c r="V23" s="321">
        <v>0</v>
      </c>
      <c r="W23" s="321">
        <v>0</v>
      </c>
    </row>
    <row r="24" spans="1:23" ht="24.75" customHeight="1">
      <c r="A24" s="331">
        <v>20</v>
      </c>
      <c r="B24" s="303" t="s">
        <v>32</v>
      </c>
      <c r="C24" s="321">
        <v>0</v>
      </c>
      <c r="D24" s="321">
        <v>0</v>
      </c>
      <c r="E24" s="321">
        <v>0</v>
      </c>
      <c r="F24" s="321">
        <v>0</v>
      </c>
      <c r="G24" s="321">
        <v>0</v>
      </c>
      <c r="H24" s="321">
        <v>0</v>
      </c>
      <c r="I24" s="321">
        <v>0</v>
      </c>
      <c r="J24" s="321">
        <v>0</v>
      </c>
      <c r="K24" s="321">
        <v>0</v>
      </c>
      <c r="L24" s="321">
        <v>0</v>
      </c>
      <c r="M24" s="321">
        <v>0</v>
      </c>
      <c r="N24" s="321">
        <v>0</v>
      </c>
      <c r="O24" s="321">
        <v>0</v>
      </c>
      <c r="P24" s="321">
        <v>0</v>
      </c>
      <c r="Q24" s="321">
        <v>0</v>
      </c>
      <c r="R24" s="321">
        <v>0</v>
      </c>
      <c r="S24" s="321">
        <v>0</v>
      </c>
      <c r="T24" s="321">
        <v>0</v>
      </c>
      <c r="U24" s="321">
        <v>0</v>
      </c>
      <c r="V24" s="321">
        <v>0</v>
      </c>
      <c r="W24" s="321">
        <v>0</v>
      </c>
    </row>
    <row r="25" spans="1:23" ht="24.75" customHeight="1">
      <c r="A25" s="331">
        <v>21</v>
      </c>
      <c r="B25" s="303" t="s">
        <v>33</v>
      </c>
      <c r="C25" s="321">
        <v>3394</v>
      </c>
      <c r="D25" s="321">
        <v>2020</v>
      </c>
      <c r="E25" s="321">
        <v>5414</v>
      </c>
      <c r="F25" s="321">
        <v>3041</v>
      </c>
      <c r="G25" s="321">
        <v>1845</v>
      </c>
      <c r="H25" s="321">
        <v>4886</v>
      </c>
      <c r="I25" s="321">
        <v>18924</v>
      </c>
      <c r="J25" s="321">
        <v>14048</v>
      </c>
      <c r="K25" s="321">
        <v>32972</v>
      </c>
      <c r="L25" s="321">
        <v>757</v>
      </c>
      <c r="M25" s="321">
        <v>1227</v>
      </c>
      <c r="N25" s="321">
        <v>1984</v>
      </c>
      <c r="O25" s="321">
        <v>1574</v>
      </c>
      <c r="P25" s="321">
        <v>1503</v>
      </c>
      <c r="Q25" s="321">
        <v>3077</v>
      </c>
      <c r="R25" s="321">
        <v>27813</v>
      </c>
      <c r="S25" s="321">
        <v>20754</v>
      </c>
      <c r="T25" s="321">
        <v>48567</v>
      </c>
      <c r="U25" s="321">
        <v>123</v>
      </c>
      <c r="V25" s="321">
        <v>111</v>
      </c>
      <c r="W25" s="321">
        <v>234</v>
      </c>
    </row>
    <row r="26" spans="1:23" ht="24.75" customHeight="1">
      <c r="A26" s="331">
        <v>22</v>
      </c>
      <c r="B26" s="303" t="s">
        <v>34</v>
      </c>
      <c r="C26" s="321">
        <v>6644</v>
      </c>
      <c r="D26" s="321">
        <v>2464</v>
      </c>
      <c r="E26" s="321">
        <v>9108</v>
      </c>
      <c r="F26" s="321">
        <v>10851</v>
      </c>
      <c r="G26" s="321">
        <v>5334</v>
      </c>
      <c r="H26" s="321">
        <v>16185</v>
      </c>
      <c r="I26" s="321">
        <v>47511</v>
      </c>
      <c r="J26" s="321">
        <v>34177</v>
      </c>
      <c r="K26" s="321">
        <v>81688</v>
      </c>
      <c r="L26" s="321">
        <v>1035</v>
      </c>
      <c r="M26" s="321">
        <v>1732</v>
      </c>
      <c r="N26" s="321">
        <v>2767</v>
      </c>
      <c r="O26" s="321">
        <v>4342</v>
      </c>
      <c r="P26" s="321">
        <v>5218</v>
      </c>
      <c r="Q26" s="321">
        <v>9560</v>
      </c>
      <c r="R26" s="321">
        <v>71858</v>
      </c>
      <c r="S26" s="321">
        <v>50121</v>
      </c>
      <c r="T26" s="321">
        <v>121979</v>
      </c>
      <c r="U26" s="321">
        <v>1475</v>
      </c>
      <c r="V26" s="321">
        <v>1196</v>
      </c>
      <c r="W26" s="321">
        <v>2671</v>
      </c>
    </row>
    <row r="27" spans="1:23" ht="24.75" customHeight="1">
      <c r="A27" s="331">
        <v>23</v>
      </c>
      <c r="B27" s="303" t="s">
        <v>35</v>
      </c>
      <c r="C27" s="321">
        <v>146</v>
      </c>
      <c r="D27" s="321">
        <v>63</v>
      </c>
      <c r="E27" s="321">
        <v>209</v>
      </c>
      <c r="F27" s="321">
        <v>451</v>
      </c>
      <c r="G27" s="321">
        <v>382</v>
      </c>
      <c r="H27" s="321">
        <v>833</v>
      </c>
      <c r="I27" s="321">
        <v>1516</v>
      </c>
      <c r="J27" s="321">
        <v>1658</v>
      </c>
      <c r="K27" s="321">
        <v>3174</v>
      </c>
      <c r="L27" s="321">
        <v>13</v>
      </c>
      <c r="M27" s="321">
        <v>76</v>
      </c>
      <c r="N27" s="321">
        <v>89</v>
      </c>
      <c r="O27" s="321">
        <v>42</v>
      </c>
      <c r="P27" s="321">
        <v>54</v>
      </c>
      <c r="Q27" s="321">
        <v>96</v>
      </c>
      <c r="R27" s="321">
        <v>2176</v>
      </c>
      <c r="S27" s="321">
        <v>2239</v>
      </c>
      <c r="T27" s="321">
        <v>4415</v>
      </c>
      <c r="U27" s="321">
        <v>8</v>
      </c>
      <c r="V27" s="321">
        <v>6</v>
      </c>
      <c r="W27" s="321">
        <v>14</v>
      </c>
    </row>
    <row r="28" spans="1:23" ht="24.75" customHeight="1">
      <c r="A28" s="331">
        <v>24</v>
      </c>
      <c r="B28" s="303" t="s">
        <v>36</v>
      </c>
      <c r="C28" s="321">
        <v>35</v>
      </c>
      <c r="D28" s="321">
        <v>20</v>
      </c>
      <c r="E28" s="321">
        <v>55</v>
      </c>
      <c r="F28" s="321">
        <v>133</v>
      </c>
      <c r="G28" s="321">
        <v>164</v>
      </c>
      <c r="H28" s="321">
        <v>297</v>
      </c>
      <c r="I28" s="321">
        <v>646</v>
      </c>
      <c r="J28" s="321">
        <v>1126</v>
      </c>
      <c r="K28" s="321">
        <v>1772</v>
      </c>
      <c r="L28" s="321">
        <v>0</v>
      </c>
      <c r="M28" s="321">
        <v>15</v>
      </c>
      <c r="N28" s="321">
        <v>15</v>
      </c>
      <c r="O28" s="321">
        <v>46</v>
      </c>
      <c r="P28" s="321">
        <v>73</v>
      </c>
      <c r="Q28" s="321">
        <v>119</v>
      </c>
      <c r="R28" s="321">
        <v>861</v>
      </c>
      <c r="S28" s="321">
        <v>1405</v>
      </c>
      <c r="T28" s="321">
        <v>2266</v>
      </c>
      <c r="U28" s="321">
        <v>1</v>
      </c>
      <c r="V28" s="321">
        <v>7</v>
      </c>
      <c r="W28" s="321">
        <v>8</v>
      </c>
    </row>
    <row r="29" spans="1:23" ht="24.75" customHeight="1">
      <c r="A29" s="331">
        <v>25</v>
      </c>
      <c r="B29" s="303" t="s">
        <v>37</v>
      </c>
      <c r="C29" s="321">
        <v>62</v>
      </c>
      <c r="D29" s="321">
        <v>11</v>
      </c>
      <c r="E29" s="321">
        <v>73</v>
      </c>
      <c r="F29" s="321">
        <v>238</v>
      </c>
      <c r="G29" s="321">
        <v>200</v>
      </c>
      <c r="H29" s="321">
        <v>438</v>
      </c>
      <c r="I29" s="321">
        <v>310</v>
      </c>
      <c r="J29" s="321">
        <v>302</v>
      </c>
      <c r="K29" s="321">
        <v>612</v>
      </c>
      <c r="L29" s="321">
        <v>32</v>
      </c>
      <c r="M29" s="321">
        <v>53</v>
      </c>
      <c r="N29" s="321">
        <v>85</v>
      </c>
      <c r="O29" s="321">
        <v>89</v>
      </c>
      <c r="P29" s="321">
        <v>90</v>
      </c>
      <c r="Q29" s="321">
        <v>179</v>
      </c>
      <c r="R29" s="321">
        <v>731</v>
      </c>
      <c r="S29" s="321">
        <v>656</v>
      </c>
      <c r="T29" s="321">
        <v>1387</v>
      </c>
      <c r="U29" s="321">
        <v>0</v>
      </c>
      <c r="V29" s="321">
        <v>0</v>
      </c>
      <c r="W29" s="321">
        <v>0</v>
      </c>
    </row>
    <row r="30" spans="1:23" ht="24.75" customHeight="1">
      <c r="A30" s="331">
        <v>26</v>
      </c>
      <c r="B30" s="303" t="s">
        <v>38</v>
      </c>
      <c r="C30" s="321">
        <v>53</v>
      </c>
      <c r="D30" s="321">
        <v>25</v>
      </c>
      <c r="E30" s="321">
        <v>78</v>
      </c>
      <c r="F30" s="321">
        <v>42</v>
      </c>
      <c r="G30" s="321">
        <v>70</v>
      </c>
      <c r="H30" s="321">
        <v>112</v>
      </c>
      <c r="I30" s="321">
        <v>594</v>
      </c>
      <c r="J30" s="321">
        <v>903</v>
      </c>
      <c r="K30" s="321">
        <v>1497</v>
      </c>
      <c r="L30" s="321">
        <v>8</v>
      </c>
      <c r="M30" s="321">
        <v>20</v>
      </c>
      <c r="N30" s="321">
        <v>28</v>
      </c>
      <c r="O30" s="321">
        <v>17</v>
      </c>
      <c r="P30" s="321">
        <v>26</v>
      </c>
      <c r="Q30" s="321">
        <v>43</v>
      </c>
      <c r="R30" s="321">
        <v>718</v>
      </c>
      <c r="S30" s="321">
        <v>1046</v>
      </c>
      <c r="T30" s="321">
        <v>1764</v>
      </c>
      <c r="U30" s="321">
        <v>4</v>
      </c>
      <c r="V30" s="321">
        <v>2</v>
      </c>
      <c r="W30" s="321">
        <v>6</v>
      </c>
    </row>
    <row r="31" spans="1:23" ht="24.75" customHeight="1">
      <c r="A31" s="331">
        <v>27</v>
      </c>
      <c r="B31" s="303" t="s">
        <v>39</v>
      </c>
      <c r="C31" s="321">
        <v>1329</v>
      </c>
      <c r="D31" s="321">
        <v>305</v>
      </c>
      <c r="E31" s="321">
        <v>1634</v>
      </c>
      <c r="F31" s="321">
        <v>2051</v>
      </c>
      <c r="G31" s="321">
        <v>827</v>
      </c>
      <c r="H31" s="321">
        <v>2878</v>
      </c>
      <c r="I31" s="321">
        <v>11927</v>
      </c>
      <c r="J31" s="321">
        <v>7448</v>
      </c>
      <c r="K31" s="321">
        <v>19375</v>
      </c>
      <c r="L31" s="321">
        <v>969</v>
      </c>
      <c r="M31" s="321">
        <v>561</v>
      </c>
      <c r="N31" s="321">
        <v>1530</v>
      </c>
      <c r="O31" s="321">
        <v>534</v>
      </c>
      <c r="P31" s="321">
        <v>647</v>
      </c>
      <c r="Q31" s="321">
        <v>1181</v>
      </c>
      <c r="R31" s="321">
        <v>16911</v>
      </c>
      <c r="S31" s="321">
        <v>9869</v>
      </c>
      <c r="T31" s="321">
        <v>26780</v>
      </c>
      <c r="U31" s="321">
        <v>101</v>
      </c>
      <c r="V31" s="321">
        <v>81</v>
      </c>
      <c r="W31" s="321">
        <v>182</v>
      </c>
    </row>
    <row r="32" spans="1:23" ht="24.75" customHeight="1">
      <c r="A32" s="331">
        <v>28</v>
      </c>
      <c r="B32" s="303" t="s">
        <v>40</v>
      </c>
      <c r="C32" s="321">
        <v>380</v>
      </c>
      <c r="D32" s="321">
        <v>148</v>
      </c>
      <c r="E32" s="321">
        <v>528</v>
      </c>
      <c r="F32" s="321">
        <v>307</v>
      </c>
      <c r="G32" s="321">
        <v>209</v>
      </c>
      <c r="H32" s="321">
        <v>516</v>
      </c>
      <c r="I32" s="321">
        <v>1307</v>
      </c>
      <c r="J32" s="321">
        <v>1168</v>
      </c>
      <c r="K32" s="321">
        <v>2475</v>
      </c>
      <c r="L32" s="321">
        <v>144</v>
      </c>
      <c r="M32" s="321">
        <v>292</v>
      </c>
      <c r="N32" s="321">
        <v>436</v>
      </c>
      <c r="O32" s="321">
        <v>11</v>
      </c>
      <c r="P32" s="321">
        <v>24</v>
      </c>
      <c r="Q32" s="321">
        <v>35</v>
      </c>
      <c r="R32" s="321">
        <v>2149</v>
      </c>
      <c r="S32" s="321">
        <v>1841</v>
      </c>
      <c r="T32" s="321">
        <v>3990</v>
      </c>
      <c r="U32" s="321">
        <v>0</v>
      </c>
      <c r="V32" s="321">
        <v>0</v>
      </c>
      <c r="W32" s="321">
        <v>0</v>
      </c>
    </row>
    <row r="33" spans="1:23" ht="24.75" customHeight="1">
      <c r="A33" s="331">
        <v>29</v>
      </c>
      <c r="B33" s="303" t="s">
        <v>41</v>
      </c>
      <c r="C33" s="321">
        <v>1104</v>
      </c>
      <c r="D33" s="321">
        <v>789</v>
      </c>
      <c r="E33" s="321">
        <v>1893</v>
      </c>
      <c r="F33" s="321">
        <v>1405</v>
      </c>
      <c r="G33" s="321">
        <v>1631</v>
      </c>
      <c r="H33" s="321">
        <v>3036</v>
      </c>
      <c r="I33" s="321">
        <v>8089</v>
      </c>
      <c r="J33" s="321">
        <v>16451</v>
      </c>
      <c r="K33" s="321">
        <v>24540</v>
      </c>
      <c r="L33" s="321">
        <v>191</v>
      </c>
      <c r="M33" s="321">
        <v>2278</v>
      </c>
      <c r="N33" s="321">
        <v>2469</v>
      </c>
      <c r="O33" s="321">
        <v>325</v>
      </c>
      <c r="P33" s="321">
        <v>999</v>
      </c>
      <c r="Q33" s="321">
        <v>1324</v>
      </c>
      <c r="R33" s="321">
        <v>11240</v>
      </c>
      <c r="S33" s="321">
        <v>22407</v>
      </c>
      <c r="T33" s="321">
        <v>33647</v>
      </c>
      <c r="U33" s="321">
        <v>126</v>
      </c>
      <c r="V33" s="321">
        <v>259</v>
      </c>
      <c r="W33" s="321">
        <v>385</v>
      </c>
    </row>
    <row r="34" spans="1:23" ht="24.75" customHeight="1">
      <c r="A34" s="331">
        <v>30</v>
      </c>
      <c r="B34" s="303" t="s">
        <v>42</v>
      </c>
      <c r="C34" s="321">
        <v>3309</v>
      </c>
      <c r="D34" s="321">
        <v>1339</v>
      </c>
      <c r="E34" s="321">
        <v>4648</v>
      </c>
      <c r="F34" s="321">
        <v>2937</v>
      </c>
      <c r="G34" s="321">
        <v>2105</v>
      </c>
      <c r="H34" s="321">
        <v>5042</v>
      </c>
      <c r="I34" s="321">
        <v>27123</v>
      </c>
      <c r="J34" s="321">
        <v>17430</v>
      </c>
      <c r="K34" s="321">
        <v>44553</v>
      </c>
      <c r="L34" s="321">
        <v>1765</v>
      </c>
      <c r="M34" s="321">
        <v>904</v>
      </c>
      <c r="N34" s="321">
        <v>2669</v>
      </c>
      <c r="O34" s="321">
        <v>378</v>
      </c>
      <c r="P34" s="321">
        <v>182</v>
      </c>
      <c r="Q34" s="321">
        <v>560</v>
      </c>
      <c r="R34" s="321">
        <v>35545</v>
      </c>
      <c r="S34" s="321">
        <v>21981</v>
      </c>
      <c r="T34" s="321">
        <v>57526</v>
      </c>
      <c r="U34" s="321">
        <v>33</v>
      </c>
      <c r="V34" s="321">
        <v>21</v>
      </c>
      <c r="W34" s="321">
        <v>54</v>
      </c>
    </row>
    <row r="35" spans="1:23" ht="24.75" customHeight="1">
      <c r="A35" s="331">
        <v>31</v>
      </c>
      <c r="B35" s="303" t="s">
        <v>43</v>
      </c>
      <c r="C35" s="321">
        <v>20</v>
      </c>
      <c r="D35" s="321">
        <v>7</v>
      </c>
      <c r="E35" s="321">
        <v>27</v>
      </c>
      <c r="F35" s="321">
        <v>22</v>
      </c>
      <c r="G35" s="321">
        <v>14</v>
      </c>
      <c r="H35" s="321">
        <v>36</v>
      </c>
      <c r="I35" s="321">
        <v>265</v>
      </c>
      <c r="J35" s="321">
        <v>232</v>
      </c>
      <c r="K35" s="321">
        <v>497</v>
      </c>
      <c r="L35" s="321">
        <v>0</v>
      </c>
      <c r="M35" s="321">
        <v>10</v>
      </c>
      <c r="N35" s="321">
        <v>10</v>
      </c>
      <c r="O35" s="321">
        <v>4</v>
      </c>
      <c r="P35" s="321">
        <v>7</v>
      </c>
      <c r="Q35" s="321">
        <v>11</v>
      </c>
      <c r="R35" s="321">
        <v>311</v>
      </c>
      <c r="S35" s="321">
        <v>270</v>
      </c>
      <c r="T35" s="321">
        <v>581</v>
      </c>
      <c r="U35" s="321">
        <v>0</v>
      </c>
      <c r="V35" s="321">
        <v>0</v>
      </c>
      <c r="W35" s="321">
        <v>0</v>
      </c>
    </row>
    <row r="36" spans="1:23" ht="24.75" customHeight="1">
      <c r="A36" s="331">
        <v>32</v>
      </c>
      <c r="B36" s="303" t="s">
        <v>44</v>
      </c>
      <c r="C36" s="321">
        <v>7347</v>
      </c>
      <c r="D36" s="321">
        <v>3805</v>
      </c>
      <c r="E36" s="321">
        <v>11152</v>
      </c>
      <c r="F36" s="321">
        <v>8638</v>
      </c>
      <c r="G36" s="321">
        <v>7233</v>
      </c>
      <c r="H36" s="321">
        <v>15871</v>
      </c>
      <c r="I36" s="321">
        <v>51803</v>
      </c>
      <c r="J36" s="321">
        <v>62205</v>
      </c>
      <c r="K36" s="321">
        <v>114008</v>
      </c>
      <c r="L36" s="321">
        <v>1548</v>
      </c>
      <c r="M36" s="321">
        <v>4091</v>
      </c>
      <c r="N36" s="321">
        <v>5639</v>
      </c>
      <c r="O36" s="321">
        <v>1491</v>
      </c>
      <c r="P36" s="321">
        <v>1881</v>
      </c>
      <c r="Q36" s="321">
        <v>3372</v>
      </c>
      <c r="R36" s="321">
        <v>70911</v>
      </c>
      <c r="S36" s="321">
        <v>79327</v>
      </c>
      <c r="T36" s="321">
        <v>150238</v>
      </c>
      <c r="U36" s="321">
        <v>84</v>
      </c>
      <c r="V36" s="321">
        <v>112</v>
      </c>
      <c r="W36" s="321">
        <v>196</v>
      </c>
    </row>
    <row r="37" spans="1:23" ht="24.75" customHeight="1">
      <c r="A37" s="331">
        <v>33</v>
      </c>
      <c r="B37" s="322" t="s">
        <v>134</v>
      </c>
      <c r="C37" s="321">
        <v>4404</v>
      </c>
      <c r="D37" s="321">
        <v>1306</v>
      </c>
      <c r="E37" s="321">
        <v>5710</v>
      </c>
      <c r="F37" s="321">
        <v>4148</v>
      </c>
      <c r="G37" s="321">
        <v>2486</v>
      </c>
      <c r="H37" s="321">
        <v>6634</v>
      </c>
      <c r="I37" s="321">
        <v>31478</v>
      </c>
      <c r="J37" s="321">
        <v>23024</v>
      </c>
      <c r="K37" s="321">
        <v>54502</v>
      </c>
      <c r="L37" s="321">
        <v>729</v>
      </c>
      <c r="M37" s="321">
        <v>1479</v>
      </c>
      <c r="N37" s="321">
        <v>2208</v>
      </c>
      <c r="O37" s="321">
        <v>1020</v>
      </c>
      <c r="P37" s="321">
        <v>831</v>
      </c>
      <c r="Q37" s="321">
        <v>1851</v>
      </c>
      <c r="R37" s="321">
        <v>41852</v>
      </c>
      <c r="S37" s="321">
        <v>29163</v>
      </c>
      <c r="T37" s="321">
        <v>71015</v>
      </c>
      <c r="U37" s="321">
        <v>73</v>
      </c>
      <c r="V37" s="321">
        <v>37</v>
      </c>
      <c r="W37" s="321">
        <v>110</v>
      </c>
    </row>
    <row r="38" spans="1:23" ht="24.75" customHeight="1">
      <c r="A38" s="331">
        <v>34</v>
      </c>
      <c r="B38" s="303" t="s">
        <v>45</v>
      </c>
      <c r="C38" s="321">
        <v>78</v>
      </c>
      <c r="D38" s="321">
        <v>23</v>
      </c>
      <c r="E38" s="321">
        <v>101</v>
      </c>
      <c r="F38" s="321">
        <v>118</v>
      </c>
      <c r="G38" s="321">
        <v>62</v>
      </c>
      <c r="H38" s="321">
        <v>180</v>
      </c>
      <c r="I38" s="321">
        <v>624</v>
      </c>
      <c r="J38" s="321">
        <v>311</v>
      </c>
      <c r="K38" s="321">
        <v>935</v>
      </c>
      <c r="L38" s="321">
        <v>216</v>
      </c>
      <c r="M38" s="321">
        <v>223</v>
      </c>
      <c r="N38" s="321">
        <v>439</v>
      </c>
      <c r="O38" s="321">
        <v>113</v>
      </c>
      <c r="P38" s="321">
        <v>78</v>
      </c>
      <c r="Q38" s="321">
        <v>191</v>
      </c>
      <c r="R38" s="321">
        <v>1198</v>
      </c>
      <c r="S38" s="321">
        <v>738</v>
      </c>
      <c r="T38" s="321">
        <v>1936</v>
      </c>
      <c r="U38" s="321">
        <v>49</v>
      </c>
      <c r="V38" s="321">
        <v>41</v>
      </c>
      <c r="W38" s="321">
        <v>90</v>
      </c>
    </row>
    <row r="39" spans="1:23" ht="24.75" customHeight="1">
      <c r="A39" s="331">
        <v>35</v>
      </c>
      <c r="B39" s="303" t="s">
        <v>47</v>
      </c>
      <c r="C39" s="321">
        <v>7392</v>
      </c>
      <c r="D39" s="321">
        <v>2108</v>
      </c>
      <c r="E39" s="321">
        <v>9500</v>
      </c>
      <c r="F39" s="321">
        <v>8872</v>
      </c>
      <c r="G39" s="321">
        <v>4276</v>
      </c>
      <c r="H39" s="321">
        <v>13148</v>
      </c>
      <c r="I39" s="321">
        <v>63017</v>
      </c>
      <c r="J39" s="321">
        <v>28737</v>
      </c>
      <c r="K39" s="321">
        <v>91754</v>
      </c>
      <c r="L39" s="321">
        <v>937</v>
      </c>
      <c r="M39" s="321">
        <v>942</v>
      </c>
      <c r="N39" s="321">
        <v>1879</v>
      </c>
      <c r="O39" s="321">
        <v>5933</v>
      </c>
      <c r="P39" s="321">
        <v>2517</v>
      </c>
      <c r="Q39" s="321">
        <v>8450</v>
      </c>
      <c r="R39" s="321">
        <v>86282</v>
      </c>
      <c r="S39" s="321">
        <v>38645</v>
      </c>
      <c r="T39" s="321">
        <v>124927</v>
      </c>
      <c r="U39" s="321">
        <v>131</v>
      </c>
      <c r="V39" s="321">
        <v>65</v>
      </c>
      <c r="W39" s="321">
        <v>196</v>
      </c>
    </row>
    <row r="40" spans="1:23" ht="24.75" customHeight="1">
      <c r="A40" s="331">
        <v>36</v>
      </c>
      <c r="B40" s="303" t="s">
        <v>46</v>
      </c>
      <c r="C40" s="321">
        <v>759</v>
      </c>
      <c r="D40" s="321">
        <v>268</v>
      </c>
      <c r="E40" s="321">
        <v>1027</v>
      </c>
      <c r="F40" s="321">
        <v>645</v>
      </c>
      <c r="G40" s="321">
        <v>402</v>
      </c>
      <c r="H40" s="321">
        <v>1047</v>
      </c>
      <c r="I40" s="321">
        <v>3880</v>
      </c>
      <c r="J40" s="321">
        <v>3056</v>
      </c>
      <c r="K40" s="321">
        <v>6936</v>
      </c>
      <c r="L40" s="321">
        <v>114</v>
      </c>
      <c r="M40" s="321">
        <v>329</v>
      </c>
      <c r="N40" s="321">
        <v>443</v>
      </c>
      <c r="O40" s="321">
        <v>403</v>
      </c>
      <c r="P40" s="321">
        <v>340</v>
      </c>
      <c r="Q40" s="321">
        <v>743</v>
      </c>
      <c r="R40" s="321">
        <v>5824</v>
      </c>
      <c r="S40" s="321">
        <v>4404</v>
      </c>
      <c r="T40" s="321">
        <v>10228</v>
      </c>
      <c r="U40" s="321">
        <v>23</v>
      </c>
      <c r="V40" s="321">
        <v>9</v>
      </c>
      <c r="W40" s="321">
        <v>32</v>
      </c>
    </row>
    <row r="41" spans="1:23" ht="24.75" customHeight="1">
      <c r="A41" s="331">
        <v>37</v>
      </c>
      <c r="B41" s="303" t="s">
        <v>48</v>
      </c>
      <c r="C41" s="321">
        <v>2029</v>
      </c>
      <c r="D41" s="321">
        <v>473</v>
      </c>
      <c r="E41" s="321">
        <v>2502</v>
      </c>
      <c r="F41" s="321">
        <v>2983</v>
      </c>
      <c r="G41" s="321">
        <v>1968</v>
      </c>
      <c r="H41" s="321">
        <v>4951</v>
      </c>
      <c r="I41" s="321">
        <v>18567</v>
      </c>
      <c r="J41" s="321">
        <v>9521</v>
      </c>
      <c r="K41" s="321">
        <v>28088</v>
      </c>
      <c r="L41" s="321">
        <v>796</v>
      </c>
      <c r="M41" s="321">
        <v>618</v>
      </c>
      <c r="N41" s="321">
        <v>1414</v>
      </c>
      <c r="O41" s="321">
        <v>6300</v>
      </c>
      <c r="P41" s="321">
        <v>5152</v>
      </c>
      <c r="Q41" s="321">
        <v>11452</v>
      </c>
      <c r="R41" s="321">
        <v>31618</v>
      </c>
      <c r="S41" s="321">
        <v>18481</v>
      </c>
      <c r="T41" s="321">
        <v>50099</v>
      </c>
      <c r="U41" s="321">
        <v>943</v>
      </c>
      <c r="V41" s="321">
        <v>749</v>
      </c>
      <c r="W41" s="321">
        <v>1692</v>
      </c>
    </row>
    <row r="42" spans="1:23" s="333" customFormat="1" ht="24.75" customHeight="1">
      <c r="A42" s="907" t="s">
        <v>49</v>
      </c>
      <c r="B42" s="907"/>
      <c r="C42" s="323">
        <f>SUM(C5:C41)</f>
        <v>64023</v>
      </c>
      <c r="D42" s="323">
        <f t="shared" ref="D42:W42" si="0">SUM(D5:D41)</f>
        <v>24841</v>
      </c>
      <c r="E42" s="323">
        <f t="shared" si="0"/>
        <v>88864</v>
      </c>
      <c r="F42" s="323">
        <f t="shared" si="0"/>
        <v>77610</v>
      </c>
      <c r="G42" s="323">
        <f t="shared" si="0"/>
        <v>48175</v>
      </c>
      <c r="H42" s="323">
        <f t="shared" si="0"/>
        <v>125785</v>
      </c>
      <c r="I42" s="323">
        <f t="shared" si="0"/>
        <v>438938</v>
      </c>
      <c r="J42" s="323">
        <f t="shared" si="0"/>
        <v>350691</v>
      </c>
      <c r="K42" s="323">
        <f t="shared" si="0"/>
        <v>789629</v>
      </c>
      <c r="L42" s="323">
        <f t="shared" si="0"/>
        <v>15714</v>
      </c>
      <c r="M42" s="323">
        <f t="shared" si="0"/>
        <v>28388</v>
      </c>
      <c r="N42" s="323">
        <f t="shared" si="0"/>
        <v>44102</v>
      </c>
      <c r="O42" s="323">
        <f t="shared" si="0"/>
        <v>35882</v>
      </c>
      <c r="P42" s="323">
        <f t="shared" si="0"/>
        <v>35761</v>
      </c>
      <c r="Q42" s="323">
        <f t="shared" si="0"/>
        <v>71643</v>
      </c>
      <c r="R42" s="323">
        <f t="shared" si="0"/>
        <v>637887</v>
      </c>
      <c r="S42" s="323">
        <f t="shared" si="0"/>
        <v>492993</v>
      </c>
      <c r="T42" s="323">
        <f t="shared" si="0"/>
        <v>1130880</v>
      </c>
      <c r="U42" s="323">
        <f t="shared" si="0"/>
        <v>5720</v>
      </c>
      <c r="V42" s="323">
        <f t="shared" si="0"/>
        <v>5137</v>
      </c>
      <c r="W42" s="323">
        <f t="shared" si="0"/>
        <v>10857</v>
      </c>
    </row>
  </sheetData>
  <mergeCells count="13">
    <mergeCell ref="A42:B42"/>
    <mergeCell ref="A2:A3"/>
    <mergeCell ref="B2:B3"/>
    <mergeCell ref="C2:E2"/>
    <mergeCell ref="F2:H2"/>
    <mergeCell ref="C1:H1"/>
    <mergeCell ref="I1:N1"/>
    <mergeCell ref="O1:W1"/>
    <mergeCell ref="O2:Q2"/>
    <mergeCell ref="R2:T2"/>
    <mergeCell ref="U2:W2"/>
    <mergeCell ref="I2:K2"/>
    <mergeCell ref="L2:N2"/>
  </mergeCells>
  <printOptions horizontalCentered="1"/>
  <pageMargins left="0.4" right="0.5" top="0.4" bottom="0.5" header="0.27559055118110198" footer="0.23622047244094499"/>
  <pageSetup paperSize="9" scale="75" firstPageNumber="2" pageOrder="overThenDown" orientation="portrait" useFirstPageNumber="1" r:id="rId1"/>
  <headerFooter alignWithMargins="0">
    <oddFooter>&amp;L     AISHE 2019-20&amp;CT-22a</oddFooter>
  </headerFooter>
  <colBreaks count="2" manualBreakCount="2">
    <brk id="8" max="39" man="1"/>
    <brk id="14" max="39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tabColor rgb="FF00B050"/>
  </sheetPr>
  <dimension ref="A1:W42"/>
  <sheetViews>
    <sheetView showZeros="0" view="pageBreakPreview" topLeftCell="F22" zoomScale="85" zoomScaleSheetLayoutView="85" workbookViewId="0">
      <selection activeCell="X42" sqref="X42"/>
    </sheetView>
  </sheetViews>
  <sheetFormatPr defaultColWidth="9.140625" defaultRowHeight="14.25"/>
  <cols>
    <col min="1" max="1" width="4.85546875" style="334" customWidth="1"/>
    <col min="2" max="2" width="24.140625" style="332" customWidth="1"/>
    <col min="3" max="3" width="12" style="103" customWidth="1"/>
    <col min="4" max="7" width="8.7109375" style="103" customWidth="1"/>
    <col min="8" max="8" width="10.140625" style="103" customWidth="1"/>
    <col min="9" max="10" width="8.7109375" style="103" customWidth="1"/>
    <col min="11" max="11" width="9.85546875" style="103" customWidth="1"/>
    <col min="12" max="12" width="6.85546875" style="103" customWidth="1"/>
    <col min="13" max="13" width="8.140625" style="103" customWidth="1"/>
    <col min="14" max="14" width="7.42578125" style="103" customWidth="1"/>
    <col min="15" max="15" width="6.85546875" style="103" customWidth="1"/>
    <col min="16" max="16" width="8.140625" style="103" customWidth="1"/>
    <col min="17" max="17" width="7.85546875" style="103" customWidth="1"/>
    <col min="18" max="18" width="9.28515625" style="103" customWidth="1"/>
    <col min="19" max="19" width="8.140625" style="103" customWidth="1"/>
    <col min="20" max="20" width="8.7109375" style="103" customWidth="1"/>
    <col min="21" max="21" width="6.85546875" style="103" customWidth="1"/>
    <col min="22" max="22" width="8.140625" style="103" customWidth="1"/>
    <col min="23" max="23" width="6.5703125" style="103" customWidth="1"/>
    <col min="24" max="16384" width="9.140625" style="332"/>
  </cols>
  <sheetData>
    <row r="1" spans="1:23" s="328" customFormat="1" ht="38.25" customHeight="1">
      <c r="A1" s="327"/>
      <c r="B1" s="150" t="s">
        <v>752</v>
      </c>
      <c r="C1" s="779" t="s">
        <v>917</v>
      </c>
      <c r="D1" s="779"/>
      <c r="E1" s="779"/>
      <c r="F1" s="779"/>
      <c r="G1" s="779"/>
      <c r="H1" s="779"/>
      <c r="I1" s="779"/>
      <c r="J1" s="779"/>
      <c r="K1" s="779"/>
      <c r="L1" s="779" t="str">
        <f>C1</f>
        <v>Number of Teachers in Universities teaching departments and its Constituent Units/Off-campus Centres (Based on actual Response)</v>
      </c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</row>
    <row r="2" spans="1:23" s="329" customFormat="1" ht="31.5" customHeight="1">
      <c r="A2" s="916" t="s">
        <v>165</v>
      </c>
      <c r="B2" s="921" t="s">
        <v>713</v>
      </c>
      <c r="C2" s="900" t="s">
        <v>720</v>
      </c>
      <c r="D2" s="900"/>
      <c r="E2" s="900"/>
      <c r="F2" s="900" t="s">
        <v>721</v>
      </c>
      <c r="G2" s="901"/>
      <c r="H2" s="901"/>
      <c r="I2" s="900" t="s">
        <v>722</v>
      </c>
      <c r="J2" s="901"/>
      <c r="K2" s="901"/>
      <c r="L2" s="900" t="s">
        <v>723</v>
      </c>
      <c r="M2" s="901"/>
      <c r="N2" s="901"/>
      <c r="O2" s="900" t="s">
        <v>810</v>
      </c>
      <c r="P2" s="901"/>
      <c r="Q2" s="901"/>
      <c r="R2" s="902" t="s">
        <v>60</v>
      </c>
      <c r="S2" s="903"/>
      <c r="T2" s="904"/>
      <c r="U2" s="917" t="s">
        <v>725</v>
      </c>
      <c r="V2" s="918"/>
      <c r="W2" s="918"/>
    </row>
    <row r="3" spans="1:23" s="329" customFormat="1" ht="19.5" customHeight="1">
      <c r="A3" s="916"/>
      <c r="B3" s="921"/>
      <c r="C3" s="480" t="s">
        <v>87</v>
      </c>
      <c r="D3" s="480" t="s">
        <v>88</v>
      </c>
      <c r="E3" s="480" t="s">
        <v>12</v>
      </c>
      <c r="F3" s="480" t="s">
        <v>87</v>
      </c>
      <c r="G3" s="480" t="s">
        <v>88</v>
      </c>
      <c r="H3" s="480" t="s">
        <v>12</v>
      </c>
      <c r="I3" s="480" t="s">
        <v>87</v>
      </c>
      <c r="J3" s="480" t="s">
        <v>88</v>
      </c>
      <c r="K3" s="480" t="s">
        <v>12</v>
      </c>
      <c r="L3" s="480" t="s">
        <v>87</v>
      </c>
      <c r="M3" s="480" t="s">
        <v>88</v>
      </c>
      <c r="N3" s="480" t="s">
        <v>12</v>
      </c>
      <c r="O3" s="480" t="s">
        <v>87</v>
      </c>
      <c r="P3" s="480" t="s">
        <v>88</v>
      </c>
      <c r="Q3" s="480" t="s">
        <v>12</v>
      </c>
      <c r="R3" s="480" t="s">
        <v>87</v>
      </c>
      <c r="S3" s="480" t="s">
        <v>88</v>
      </c>
      <c r="T3" s="480" t="s">
        <v>12</v>
      </c>
      <c r="U3" s="481" t="s">
        <v>87</v>
      </c>
      <c r="V3" s="481" t="s">
        <v>88</v>
      </c>
      <c r="W3" s="481" t="s">
        <v>12</v>
      </c>
    </row>
    <row r="4" spans="1:23" s="329" customFormat="1">
      <c r="A4" s="337">
        <v>1</v>
      </c>
      <c r="B4" s="337">
        <v>2</v>
      </c>
      <c r="C4" s="337">
        <v>3</v>
      </c>
      <c r="D4" s="337">
        <v>4</v>
      </c>
      <c r="E4" s="337">
        <v>5</v>
      </c>
      <c r="F4" s="337">
        <v>6</v>
      </c>
      <c r="G4" s="337">
        <v>7</v>
      </c>
      <c r="H4" s="337">
        <v>8</v>
      </c>
      <c r="I4" s="337">
        <v>9</v>
      </c>
      <c r="J4" s="337">
        <v>10</v>
      </c>
      <c r="K4" s="337">
        <v>11</v>
      </c>
      <c r="L4" s="337">
        <v>12</v>
      </c>
      <c r="M4" s="337">
        <v>13</v>
      </c>
      <c r="N4" s="337">
        <v>14</v>
      </c>
      <c r="O4" s="337">
        <v>15</v>
      </c>
      <c r="P4" s="337">
        <v>16</v>
      </c>
      <c r="Q4" s="337">
        <v>17</v>
      </c>
      <c r="R4" s="337">
        <v>18</v>
      </c>
      <c r="S4" s="337">
        <v>19</v>
      </c>
      <c r="T4" s="337">
        <v>20</v>
      </c>
      <c r="U4" s="337">
        <v>21</v>
      </c>
      <c r="V4" s="337">
        <v>22</v>
      </c>
      <c r="W4" s="337">
        <v>23</v>
      </c>
    </row>
    <row r="5" spans="1:23" ht="30" customHeight="1">
      <c r="A5" s="331">
        <v>1</v>
      </c>
      <c r="B5" s="338" t="s">
        <v>154</v>
      </c>
      <c r="C5" s="339">
        <v>0</v>
      </c>
      <c r="D5" s="339">
        <v>0</v>
      </c>
      <c r="E5" s="339">
        <v>0</v>
      </c>
      <c r="F5" s="339">
        <v>0</v>
      </c>
      <c r="G5" s="339">
        <v>0</v>
      </c>
      <c r="H5" s="339">
        <v>0</v>
      </c>
      <c r="I5" s="339">
        <v>0</v>
      </c>
      <c r="J5" s="339">
        <v>0</v>
      </c>
      <c r="K5" s="339">
        <v>0</v>
      </c>
      <c r="L5" s="339">
        <v>0</v>
      </c>
      <c r="M5" s="339">
        <v>0</v>
      </c>
      <c r="N5" s="339">
        <v>0</v>
      </c>
      <c r="O5" s="339">
        <v>0</v>
      </c>
      <c r="P5" s="339">
        <v>0</v>
      </c>
      <c r="Q5" s="339">
        <v>0</v>
      </c>
      <c r="R5" s="339">
        <v>0</v>
      </c>
      <c r="S5" s="339">
        <v>0</v>
      </c>
      <c r="T5" s="339">
        <v>0</v>
      </c>
      <c r="U5" s="339">
        <v>0</v>
      </c>
      <c r="V5" s="339">
        <v>0</v>
      </c>
      <c r="W5" s="339">
        <v>0</v>
      </c>
    </row>
    <row r="6" spans="1:23" ht="24.75" customHeight="1">
      <c r="A6" s="331">
        <v>2</v>
      </c>
      <c r="B6" s="338" t="s">
        <v>15</v>
      </c>
      <c r="C6" s="339">
        <v>1057</v>
      </c>
      <c r="D6" s="339">
        <v>310</v>
      </c>
      <c r="E6" s="339">
        <v>1367</v>
      </c>
      <c r="F6" s="339">
        <v>734</v>
      </c>
      <c r="G6" s="339">
        <v>266</v>
      </c>
      <c r="H6" s="339">
        <v>1000</v>
      </c>
      <c r="I6" s="339">
        <v>3468</v>
      </c>
      <c r="J6" s="339">
        <v>1754</v>
      </c>
      <c r="K6" s="339">
        <v>5222</v>
      </c>
      <c r="L6" s="339">
        <v>69</v>
      </c>
      <c r="M6" s="339">
        <v>65</v>
      </c>
      <c r="N6" s="339">
        <v>134</v>
      </c>
      <c r="O6" s="339">
        <v>720</v>
      </c>
      <c r="P6" s="339">
        <v>511</v>
      </c>
      <c r="Q6" s="339">
        <v>1231</v>
      </c>
      <c r="R6" s="339">
        <v>6059</v>
      </c>
      <c r="S6" s="339">
        <v>2913</v>
      </c>
      <c r="T6" s="339">
        <v>8972</v>
      </c>
      <c r="U6" s="339">
        <v>11</v>
      </c>
      <c r="V6" s="339">
        <v>7</v>
      </c>
      <c r="W6" s="339">
        <v>18</v>
      </c>
    </row>
    <row r="7" spans="1:23" ht="24.75" customHeight="1">
      <c r="A7" s="331">
        <v>3</v>
      </c>
      <c r="B7" s="338" t="s">
        <v>16</v>
      </c>
      <c r="C7" s="339">
        <v>117</v>
      </c>
      <c r="D7" s="339">
        <v>26</v>
      </c>
      <c r="E7" s="339">
        <v>143</v>
      </c>
      <c r="F7" s="339">
        <v>92</v>
      </c>
      <c r="G7" s="339">
        <v>33</v>
      </c>
      <c r="H7" s="339">
        <v>125</v>
      </c>
      <c r="I7" s="339">
        <v>447</v>
      </c>
      <c r="J7" s="339">
        <v>296</v>
      </c>
      <c r="K7" s="339">
        <v>743</v>
      </c>
      <c r="L7" s="339">
        <v>2</v>
      </c>
      <c r="M7" s="339">
        <v>8</v>
      </c>
      <c r="N7" s="339">
        <v>10</v>
      </c>
      <c r="O7" s="339">
        <v>1</v>
      </c>
      <c r="P7" s="339">
        <v>1</v>
      </c>
      <c r="Q7" s="339">
        <v>2</v>
      </c>
      <c r="R7" s="339">
        <v>663</v>
      </c>
      <c r="S7" s="339">
        <v>365</v>
      </c>
      <c r="T7" s="339">
        <v>1028</v>
      </c>
      <c r="U7" s="339">
        <v>4</v>
      </c>
      <c r="V7" s="339">
        <v>1</v>
      </c>
      <c r="W7" s="339">
        <v>5</v>
      </c>
    </row>
    <row r="8" spans="1:23" ht="24.75" customHeight="1">
      <c r="A8" s="331">
        <v>4</v>
      </c>
      <c r="B8" s="338" t="s">
        <v>17</v>
      </c>
      <c r="C8" s="339">
        <v>595</v>
      </c>
      <c r="D8" s="339">
        <v>159</v>
      </c>
      <c r="E8" s="339">
        <v>754</v>
      </c>
      <c r="F8" s="339">
        <v>418</v>
      </c>
      <c r="G8" s="339">
        <v>165</v>
      </c>
      <c r="H8" s="339">
        <v>583</v>
      </c>
      <c r="I8" s="339">
        <v>1385</v>
      </c>
      <c r="J8" s="339">
        <v>913</v>
      </c>
      <c r="K8" s="339">
        <v>2298</v>
      </c>
      <c r="L8" s="339">
        <v>1</v>
      </c>
      <c r="M8" s="339">
        <v>10</v>
      </c>
      <c r="N8" s="339">
        <v>11</v>
      </c>
      <c r="O8" s="339">
        <v>52</v>
      </c>
      <c r="P8" s="339">
        <v>47</v>
      </c>
      <c r="Q8" s="339">
        <v>99</v>
      </c>
      <c r="R8" s="339">
        <v>2458</v>
      </c>
      <c r="S8" s="339">
        <v>1296</v>
      </c>
      <c r="T8" s="339">
        <v>3754</v>
      </c>
      <c r="U8" s="339">
        <v>7</v>
      </c>
      <c r="V8" s="339">
        <v>2</v>
      </c>
      <c r="W8" s="339">
        <v>9</v>
      </c>
    </row>
    <row r="9" spans="1:23" ht="24.75" customHeight="1">
      <c r="A9" s="331">
        <v>5</v>
      </c>
      <c r="B9" s="338" t="s">
        <v>18</v>
      </c>
      <c r="C9" s="339">
        <v>565</v>
      </c>
      <c r="D9" s="339">
        <v>91</v>
      </c>
      <c r="E9" s="339">
        <v>656</v>
      </c>
      <c r="F9" s="339">
        <v>493</v>
      </c>
      <c r="G9" s="339">
        <v>105</v>
      </c>
      <c r="H9" s="339">
        <v>598</v>
      </c>
      <c r="I9" s="339">
        <v>1127</v>
      </c>
      <c r="J9" s="339">
        <v>329</v>
      </c>
      <c r="K9" s="339">
        <v>1456</v>
      </c>
      <c r="L9" s="339">
        <v>154</v>
      </c>
      <c r="M9" s="339">
        <v>66</v>
      </c>
      <c r="N9" s="339">
        <v>220</v>
      </c>
      <c r="O9" s="339">
        <v>63</v>
      </c>
      <c r="P9" s="339">
        <v>29</v>
      </c>
      <c r="Q9" s="339">
        <v>92</v>
      </c>
      <c r="R9" s="339">
        <v>2433</v>
      </c>
      <c r="S9" s="339">
        <v>626</v>
      </c>
      <c r="T9" s="339">
        <v>3059</v>
      </c>
      <c r="U9" s="339">
        <v>31</v>
      </c>
      <c r="V9" s="339">
        <v>6</v>
      </c>
      <c r="W9" s="339">
        <v>37</v>
      </c>
    </row>
    <row r="10" spans="1:23" ht="24.75" customHeight="1">
      <c r="A10" s="331">
        <v>6</v>
      </c>
      <c r="B10" s="338" t="s">
        <v>19</v>
      </c>
      <c r="C10" s="339">
        <v>363</v>
      </c>
      <c r="D10" s="339">
        <v>236</v>
      </c>
      <c r="E10" s="339">
        <v>599</v>
      </c>
      <c r="F10" s="339">
        <v>99</v>
      </c>
      <c r="G10" s="339">
        <v>74</v>
      </c>
      <c r="H10" s="339">
        <v>173</v>
      </c>
      <c r="I10" s="339">
        <v>449</v>
      </c>
      <c r="J10" s="339">
        <v>402</v>
      </c>
      <c r="K10" s="339">
        <v>851</v>
      </c>
      <c r="L10" s="339">
        <v>3</v>
      </c>
      <c r="M10" s="339">
        <v>1</v>
      </c>
      <c r="N10" s="339">
        <v>4</v>
      </c>
      <c r="O10" s="339">
        <v>2</v>
      </c>
      <c r="P10" s="339">
        <v>0</v>
      </c>
      <c r="Q10" s="339">
        <v>2</v>
      </c>
      <c r="R10" s="339">
        <v>923</v>
      </c>
      <c r="S10" s="339">
        <v>724</v>
      </c>
      <c r="T10" s="339">
        <v>1647</v>
      </c>
      <c r="U10" s="339">
        <v>7</v>
      </c>
      <c r="V10" s="339">
        <v>11</v>
      </c>
      <c r="W10" s="339">
        <v>18</v>
      </c>
    </row>
    <row r="11" spans="1:23" ht="24.75" customHeight="1">
      <c r="A11" s="331">
        <v>7</v>
      </c>
      <c r="B11" s="338" t="s">
        <v>20</v>
      </c>
      <c r="C11" s="339">
        <v>220</v>
      </c>
      <c r="D11" s="339">
        <v>80</v>
      </c>
      <c r="E11" s="339">
        <v>300</v>
      </c>
      <c r="F11" s="339">
        <v>271</v>
      </c>
      <c r="G11" s="339">
        <v>100</v>
      </c>
      <c r="H11" s="339">
        <v>371</v>
      </c>
      <c r="I11" s="339">
        <v>1130</v>
      </c>
      <c r="J11" s="339">
        <v>611</v>
      </c>
      <c r="K11" s="339">
        <v>1741</v>
      </c>
      <c r="L11" s="339">
        <v>12</v>
      </c>
      <c r="M11" s="339">
        <v>17</v>
      </c>
      <c r="N11" s="339">
        <v>29</v>
      </c>
      <c r="O11" s="339">
        <v>93</v>
      </c>
      <c r="P11" s="339">
        <v>69</v>
      </c>
      <c r="Q11" s="339">
        <v>162</v>
      </c>
      <c r="R11" s="339">
        <v>1742</v>
      </c>
      <c r="S11" s="339">
        <v>893</v>
      </c>
      <c r="T11" s="339">
        <v>2635</v>
      </c>
      <c r="U11" s="339">
        <v>16</v>
      </c>
      <c r="V11" s="339">
        <v>16</v>
      </c>
      <c r="W11" s="339">
        <v>32</v>
      </c>
    </row>
    <row r="12" spans="1:23" ht="24.75" customHeight="1">
      <c r="A12" s="331">
        <v>8</v>
      </c>
      <c r="B12" s="338" t="s">
        <v>155</v>
      </c>
      <c r="C12" s="339">
        <v>0</v>
      </c>
      <c r="D12" s="339">
        <v>1</v>
      </c>
      <c r="E12" s="339">
        <v>1</v>
      </c>
      <c r="F12" s="339">
        <v>1</v>
      </c>
      <c r="G12" s="339">
        <v>0</v>
      </c>
      <c r="H12" s="339">
        <v>1</v>
      </c>
      <c r="I12" s="339">
        <v>2</v>
      </c>
      <c r="J12" s="339">
        <v>2</v>
      </c>
      <c r="K12" s="339">
        <v>4</v>
      </c>
      <c r="L12" s="339">
        <v>0</v>
      </c>
      <c r="M12" s="339">
        <v>0</v>
      </c>
      <c r="N12" s="339">
        <v>0</v>
      </c>
      <c r="O12" s="339">
        <v>0</v>
      </c>
      <c r="P12" s="339">
        <v>0</v>
      </c>
      <c r="Q12" s="339">
        <v>0</v>
      </c>
      <c r="R12" s="339">
        <v>3</v>
      </c>
      <c r="S12" s="339">
        <v>3</v>
      </c>
      <c r="T12" s="339">
        <v>6</v>
      </c>
      <c r="U12" s="339">
        <v>0</v>
      </c>
      <c r="V12" s="339">
        <v>0</v>
      </c>
      <c r="W12" s="339">
        <v>0</v>
      </c>
    </row>
    <row r="13" spans="1:23" ht="24.75" customHeight="1">
      <c r="A13" s="331">
        <v>9</v>
      </c>
      <c r="B13" s="338" t="s">
        <v>156</v>
      </c>
      <c r="C13" s="339">
        <v>0</v>
      </c>
      <c r="D13" s="339">
        <v>0</v>
      </c>
      <c r="E13" s="339">
        <v>0</v>
      </c>
      <c r="F13" s="339">
        <v>0</v>
      </c>
      <c r="G13" s="339">
        <v>0</v>
      </c>
      <c r="H13" s="339">
        <v>0</v>
      </c>
      <c r="I13" s="339">
        <v>0</v>
      </c>
      <c r="J13" s="339">
        <v>0</v>
      </c>
      <c r="K13" s="339">
        <v>0</v>
      </c>
      <c r="L13" s="339">
        <v>0</v>
      </c>
      <c r="M13" s="339">
        <v>0</v>
      </c>
      <c r="N13" s="339">
        <v>0</v>
      </c>
      <c r="O13" s="339">
        <v>0</v>
      </c>
      <c r="P13" s="339">
        <v>0</v>
      </c>
      <c r="Q13" s="339">
        <v>0</v>
      </c>
      <c r="R13" s="339">
        <v>0</v>
      </c>
      <c r="S13" s="339">
        <v>0</v>
      </c>
      <c r="T13" s="339">
        <v>0</v>
      </c>
      <c r="U13" s="339">
        <v>0</v>
      </c>
      <c r="V13" s="339">
        <v>0</v>
      </c>
      <c r="W13" s="339">
        <v>0</v>
      </c>
    </row>
    <row r="14" spans="1:23" ht="24.75" customHeight="1">
      <c r="A14" s="331">
        <v>10</v>
      </c>
      <c r="B14" s="338" t="s">
        <v>23</v>
      </c>
      <c r="C14" s="339">
        <v>1663</v>
      </c>
      <c r="D14" s="339">
        <v>667</v>
      </c>
      <c r="E14" s="339">
        <v>2330</v>
      </c>
      <c r="F14" s="339">
        <v>770</v>
      </c>
      <c r="G14" s="339">
        <v>427</v>
      </c>
      <c r="H14" s="339">
        <v>1197</v>
      </c>
      <c r="I14" s="339">
        <v>1566</v>
      </c>
      <c r="J14" s="339">
        <v>1136</v>
      </c>
      <c r="K14" s="339">
        <v>2702</v>
      </c>
      <c r="L14" s="339">
        <v>4</v>
      </c>
      <c r="M14" s="339">
        <v>34</v>
      </c>
      <c r="N14" s="339">
        <v>38</v>
      </c>
      <c r="O14" s="339">
        <v>99</v>
      </c>
      <c r="P14" s="339">
        <v>92</v>
      </c>
      <c r="Q14" s="339">
        <v>191</v>
      </c>
      <c r="R14" s="339">
        <v>4143</v>
      </c>
      <c r="S14" s="339">
        <v>2378</v>
      </c>
      <c r="T14" s="339">
        <v>6521</v>
      </c>
      <c r="U14" s="339">
        <v>41</v>
      </c>
      <c r="V14" s="339">
        <v>22</v>
      </c>
      <c r="W14" s="339">
        <v>63</v>
      </c>
    </row>
    <row r="15" spans="1:23" ht="24.75" customHeight="1">
      <c r="A15" s="331">
        <v>11</v>
      </c>
      <c r="B15" s="338" t="s">
        <v>24</v>
      </c>
      <c r="C15" s="339">
        <v>44</v>
      </c>
      <c r="D15" s="339">
        <v>15</v>
      </c>
      <c r="E15" s="339">
        <v>59</v>
      </c>
      <c r="F15" s="339">
        <v>22</v>
      </c>
      <c r="G15" s="339">
        <v>12</v>
      </c>
      <c r="H15" s="339">
        <v>34</v>
      </c>
      <c r="I15" s="339">
        <v>98</v>
      </c>
      <c r="J15" s="339">
        <v>66</v>
      </c>
      <c r="K15" s="339">
        <v>164</v>
      </c>
      <c r="L15" s="339">
        <v>0</v>
      </c>
      <c r="M15" s="339">
        <v>0</v>
      </c>
      <c r="N15" s="339">
        <v>0</v>
      </c>
      <c r="O15" s="339">
        <v>1</v>
      </c>
      <c r="P15" s="339">
        <v>0</v>
      </c>
      <c r="Q15" s="339">
        <v>1</v>
      </c>
      <c r="R15" s="339">
        <v>166</v>
      </c>
      <c r="S15" s="339">
        <v>93</v>
      </c>
      <c r="T15" s="339">
        <v>259</v>
      </c>
      <c r="U15" s="339">
        <v>1</v>
      </c>
      <c r="V15" s="339">
        <v>0</v>
      </c>
      <c r="W15" s="339">
        <v>1</v>
      </c>
    </row>
    <row r="16" spans="1:23" ht="24.75" customHeight="1">
      <c r="A16" s="331">
        <v>12</v>
      </c>
      <c r="B16" s="338" t="s">
        <v>25</v>
      </c>
      <c r="C16" s="339">
        <v>1301</v>
      </c>
      <c r="D16" s="339">
        <v>417</v>
      </c>
      <c r="E16" s="339">
        <v>1718</v>
      </c>
      <c r="F16" s="339">
        <v>1143</v>
      </c>
      <c r="G16" s="339">
        <v>505</v>
      </c>
      <c r="H16" s="339">
        <v>1648</v>
      </c>
      <c r="I16" s="339">
        <v>4352</v>
      </c>
      <c r="J16" s="339">
        <v>3043</v>
      </c>
      <c r="K16" s="339">
        <v>7395</v>
      </c>
      <c r="L16" s="339">
        <v>371</v>
      </c>
      <c r="M16" s="339">
        <v>509</v>
      </c>
      <c r="N16" s="339">
        <v>880</v>
      </c>
      <c r="O16" s="339">
        <v>267</v>
      </c>
      <c r="P16" s="339">
        <v>319</v>
      </c>
      <c r="Q16" s="339">
        <v>586</v>
      </c>
      <c r="R16" s="339">
        <v>7745</v>
      </c>
      <c r="S16" s="339">
        <v>4917</v>
      </c>
      <c r="T16" s="339">
        <v>12662</v>
      </c>
      <c r="U16" s="339">
        <v>311</v>
      </c>
      <c r="V16" s="339">
        <v>124</v>
      </c>
      <c r="W16" s="339">
        <v>435</v>
      </c>
    </row>
    <row r="17" spans="1:23" ht="24.75" customHeight="1">
      <c r="A17" s="331">
        <v>13</v>
      </c>
      <c r="B17" s="338" t="s">
        <v>26</v>
      </c>
      <c r="C17" s="339">
        <v>1104</v>
      </c>
      <c r="D17" s="339">
        <v>388</v>
      </c>
      <c r="E17" s="339">
        <v>1492</v>
      </c>
      <c r="F17" s="339">
        <v>611</v>
      </c>
      <c r="G17" s="339">
        <v>446</v>
      </c>
      <c r="H17" s="339">
        <v>1057</v>
      </c>
      <c r="I17" s="339">
        <v>2518</v>
      </c>
      <c r="J17" s="339">
        <v>2652</v>
      </c>
      <c r="K17" s="339">
        <v>5170</v>
      </c>
      <c r="L17" s="339">
        <v>68</v>
      </c>
      <c r="M17" s="339">
        <v>193</v>
      </c>
      <c r="N17" s="339">
        <v>261</v>
      </c>
      <c r="O17" s="339">
        <v>55</v>
      </c>
      <c r="P17" s="339">
        <v>48</v>
      </c>
      <c r="Q17" s="339">
        <v>103</v>
      </c>
      <c r="R17" s="339">
        <v>4421</v>
      </c>
      <c r="S17" s="339">
        <v>3787</v>
      </c>
      <c r="T17" s="339">
        <v>8208</v>
      </c>
      <c r="U17" s="339">
        <v>65</v>
      </c>
      <c r="V17" s="339">
        <v>60</v>
      </c>
      <c r="W17" s="339">
        <v>125</v>
      </c>
    </row>
    <row r="18" spans="1:23" ht="24.75" customHeight="1">
      <c r="A18" s="331">
        <v>14</v>
      </c>
      <c r="B18" s="338" t="s">
        <v>27</v>
      </c>
      <c r="C18" s="339">
        <v>484</v>
      </c>
      <c r="D18" s="339">
        <v>94</v>
      </c>
      <c r="E18" s="339">
        <v>578</v>
      </c>
      <c r="F18" s="339">
        <v>226</v>
      </c>
      <c r="G18" s="339">
        <v>102</v>
      </c>
      <c r="H18" s="339">
        <v>328</v>
      </c>
      <c r="I18" s="339">
        <v>1021</v>
      </c>
      <c r="J18" s="339">
        <v>891</v>
      </c>
      <c r="K18" s="339">
        <v>1912</v>
      </c>
      <c r="L18" s="339">
        <v>9</v>
      </c>
      <c r="M18" s="339">
        <v>33</v>
      </c>
      <c r="N18" s="339">
        <v>42</v>
      </c>
      <c r="O18" s="339">
        <v>7</v>
      </c>
      <c r="P18" s="339">
        <v>19</v>
      </c>
      <c r="Q18" s="339">
        <v>26</v>
      </c>
      <c r="R18" s="339">
        <v>1758</v>
      </c>
      <c r="S18" s="339">
        <v>1140</v>
      </c>
      <c r="T18" s="339">
        <v>2898</v>
      </c>
      <c r="U18" s="339">
        <v>11</v>
      </c>
      <c r="V18" s="339">
        <v>1</v>
      </c>
      <c r="W18" s="339">
        <v>12</v>
      </c>
    </row>
    <row r="19" spans="1:23" ht="24.75" customHeight="1">
      <c r="A19" s="331">
        <v>15</v>
      </c>
      <c r="B19" s="338" t="s">
        <v>57</v>
      </c>
      <c r="C19" s="339">
        <v>364</v>
      </c>
      <c r="D19" s="339">
        <v>83</v>
      </c>
      <c r="E19" s="339">
        <v>447</v>
      </c>
      <c r="F19" s="339">
        <v>189</v>
      </c>
      <c r="G19" s="339">
        <v>57</v>
      </c>
      <c r="H19" s="339">
        <v>246</v>
      </c>
      <c r="I19" s="339">
        <v>1128</v>
      </c>
      <c r="J19" s="339">
        <v>495</v>
      </c>
      <c r="K19" s="339">
        <v>1623</v>
      </c>
      <c r="L19" s="339">
        <v>9</v>
      </c>
      <c r="M19" s="339">
        <v>31</v>
      </c>
      <c r="N19" s="339">
        <v>40</v>
      </c>
      <c r="O19" s="339">
        <v>76</v>
      </c>
      <c r="P19" s="339">
        <v>62</v>
      </c>
      <c r="Q19" s="339">
        <v>138</v>
      </c>
      <c r="R19" s="339">
        <v>1771</v>
      </c>
      <c r="S19" s="339">
        <v>728</v>
      </c>
      <c r="T19" s="339">
        <v>2499</v>
      </c>
      <c r="U19" s="339">
        <v>5</v>
      </c>
      <c r="V19" s="339">
        <v>0</v>
      </c>
      <c r="W19" s="339">
        <v>5</v>
      </c>
    </row>
    <row r="20" spans="1:23" ht="24.75" customHeight="1">
      <c r="A20" s="331">
        <v>16</v>
      </c>
      <c r="B20" s="338" t="s">
        <v>29</v>
      </c>
      <c r="C20" s="339">
        <v>258</v>
      </c>
      <c r="D20" s="339">
        <v>38</v>
      </c>
      <c r="E20" s="339">
        <v>296</v>
      </c>
      <c r="F20" s="339">
        <v>349</v>
      </c>
      <c r="G20" s="339">
        <v>101</v>
      </c>
      <c r="H20" s="339">
        <v>450</v>
      </c>
      <c r="I20" s="339">
        <v>1239</v>
      </c>
      <c r="J20" s="339">
        <v>487</v>
      </c>
      <c r="K20" s="339">
        <v>1726</v>
      </c>
      <c r="L20" s="339">
        <v>20</v>
      </c>
      <c r="M20" s="339">
        <v>26</v>
      </c>
      <c r="N20" s="339">
        <v>46</v>
      </c>
      <c r="O20" s="339">
        <v>60</v>
      </c>
      <c r="P20" s="339">
        <v>51</v>
      </c>
      <c r="Q20" s="339">
        <v>111</v>
      </c>
      <c r="R20" s="339">
        <v>1960</v>
      </c>
      <c r="S20" s="339">
        <v>724</v>
      </c>
      <c r="T20" s="339">
        <v>2684</v>
      </c>
      <c r="U20" s="339">
        <v>34</v>
      </c>
      <c r="V20" s="339">
        <v>21</v>
      </c>
      <c r="W20" s="339">
        <v>55</v>
      </c>
    </row>
    <row r="21" spans="1:23" ht="24.75" customHeight="1">
      <c r="A21" s="331">
        <v>17</v>
      </c>
      <c r="B21" s="338" t="s">
        <v>30</v>
      </c>
      <c r="C21" s="339">
        <v>3326</v>
      </c>
      <c r="D21" s="339">
        <v>1020</v>
      </c>
      <c r="E21" s="339">
        <v>4346</v>
      </c>
      <c r="F21" s="339">
        <v>2486</v>
      </c>
      <c r="G21" s="339">
        <v>1383</v>
      </c>
      <c r="H21" s="339">
        <v>3869</v>
      </c>
      <c r="I21" s="339">
        <v>5728</v>
      </c>
      <c r="J21" s="339">
        <v>4811</v>
      </c>
      <c r="K21" s="339">
        <v>10539</v>
      </c>
      <c r="L21" s="339">
        <v>304</v>
      </c>
      <c r="M21" s="339">
        <v>586</v>
      </c>
      <c r="N21" s="339">
        <v>890</v>
      </c>
      <c r="O21" s="339">
        <v>746</v>
      </c>
      <c r="P21" s="339">
        <v>638</v>
      </c>
      <c r="Q21" s="339">
        <v>1384</v>
      </c>
      <c r="R21" s="339">
        <v>12756</v>
      </c>
      <c r="S21" s="339">
        <v>8519</v>
      </c>
      <c r="T21" s="339">
        <v>21275</v>
      </c>
      <c r="U21" s="339">
        <v>166</v>
      </c>
      <c r="V21" s="339">
        <v>81</v>
      </c>
      <c r="W21" s="339">
        <v>247</v>
      </c>
    </row>
    <row r="22" spans="1:23" ht="24.75" customHeight="1">
      <c r="A22" s="331">
        <v>18</v>
      </c>
      <c r="B22" s="338" t="s">
        <v>31</v>
      </c>
      <c r="C22" s="339">
        <v>477</v>
      </c>
      <c r="D22" s="339">
        <v>216</v>
      </c>
      <c r="E22" s="339">
        <v>693</v>
      </c>
      <c r="F22" s="339">
        <v>396</v>
      </c>
      <c r="G22" s="339">
        <v>233</v>
      </c>
      <c r="H22" s="339">
        <v>629</v>
      </c>
      <c r="I22" s="339">
        <v>1254</v>
      </c>
      <c r="J22" s="339">
        <v>1465</v>
      </c>
      <c r="K22" s="339">
        <v>2719</v>
      </c>
      <c r="L22" s="339">
        <v>96</v>
      </c>
      <c r="M22" s="339">
        <v>10</v>
      </c>
      <c r="N22" s="339">
        <v>106</v>
      </c>
      <c r="O22" s="339">
        <v>190</v>
      </c>
      <c r="P22" s="339">
        <v>284</v>
      </c>
      <c r="Q22" s="339">
        <v>474</v>
      </c>
      <c r="R22" s="339">
        <v>2428</v>
      </c>
      <c r="S22" s="339">
        <v>2221</v>
      </c>
      <c r="T22" s="339">
        <v>4649</v>
      </c>
      <c r="U22" s="339">
        <v>15</v>
      </c>
      <c r="V22" s="339">
        <v>13</v>
      </c>
      <c r="W22" s="339">
        <v>28</v>
      </c>
    </row>
    <row r="23" spans="1:23" ht="24.75" customHeight="1">
      <c r="A23" s="331">
        <v>19</v>
      </c>
      <c r="B23" s="338" t="s">
        <v>761</v>
      </c>
      <c r="C23" s="339">
        <v>2</v>
      </c>
      <c r="D23" s="339">
        <v>0</v>
      </c>
      <c r="E23" s="339">
        <v>2</v>
      </c>
      <c r="F23" s="339">
        <v>4</v>
      </c>
      <c r="G23" s="339">
        <v>0</v>
      </c>
      <c r="H23" s="339">
        <v>4</v>
      </c>
      <c r="I23" s="339">
        <v>40</v>
      </c>
      <c r="J23" s="339">
        <v>6</v>
      </c>
      <c r="K23" s="339">
        <v>46</v>
      </c>
      <c r="L23" s="339">
        <v>1</v>
      </c>
      <c r="M23" s="339">
        <v>0</v>
      </c>
      <c r="N23" s="339">
        <v>1</v>
      </c>
      <c r="O23" s="339">
        <v>1</v>
      </c>
      <c r="P23" s="339">
        <v>1</v>
      </c>
      <c r="Q23" s="339">
        <v>2</v>
      </c>
      <c r="R23" s="339">
        <v>48</v>
      </c>
      <c r="S23" s="339">
        <v>7</v>
      </c>
      <c r="T23" s="339">
        <v>55</v>
      </c>
      <c r="U23" s="339">
        <v>0</v>
      </c>
      <c r="V23" s="339">
        <v>0</v>
      </c>
      <c r="W23" s="339">
        <v>0</v>
      </c>
    </row>
    <row r="24" spans="1:23" ht="24.75" customHeight="1">
      <c r="A24" s="331">
        <v>20</v>
      </c>
      <c r="B24" s="338" t="s">
        <v>32</v>
      </c>
      <c r="C24" s="339">
        <v>2</v>
      </c>
      <c r="D24" s="339">
        <v>1</v>
      </c>
      <c r="E24" s="339">
        <v>3</v>
      </c>
      <c r="F24" s="339">
        <v>0</v>
      </c>
      <c r="G24" s="339">
        <v>0</v>
      </c>
      <c r="H24" s="339">
        <v>0</v>
      </c>
      <c r="I24" s="339">
        <v>23</v>
      </c>
      <c r="J24" s="339">
        <v>19</v>
      </c>
      <c r="K24" s="339">
        <v>42</v>
      </c>
      <c r="L24" s="339">
        <v>0</v>
      </c>
      <c r="M24" s="339">
        <v>0</v>
      </c>
      <c r="N24" s="339">
        <v>0</v>
      </c>
      <c r="O24" s="339">
        <v>0</v>
      </c>
      <c r="P24" s="339">
        <v>0</v>
      </c>
      <c r="Q24" s="339">
        <v>0</v>
      </c>
      <c r="R24" s="339">
        <v>25</v>
      </c>
      <c r="S24" s="339">
        <v>20</v>
      </c>
      <c r="T24" s="339">
        <v>45</v>
      </c>
      <c r="U24" s="339">
        <v>0</v>
      </c>
      <c r="V24" s="339">
        <v>0</v>
      </c>
      <c r="W24" s="339">
        <v>0</v>
      </c>
    </row>
    <row r="25" spans="1:23" ht="24.75" customHeight="1">
      <c r="A25" s="331">
        <v>21</v>
      </c>
      <c r="B25" s="338" t="s">
        <v>33</v>
      </c>
      <c r="C25" s="339">
        <v>1262</v>
      </c>
      <c r="D25" s="339">
        <v>454</v>
      </c>
      <c r="E25" s="339">
        <v>1716</v>
      </c>
      <c r="F25" s="339">
        <v>867</v>
      </c>
      <c r="G25" s="339">
        <v>423</v>
      </c>
      <c r="H25" s="339">
        <v>1290</v>
      </c>
      <c r="I25" s="339">
        <v>5330</v>
      </c>
      <c r="J25" s="339">
        <v>2878</v>
      </c>
      <c r="K25" s="339">
        <v>8208</v>
      </c>
      <c r="L25" s="339">
        <v>430</v>
      </c>
      <c r="M25" s="339">
        <v>533</v>
      </c>
      <c r="N25" s="339">
        <v>963</v>
      </c>
      <c r="O25" s="339">
        <v>316</v>
      </c>
      <c r="P25" s="339">
        <v>274</v>
      </c>
      <c r="Q25" s="339">
        <v>590</v>
      </c>
      <c r="R25" s="339">
        <v>8340</v>
      </c>
      <c r="S25" s="339">
        <v>4645</v>
      </c>
      <c r="T25" s="339">
        <v>12985</v>
      </c>
      <c r="U25" s="339">
        <v>135</v>
      </c>
      <c r="V25" s="339">
        <v>83</v>
      </c>
      <c r="W25" s="339">
        <v>218</v>
      </c>
    </row>
    <row r="26" spans="1:23" ht="24.75" customHeight="1">
      <c r="A26" s="331">
        <v>22</v>
      </c>
      <c r="B26" s="338" t="s">
        <v>34</v>
      </c>
      <c r="C26" s="339">
        <v>2229</v>
      </c>
      <c r="D26" s="339">
        <v>919</v>
      </c>
      <c r="E26" s="339">
        <v>3148</v>
      </c>
      <c r="F26" s="339">
        <v>1671</v>
      </c>
      <c r="G26" s="339">
        <v>986</v>
      </c>
      <c r="H26" s="339">
        <v>2657</v>
      </c>
      <c r="I26" s="339">
        <v>4595</v>
      </c>
      <c r="J26" s="339">
        <v>3637</v>
      </c>
      <c r="K26" s="339">
        <v>8232</v>
      </c>
      <c r="L26" s="339">
        <v>291</v>
      </c>
      <c r="M26" s="339">
        <v>435</v>
      </c>
      <c r="N26" s="339">
        <v>726</v>
      </c>
      <c r="O26" s="339">
        <v>228</v>
      </c>
      <c r="P26" s="339">
        <v>219</v>
      </c>
      <c r="Q26" s="339">
        <v>447</v>
      </c>
      <c r="R26" s="339">
        <v>9218</v>
      </c>
      <c r="S26" s="339">
        <v>6341</v>
      </c>
      <c r="T26" s="339">
        <v>15559</v>
      </c>
      <c r="U26" s="339">
        <v>204</v>
      </c>
      <c r="V26" s="339">
        <v>145</v>
      </c>
      <c r="W26" s="339">
        <v>349</v>
      </c>
    </row>
    <row r="27" spans="1:23" ht="24.75" customHeight="1">
      <c r="A27" s="331">
        <v>23</v>
      </c>
      <c r="B27" s="338" t="s">
        <v>35</v>
      </c>
      <c r="C27" s="339">
        <v>116</v>
      </c>
      <c r="D27" s="339">
        <v>23</v>
      </c>
      <c r="E27" s="339">
        <v>139</v>
      </c>
      <c r="F27" s="339">
        <v>69</v>
      </c>
      <c r="G27" s="339">
        <v>21</v>
      </c>
      <c r="H27" s="339">
        <v>90</v>
      </c>
      <c r="I27" s="339">
        <v>242</v>
      </c>
      <c r="J27" s="339">
        <v>139</v>
      </c>
      <c r="K27" s="339">
        <v>381</v>
      </c>
      <c r="L27" s="339">
        <v>1</v>
      </c>
      <c r="M27" s="339">
        <v>0</v>
      </c>
      <c r="N27" s="339">
        <v>1</v>
      </c>
      <c r="O27" s="339">
        <v>74</v>
      </c>
      <c r="P27" s="339">
        <v>58</v>
      </c>
      <c r="Q27" s="339">
        <v>132</v>
      </c>
      <c r="R27" s="339">
        <v>543</v>
      </c>
      <c r="S27" s="339">
        <v>246</v>
      </c>
      <c r="T27" s="339">
        <v>789</v>
      </c>
      <c r="U27" s="339">
        <v>41</v>
      </c>
      <c r="V27" s="339">
        <v>5</v>
      </c>
      <c r="W27" s="339">
        <v>46</v>
      </c>
    </row>
    <row r="28" spans="1:23" ht="24.75" customHeight="1">
      <c r="A28" s="331">
        <v>24</v>
      </c>
      <c r="B28" s="338" t="s">
        <v>36</v>
      </c>
      <c r="C28" s="339">
        <v>129</v>
      </c>
      <c r="D28" s="339">
        <v>39</v>
      </c>
      <c r="E28" s="339">
        <v>168</v>
      </c>
      <c r="F28" s="339">
        <v>110</v>
      </c>
      <c r="G28" s="339">
        <v>62</v>
      </c>
      <c r="H28" s="339">
        <v>172</v>
      </c>
      <c r="I28" s="339">
        <v>344</v>
      </c>
      <c r="J28" s="339">
        <v>314</v>
      </c>
      <c r="K28" s="339">
        <v>658</v>
      </c>
      <c r="L28" s="339">
        <v>18</v>
      </c>
      <c r="M28" s="339">
        <v>4</v>
      </c>
      <c r="N28" s="339">
        <v>22</v>
      </c>
      <c r="O28" s="339">
        <v>3</v>
      </c>
      <c r="P28" s="339">
        <v>4</v>
      </c>
      <c r="Q28" s="339">
        <v>7</v>
      </c>
      <c r="R28" s="339">
        <v>605</v>
      </c>
      <c r="S28" s="339">
        <v>425</v>
      </c>
      <c r="T28" s="339">
        <v>1030</v>
      </c>
      <c r="U28" s="339">
        <v>1</v>
      </c>
      <c r="V28" s="339">
        <v>2</v>
      </c>
      <c r="W28" s="339">
        <v>3</v>
      </c>
    </row>
    <row r="29" spans="1:23" ht="24.75" customHeight="1">
      <c r="A29" s="331">
        <v>25</v>
      </c>
      <c r="B29" s="338" t="s">
        <v>37</v>
      </c>
      <c r="C29" s="339">
        <v>56</v>
      </c>
      <c r="D29" s="339">
        <v>12</v>
      </c>
      <c r="E29" s="339">
        <v>68</v>
      </c>
      <c r="F29" s="339">
        <v>23</v>
      </c>
      <c r="G29" s="339">
        <v>6</v>
      </c>
      <c r="H29" s="339">
        <v>29</v>
      </c>
      <c r="I29" s="339">
        <v>107</v>
      </c>
      <c r="J29" s="339">
        <v>70</v>
      </c>
      <c r="K29" s="339">
        <v>177</v>
      </c>
      <c r="L29" s="339">
        <v>0</v>
      </c>
      <c r="M29" s="339">
        <v>0</v>
      </c>
      <c r="N29" s="339">
        <v>0</v>
      </c>
      <c r="O29" s="339">
        <v>7</v>
      </c>
      <c r="P29" s="339">
        <v>6</v>
      </c>
      <c r="Q29" s="339">
        <v>13</v>
      </c>
      <c r="R29" s="339">
        <v>200</v>
      </c>
      <c r="S29" s="339">
        <v>103</v>
      </c>
      <c r="T29" s="339">
        <v>303</v>
      </c>
      <c r="U29" s="339">
        <v>7</v>
      </c>
      <c r="V29" s="339">
        <v>9</v>
      </c>
      <c r="W29" s="339">
        <v>16</v>
      </c>
    </row>
    <row r="30" spans="1:23" ht="24.75" customHeight="1">
      <c r="A30" s="331">
        <v>26</v>
      </c>
      <c r="B30" s="338" t="s">
        <v>38</v>
      </c>
      <c r="C30" s="339">
        <v>50</v>
      </c>
      <c r="D30" s="339">
        <v>15</v>
      </c>
      <c r="E30" s="339">
        <v>65</v>
      </c>
      <c r="F30" s="339">
        <v>21</v>
      </c>
      <c r="G30" s="339">
        <v>10</v>
      </c>
      <c r="H30" s="339">
        <v>31</v>
      </c>
      <c r="I30" s="339">
        <v>185</v>
      </c>
      <c r="J30" s="339">
        <v>137</v>
      </c>
      <c r="K30" s="339">
        <v>322</v>
      </c>
      <c r="L30" s="339">
        <v>0</v>
      </c>
      <c r="M30" s="339">
        <v>0</v>
      </c>
      <c r="N30" s="339">
        <v>0</v>
      </c>
      <c r="O30" s="339">
        <v>0</v>
      </c>
      <c r="P30" s="339">
        <v>0</v>
      </c>
      <c r="Q30" s="339">
        <v>0</v>
      </c>
      <c r="R30" s="339">
        <v>256</v>
      </c>
      <c r="S30" s="339">
        <v>162</v>
      </c>
      <c r="T30" s="339">
        <v>418</v>
      </c>
      <c r="U30" s="339">
        <v>0</v>
      </c>
      <c r="V30" s="339">
        <v>0</v>
      </c>
      <c r="W30" s="339">
        <v>0</v>
      </c>
    </row>
    <row r="31" spans="1:23" ht="24.75" customHeight="1">
      <c r="A31" s="331">
        <v>27</v>
      </c>
      <c r="B31" s="338" t="s">
        <v>39</v>
      </c>
      <c r="C31" s="339">
        <v>787</v>
      </c>
      <c r="D31" s="339">
        <v>157</v>
      </c>
      <c r="E31" s="339">
        <v>944</v>
      </c>
      <c r="F31" s="339">
        <v>783</v>
      </c>
      <c r="G31" s="339">
        <v>286</v>
      </c>
      <c r="H31" s="339">
        <v>1069</v>
      </c>
      <c r="I31" s="339">
        <v>2177</v>
      </c>
      <c r="J31" s="339">
        <v>1144</v>
      </c>
      <c r="K31" s="339">
        <v>3321</v>
      </c>
      <c r="L31" s="339">
        <v>43</v>
      </c>
      <c r="M31" s="339">
        <v>142</v>
      </c>
      <c r="N31" s="339">
        <v>185</v>
      </c>
      <c r="O31" s="339">
        <v>121</v>
      </c>
      <c r="P31" s="339">
        <v>64</v>
      </c>
      <c r="Q31" s="339">
        <v>185</v>
      </c>
      <c r="R31" s="339">
        <v>3960</v>
      </c>
      <c r="S31" s="339">
        <v>1818</v>
      </c>
      <c r="T31" s="339">
        <v>5778</v>
      </c>
      <c r="U31" s="339">
        <v>49</v>
      </c>
      <c r="V31" s="339">
        <v>25</v>
      </c>
      <c r="W31" s="339">
        <v>74</v>
      </c>
    </row>
    <row r="32" spans="1:23" ht="24.75" customHeight="1">
      <c r="A32" s="331">
        <v>28</v>
      </c>
      <c r="B32" s="338" t="s">
        <v>40</v>
      </c>
      <c r="C32" s="339">
        <v>362</v>
      </c>
      <c r="D32" s="339">
        <v>130</v>
      </c>
      <c r="E32" s="339">
        <v>492</v>
      </c>
      <c r="F32" s="339">
        <v>199</v>
      </c>
      <c r="G32" s="339">
        <v>140</v>
      </c>
      <c r="H32" s="339">
        <v>339</v>
      </c>
      <c r="I32" s="339">
        <v>446</v>
      </c>
      <c r="J32" s="339">
        <v>287</v>
      </c>
      <c r="K32" s="339">
        <v>733</v>
      </c>
      <c r="L32" s="339">
        <v>193</v>
      </c>
      <c r="M32" s="339">
        <v>245</v>
      </c>
      <c r="N32" s="339">
        <v>438</v>
      </c>
      <c r="O32" s="339">
        <v>14</v>
      </c>
      <c r="P32" s="339">
        <v>10</v>
      </c>
      <c r="Q32" s="339">
        <v>24</v>
      </c>
      <c r="R32" s="339">
        <v>1216</v>
      </c>
      <c r="S32" s="339">
        <v>813</v>
      </c>
      <c r="T32" s="339">
        <v>2029</v>
      </c>
      <c r="U32" s="339">
        <v>2</v>
      </c>
      <c r="V32" s="339">
        <v>1</v>
      </c>
      <c r="W32" s="339">
        <v>3</v>
      </c>
    </row>
    <row r="33" spans="1:23" ht="24.75" customHeight="1">
      <c r="A33" s="331">
        <v>29</v>
      </c>
      <c r="B33" s="338" t="s">
        <v>41</v>
      </c>
      <c r="C33" s="339">
        <v>1082</v>
      </c>
      <c r="D33" s="339">
        <v>399</v>
      </c>
      <c r="E33" s="339">
        <v>1481</v>
      </c>
      <c r="F33" s="339">
        <v>755</v>
      </c>
      <c r="G33" s="339">
        <v>408</v>
      </c>
      <c r="H33" s="339">
        <v>1163</v>
      </c>
      <c r="I33" s="339">
        <v>3838</v>
      </c>
      <c r="J33" s="339">
        <v>3582</v>
      </c>
      <c r="K33" s="339">
        <v>7420</v>
      </c>
      <c r="L33" s="339">
        <v>43</v>
      </c>
      <c r="M33" s="339">
        <v>173</v>
      </c>
      <c r="N33" s="339">
        <v>216</v>
      </c>
      <c r="O33" s="339">
        <v>111</v>
      </c>
      <c r="P33" s="339">
        <v>191</v>
      </c>
      <c r="Q33" s="339">
        <v>302</v>
      </c>
      <c r="R33" s="339">
        <v>5898</v>
      </c>
      <c r="S33" s="339">
        <v>4782</v>
      </c>
      <c r="T33" s="339">
        <v>10680</v>
      </c>
      <c r="U33" s="339">
        <v>69</v>
      </c>
      <c r="V33" s="339">
        <v>29</v>
      </c>
      <c r="W33" s="339">
        <v>98</v>
      </c>
    </row>
    <row r="34" spans="1:23" ht="24.75" customHeight="1">
      <c r="A34" s="331">
        <v>30</v>
      </c>
      <c r="B34" s="338" t="s">
        <v>42</v>
      </c>
      <c r="C34" s="339">
        <v>1513</v>
      </c>
      <c r="D34" s="339">
        <v>451</v>
      </c>
      <c r="E34" s="339">
        <v>1964</v>
      </c>
      <c r="F34" s="339">
        <v>1345</v>
      </c>
      <c r="G34" s="339">
        <v>669</v>
      </c>
      <c r="H34" s="339">
        <v>2014</v>
      </c>
      <c r="I34" s="339">
        <v>5368</v>
      </c>
      <c r="J34" s="339">
        <v>3225</v>
      </c>
      <c r="K34" s="339">
        <v>8593</v>
      </c>
      <c r="L34" s="339">
        <v>340</v>
      </c>
      <c r="M34" s="339">
        <v>164</v>
      </c>
      <c r="N34" s="339">
        <v>504</v>
      </c>
      <c r="O34" s="339">
        <v>99</v>
      </c>
      <c r="P34" s="339">
        <v>96</v>
      </c>
      <c r="Q34" s="339">
        <v>195</v>
      </c>
      <c r="R34" s="339">
        <v>8771</v>
      </c>
      <c r="S34" s="339">
        <v>4696</v>
      </c>
      <c r="T34" s="339">
        <v>13467</v>
      </c>
      <c r="U34" s="339">
        <v>106</v>
      </c>
      <c r="V34" s="339">
        <v>91</v>
      </c>
      <c r="W34" s="339">
        <v>197</v>
      </c>
    </row>
    <row r="35" spans="1:23" ht="24.75" customHeight="1">
      <c r="A35" s="331">
        <v>31</v>
      </c>
      <c r="B35" s="338" t="s">
        <v>43</v>
      </c>
      <c r="C35" s="339">
        <v>76</v>
      </c>
      <c r="D35" s="339">
        <v>21</v>
      </c>
      <c r="E35" s="339">
        <v>97</v>
      </c>
      <c r="F35" s="339">
        <v>110</v>
      </c>
      <c r="G35" s="339">
        <v>45</v>
      </c>
      <c r="H35" s="339">
        <v>155</v>
      </c>
      <c r="I35" s="339">
        <v>417</v>
      </c>
      <c r="J35" s="339">
        <v>273</v>
      </c>
      <c r="K35" s="339">
        <v>690</v>
      </c>
      <c r="L35" s="339">
        <v>5</v>
      </c>
      <c r="M35" s="339">
        <v>30</v>
      </c>
      <c r="N35" s="339">
        <v>35</v>
      </c>
      <c r="O35" s="339">
        <v>1</v>
      </c>
      <c r="P35" s="339">
        <v>23</v>
      </c>
      <c r="Q35" s="339">
        <v>24</v>
      </c>
      <c r="R35" s="339">
        <v>613</v>
      </c>
      <c r="S35" s="339">
        <v>396</v>
      </c>
      <c r="T35" s="339">
        <v>1009</v>
      </c>
      <c r="U35" s="339">
        <v>4</v>
      </c>
      <c r="V35" s="339">
        <v>4</v>
      </c>
      <c r="W35" s="339">
        <v>8</v>
      </c>
    </row>
    <row r="36" spans="1:23" ht="24.75" customHeight="1">
      <c r="A36" s="331">
        <v>32</v>
      </c>
      <c r="B36" s="338" t="s">
        <v>44</v>
      </c>
      <c r="C36" s="339">
        <v>3692</v>
      </c>
      <c r="D36" s="339">
        <v>1468</v>
      </c>
      <c r="E36" s="339">
        <v>5160</v>
      </c>
      <c r="F36" s="339">
        <v>2833</v>
      </c>
      <c r="G36" s="339">
        <v>1564</v>
      </c>
      <c r="H36" s="339">
        <v>4397</v>
      </c>
      <c r="I36" s="339">
        <v>9082</v>
      </c>
      <c r="J36" s="339">
        <v>7134</v>
      </c>
      <c r="K36" s="339">
        <v>16216</v>
      </c>
      <c r="L36" s="339">
        <v>360</v>
      </c>
      <c r="M36" s="339">
        <v>604</v>
      </c>
      <c r="N36" s="339">
        <v>964</v>
      </c>
      <c r="O36" s="339">
        <v>152</v>
      </c>
      <c r="P36" s="339">
        <v>181</v>
      </c>
      <c r="Q36" s="339">
        <v>333</v>
      </c>
      <c r="R36" s="339">
        <v>16231</v>
      </c>
      <c r="S36" s="339">
        <v>10970</v>
      </c>
      <c r="T36" s="339">
        <v>27201</v>
      </c>
      <c r="U36" s="339">
        <v>112</v>
      </c>
      <c r="V36" s="339">
        <v>19</v>
      </c>
      <c r="W36" s="339">
        <v>131</v>
      </c>
    </row>
    <row r="37" spans="1:23" ht="24.75" customHeight="1">
      <c r="A37" s="331">
        <v>33</v>
      </c>
      <c r="B37" s="119" t="s">
        <v>134</v>
      </c>
      <c r="C37" s="339">
        <v>695</v>
      </c>
      <c r="D37" s="339">
        <v>224</v>
      </c>
      <c r="E37" s="339">
        <v>919</v>
      </c>
      <c r="F37" s="339">
        <v>464</v>
      </c>
      <c r="G37" s="339">
        <v>178</v>
      </c>
      <c r="H37" s="339">
        <v>642</v>
      </c>
      <c r="I37" s="339">
        <v>1374</v>
      </c>
      <c r="J37" s="339">
        <v>705</v>
      </c>
      <c r="K37" s="339">
        <v>2079</v>
      </c>
      <c r="L37" s="339">
        <v>43</v>
      </c>
      <c r="M37" s="339">
        <v>2</v>
      </c>
      <c r="N37" s="339">
        <v>45</v>
      </c>
      <c r="O37" s="339">
        <v>346</v>
      </c>
      <c r="P37" s="339">
        <v>129</v>
      </c>
      <c r="Q37" s="339">
        <v>475</v>
      </c>
      <c r="R37" s="339">
        <v>2923</v>
      </c>
      <c r="S37" s="339">
        <v>1239</v>
      </c>
      <c r="T37" s="339">
        <v>4162</v>
      </c>
      <c r="U37" s="339">
        <v>1</v>
      </c>
      <c r="V37" s="339">
        <v>1</v>
      </c>
      <c r="W37" s="339">
        <v>2</v>
      </c>
    </row>
    <row r="38" spans="1:23" ht="24.75" customHeight="1">
      <c r="A38" s="331">
        <v>34</v>
      </c>
      <c r="B38" s="338" t="s">
        <v>45</v>
      </c>
      <c r="C38" s="339">
        <v>32</v>
      </c>
      <c r="D38" s="339">
        <v>1</v>
      </c>
      <c r="E38" s="339">
        <v>33</v>
      </c>
      <c r="F38" s="339">
        <v>49</v>
      </c>
      <c r="G38" s="339">
        <v>10</v>
      </c>
      <c r="H38" s="339">
        <v>59</v>
      </c>
      <c r="I38" s="339">
        <v>210</v>
      </c>
      <c r="J38" s="339">
        <v>77</v>
      </c>
      <c r="K38" s="339">
        <v>287</v>
      </c>
      <c r="L38" s="339">
        <v>0</v>
      </c>
      <c r="M38" s="339">
        <v>0</v>
      </c>
      <c r="N38" s="339">
        <v>0</v>
      </c>
      <c r="O38" s="339">
        <v>5</v>
      </c>
      <c r="P38" s="339">
        <v>1</v>
      </c>
      <c r="Q38" s="339">
        <v>6</v>
      </c>
      <c r="R38" s="339">
        <v>296</v>
      </c>
      <c r="S38" s="339">
        <v>89</v>
      </c>
      <c r="T38" s="339">
        <v>385</v>
      </c>
      <c r="U38" s="339">
        <v>0</v>
      </c>
      <c r="V38" s="339">
        <v>0</v>
      </c>
      <c r="W38" s="339">
        <v>0</v>
      </c>
    </row>
    <row r="39" spans="1:23" ht="24.75" customHeight="1">
      <c r="A39" s="331">
        <v>35</v>
      </c>
      <c r="B39" s="338" t="s">
        <v>47</v>
      </c>
      <c r="C39" s="339">
        <v>3567</v>
      </c>
      <c r="D39" s="339">
        <v>977</v>
      </c>
      <c r="E39" s="339">
        <v>4544</v>
      </c>
      <c r="F39" s="339">
        <v>2195</v>
      </c>
      <c r="G39" s="339">
        <v>924</v>
      </c>
      <c r="H39" s="339">
        <v>3119</v>
      </c>
      <c r="I39" s="339">
        <v>7390</v>
      </c>
      <c r="J39" s="339">
        <v>4542</v>
      </c>
      <c r="K39" s="339">
        <v>11932</v>
      </c>
      <c r="L39" s="339">
        <v>376</v>
      </c>
      <c r="M39" s="339">
        <v>402</v>
      </c>
      <c r="N39" s="339">
        <v>778</v>
      </c>
      <c r="O39" s="339">
        <v>557</v>
      </c>
      <c r="P39" s="339">
        <v>277</v>
      </c>
      <c r="Q39" s="339">
        <v>834</v>
      </c>
      <c r="R39" s="339">
        <v>14354</v>
      </c>
      <c r="S39" s="339">
        <v>7248</v>
      </c>
      <c r="T39" s="339">
        <v>21602</v>
      </c>
      <c r="U39" s="339">
        <v>269</v>
      </c>
      <c r="V39" s="339">
        <v>126</v>
      </c>
      <c r="W39" s="339">
        <v>395</v>
      </c>
    </row>
    <row r="40" spans="1:23" ht="24.75" customHeight="1">
      <c r="A40" s="331">
        <v>36</v>
      </c>
      <c r="B40" s="338" t="s">
        <v>46</v>
      </c>
      <c r="C40" s="339">
        <v>821</v>
      </c>
      <c r="D40" s="339">
        <v>262</v>
      </c>
      <c r="E40" s="339">
        <v>1083</v>
      </c>
      <c r="F40" s="339">
        <v>726</v>
      </c>
      <c r="G40" s="339">
        <v>294</v>
      </c>
      <c r="H40" s="339">
        <v>1020</v>
      </c>
      <c r="I40" s="339">
        <v>2124</v>
      </c>
      <c r="J40" s="339">
        <v>1199</v>
      </c>
      <c r="K40" s="339">
        <v>3323</v>
      </c>
      <c r="L40" s="339">
        <v>102</v>
      </c>
      <c r="M40" s="339">
        <v>158</v>
      </c>
      <c r="N40" s="339">
        <v>260</v>
      </c>
      <c r="O40" s="339">
        <v>183</v>
      </c>
      <c r="P40" s="339">
        <v>77</v>
      </c>
      <c r="Q40" s="339">
        <v>260</v>
      </c>
      <c r="R40" s="339">
        <v>4022</v>
      </c>
      <c r="S40" s="339">
        <v>2022</v>
      </c>
      <c r="T40" s="339">
        <v>6044</v>
      </c>
      <c r="U40" s="339">
        <v>66</v>
      </c>
      <c r="V40" s="339">
        <v>32</v>
      </c>
      <c r="W40" s="339">
        <v>98</v>
      </c>
    </row>
    <row r="41" spans="1:23" ht="24.75" customHeight="1">
      <c r="A41" s="331">
        <v>37</v>
      </c>
      <c r="B41" s="338" t="s">
        <v>48</v>
      </c>
      <c r="C41" s="339">
        <v>1784</v>
      </c>
      <c r="D41" s="339">
        <v>357</v>
      </c>
      <c r="E41" s="339">
        <v>2141</v>
      </c>
      <c r="F41" s="339">
        <v>984</v>
      </c>
      <c r="G41" s="339">
        <v>277</v>
      </c>
      <c r="H41" s="339">
        <v>1261</v>
      </c>
      <c r="I41" s="339">
        <v>2792</v>
      </c>
      <c r="J41" s="339">
        <v>1307</v>
      </c>
      <c r="K41" s="339">
        <v>4099</v>
      </c>
      <c r="L41" s="339">
        <v>74</v>
      </c>
      <c r="M41" s="339">
        <v>59</v>
      </c>
      <c r="N41" s="339">
        <v>133</v>
      </c>
      <c r="O41" s="339">
        <v>115</v>
      </c>
      <c r="P41" s="339">
        <v>72</v>
      </c>
      <c r="Q41" s="339">
        <v>187</v>
      </c>
      <c r="R41" s="339">
        <v>5903</v>
      </c>
      <c r="S41" s="339">
        <v>2130</v>
      </c>
      <c r="T41" s="339">
        <v>8033</v>
      </c>
      <c r="U41" s="339">
        <v>154</v>
      </c>
      <c r="V41" s="339">
        <v>58</v>
      </c>
      <c r="W41" s="339">
        <v>212</v>
      </c>
    </row>
    <row r="42" spans="1:23" s="333" customFormat="1" ht="24.75" customHeight="1">
      <c r="A42" s="919" t="s">
        <v>49</v>
      </c>
      <c r="B42" s="920"/>
      <c r="C42" s="323">
        <f>SUM(C5:C41)</f>
        <v>30195</v>
      </c>
      <c r="D42" s="323">
        <f t="shared" ref="D42:W42" si="0">SUM(D5:D41)</f>
        <v>9751</v>
      </c>
      <c r="E42" s="323">
        <f t="shared" si="0"/>
        <v>39946</v>
      </c>
      <c r="F42" s="323">
        <f t="shared" si="0"/>
        <v>21508</v>
      </c>
      <c r="G42" s="323">
        <f t="shared" si="0"/>
        <v>10312</v>
      </c>
      <c r="H42" s="323">
        <f t="shared" si="0"/>
        <v>31820</v>
      </c>
      <c r="I42" s="323">
        <f t="shared" si="0"/>
        <v>72996</v>
      </c>
      <c r="J42" s="323">
        <f t="shared" si="0"/>
        <v>50028</v>
      </c>
      <c r="K42" s="323">
        <f t="shared" si="0"/>
        <v>123024</v>
      </c>
      <c r="L42" s="323">
        <f t="shared" si="0"/>
        <v>3442</v>
      </c>
      <c r="M42" s="323">
        <f t="shared" si="0"/>
        <v>4540</v>
      </c>
      <c r="N42" s="323">
        <f t="shared" si="0"/>
        <v>7982</v>
      </c>
      <c r="O42" s="323">
        <f t="shared" si="0"/>
        <v>4765</v>
      </c>
      <c r="P42" s="323">
        <f t="shared" si="0"/>
        <v>3853</v>
      </c>
      <c r="Q42" s="323">
        <f t="shared" si="0"/>
        <v>8618</v>
      </c>
      <c r="R42" s="323">
        <f t="shared" si="0"/>
        <v>134851</v>
      </c>
      <c r="S42" s="323">
        <f t="shared" si="0"/>
        <v>79479</v>
      </c>
      <c r="T42" s="323">
        <f t="shared" si="0"/>
        <v>214330</v>
      </c>
      <c r="U42" s="323">
        <f t="shared" si="0"/>
        <v>1945</v>
      </c>
      <c r="V42" s="323">
        <f t="shared" si="0"/>
        <v>995</v>
      </c>
      <c r="W42" s="323">
        <f t="shared" si="0"/>
        <v>2940</v>
      </c>
    </row>
  </sheetData>
  <mergeCells count="12">
    <mergeCell ref="U2:W2"/>
    <mergeCell ref="A42:B42"/>
    <mergeCell ref="C1:K1"/>
    <mergeCell ref="L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4" right="0.4" top="0.4" bottom="0.5" header="0.27559055118110198" footer="0.23622047244094499"/>
  <pageSetup paperSize="9" scale="76" firstPageNumber="2" pageOrder="overThenDown" orientation="portrait" useFirstPageNumber="1" r:id="rId1"/>
  <headerFooter alignWithMargins="0">
    <oddFooter>&amp;L     AISHE 2019-20&amp;CT-22b</oddFooter>
  </headerFooter>
  <colBreaks count="1" manualBreakCount="1">
    <brk id="11" max="3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>
    <tabColor rgb="FF00B050"/>
  </sheetPr>
  <dimension ref="A1:Q42"/>
  <sheetViews>
    <sheetView view="pageBreakPreview" topLeftCell="F2" zoomScale="85" zoomScaleSheetLayoutView="85" workbookViewId="0">
      <selection activeCell="Q6" sqref="Q6"/>
    </sheetView>
  </sheetViews>
  <sheetFormatPr defaultColWidth="9.140625" defaultRowHeight="14.25"/>
  <cols>
    <col min="1" max="1" width="6.42578125" style="163" bestFit="1" customWidth="1"/>
    <col min="2" max="2" width="25.7109375" style="163" customWidth="1"/>
    <col min="3" max="5" width="11.42578125" style="163" customWidth="1"/>
    <col min="6" max="10" width="10.85546875" style="163" customWidth="1"/>
    <col min="11" max="11" width="11.42578125" style="163" customWidth="1"/>
    <col min="12" max="17" width="15" style="163" customWidth="1"/>
    <col min="18" max="16384" width="9.140625" style="163"/>
  </cols>
  <sheetData>
    <row r="1" spans="1:17" s="175" customFormat="1" ht="33.75" customHeight="1">
      <c r="A1" s="927" t="s">
        <v>726</v>
      </c>
      <c r="B1" s="927"/>
      <c r="C1" s="923" t="s">
        <v>875</v>
      </c>
      <c r="D1" s="924"/>
      <c r="E1" s="924"/>
      <c r="F1" s="924"/>
      <c r="G1" s="924"/>
      <c r="H1" s="924"/>
      <c r="I1" s="924"/>
      <c r="J1" s="924"/>
      <c r="K1" s="924"/>
      <c r="L1" s="923" t="str">
        <f>C1</f>
        <v>State &amp; Post-wise Number of Male &amp; Female Non-Teaching staff
(Based on actual Response)</v>
      </c>
      <c r="M1" s="924"/>
      <c r="N1" s="924"/>
      <c r="O1" s="924"/>
      <c r="P1" s="924"/>
      <c r="Q1" s="924"/>
    </row>
    <row r="2" spans="1:17" s="344" customFormat="1" ht="31.5" customHeight="1">
      <c r="A2" s="789" t="s">
        <v>165</v>
      </c>
      <c r="B2" s="925" t="s">
        <v>713</v>
      </c>
      <c r="C2" s="925" t="s">
        <v>727</v>
      </c>
      <c r="D2" s="925"/>
      <c r="E2" s="925"/>
      <c r="F2" s="925" t="s">
        <v>728</v>
      </c>
      <c r="G2" s="926"/>
      <c r="H2" s="926"/>
      <c r="I2" s="925" t="s">
        <v>729</v>
      </c>
      <c r="J2" s="926"/>
      <c r="K2" s="926"/>
      <c r="L2" s="925" t="s">
        <v>730</v>
      </c>
      <c r="M2" s="926"/>
      <c r="N2" s="926"/>
      <c r="O2" s="925" t="s">
        <v>60</v>
      </c>
      <c r="P2" s="925"/>
      <c r="Q2" s="925"/>
    </row>
    <row r="3" spans="1:17" s="344" customFormat="1" ht="19.5" customHeight="1">
      <c r="A3" s="790"/>
      <c r="B3" s="925"/>
      <c r="C3" s="345" t="s">
        <v>87</v>
      </c>
      <c r="D3" s="345" t="s">
        <v>88</v>
      </c>
      <c r="E3" s="345" t="s">
        <v>12</v>
      </c>
      <c r="F3" s="345" t="s">
        <v>87</v>
      </c>
      <c r="G3" s="345" t="s">
        <v>88</v>
      </c>
      <c r="H3" s="345" t="s">
        <v>12</v>
      </c>
      <c r="I3" s="345" t="s">
        <v>87</v>
      </c>
      <c r="J3" s="345" t="s">
        <v>88</v>
      </c>
      <c r="K3" s="345" t="s">
        <v>12</v>
      </c>
      <c r="L3" s="345" t="s">
        <v>87</v>
      </c>
      <c r="M3" s="345" t="s">
        <v>88</v>
      </c>
      <c r="N3" s="345" t="s">
        <v>12</v>
      </c>
      <c r="O3" s="345" t="s">
        <v>87</v>
      </c>
      <c r="P3" s="345" t="s">
        <v>88</v>
      </c>
      <c r="Q3" s="345" t="s">
        <v>12</v>
      </c>
    </row>
    <row r="4" spans="1:17" s="340" customFormat="1">
      <c r="A4" s="206">
        <v>1</v>
      </c>
      <c r="B4" s="206">
        <v>2</v>
      </c>
      <c r="C4" s="206">
        <v>3</v>
      </c>
      <c r="D4" s="206">
        <v>4</v>
      </c>
      <c r="E4" s="206">
        <v>5</v>
      </c>
      <c r="F4" s="206">
        <v>6</v>
      </c>
      <c r="G4" s="206">
        <v>7</v>
      </c>
      <c r="H4" s="206">
        <v>8</v>
      </c>
      <c r="I4" s="206">
        <v>9</v>
      </c>
      <c r="J4" s="206">
        <v>10</v>
      </c>
      <c r="K4" s="206">
        <v>11</v>
      </c>
      <c r="L4" s="206">
        <v>12</v>
      </c>
      <c r="M4" s="206">
        <v>13</v>
      </c>
      <c r="N4" s="206">
        <v>14</v>
      </c>
      <c r="O4" s="206">
        <v>15</v>
      </c>
      <c r="P4" s="206">
        <v>16</v>
      </c>
      <c r="Q4" s="206">
        <v>17</v>
      </c>
    </row>
    <row r="5" spans="1:17" ht="33" customHeight="1">
      <c r="A5" s="166">
        <v>1</v>
      </c>
      <c r="B5" s="341" t="s">
        <v>154</v>
      </c>
      <c r="C5" s="342">
        <v>30</v>
      </c>
      <c r="D5" s="342">
        <v>6</v>
      </c>
      <c r="E5" s="170">
        <v>36</v>
      </c>
      <c r="F5" s="342">
        <v>95</v>
      </c>
      <c r="G5" s="342">
        <v>75</v>
      </c>
      <c r="H5" s="170">
        <v>170</v>
      </c>
      <c r="I5" s="342">
        <v>104</v>
      </c>
      <c r="J5" s="342">
        <v>49</v>
      </c>
      <c r="K5" s="170">
        <v>153</v>
      </c>
      <c r="L5" s="342">
        <v>42</v>
      </c>
      <c r="M5" s="342">
        <v>19</v>
      </c>
      <c r="N5" s="170">
        <v>61</v>
      </c>
      <c r="O5" s="342">
        <f>C5+F5+I5+L5</f>
        <v>271</v>
      </c>
      <c r="P5" s="342">
        <f>D5+G5+J5+M5</f>
        <v>149</v>
      </c>
      <c r="Q5" s="648">
        <f>O5+P5</f>
        <v>420</v>
      </c>
    </row>
    <row r="6" spans="1:17" ht="26.25" customHeight="1">
      <c r="A6" s="166">
        <v>2</v>
      </c>
      <c r="B6" s="341" t="s">
        <v>15</v>
      </c>
      <c r="C6" s="342">
        <v>10756</v>
      </c>
      <c r="D6" s="342">
        <v>6382</v>
      </c>
      <c r="E6" s="170">
        <v>17138</v>
      </c>
      <c r="F6" s="342">
        <v>9162</v>
      </c>
      <c r="G6" s="342">
        <v>4457</v>
      </c>
      <c r="H6" s="170">
        <v>13619</v>
      </c>
      <c r="I6" s="342">
        <v>13048</v>
      </c>
      <c r="J6" s="342">
        <v>7559</v>
      </c>
      <c r="K6" s="170">
        <v>20607</v>
      </c>
      <c r="L6" s="342">
        <v>10765</v>
      </c>
      <c r="M6" s="342">
        <v>7348</v>
      </c>
      <c r="N6" s="170">
        <v>18113</v>
      </c>
      <c r="O6" s="342">
        <f t="shared" ref="O6:O41" si="0">C6+F6+I6+L6</f>
        <v>43731</v>
      </c>
      <c r="P6" s="342">
        <f t="shared" ref="P6:P41" si="1">D6+G6+J6+M6</f>
        <v>25746</v>
      </c>
      <c r="Q6" s="648">
        <f t="shared" ref="Q6:Q41" si="2">O6+P6</f>
        <v>69477</v>
      </c>
    </row>
    <row r="7" spans="1:17" ht="26.25" customHeight="1">
      <c r="A7" s="166">
        <v>3</v>
      </c>
      <c r="B7" s="341" t="s">
        <v>16</v>
      </c>
      <c r="C7" s="342">
        <v>124</v>
      </c>
      <c r="D7" s="342">
        <v>95</v>
      </c>
      <c r="E7" s="170">
        <v>219</v>
      </c>
      <c r="F7" s="342">
        <v>168</v>
      </c>
      <c r="G7" s="342">
        <v>182</v>
      </c>
      <c r="H7" s="170">
        <v>350</v>
      </c>
      <c r="I7" s="342">
        <v>710</v>
      </c>
      <c r="J7" s="342">
        <v>428</v>
      </c>
      <c r="K7" s="170">
        <v>1138</v>
      </c>
      <c r="L7" s="342">
        <v>216</v>
      </c>
      <c r="M7" s="342">
        <v>147</v>
      </c>
      <c r="N7" s="170">
        <v>363</v>
      </c>
      <c r="O7" s="342">
        <f t="shared" si="0"/>
        <v>1218</v>
      </c>
      <c r="P7" s="342">
        <f t="shared" si="1"/>
        <v>852</v>
      </c>
      <c r="Q7" s="648">
        <f t="shared" si="2"/>
        <v>2070</v>
      </c>
    </row>
    <row r="8" spans="1:17" ht="26.25" customHeight="1">
      <c r="A8" s="166">
        <v>4</v>
      </c>
      <c r="B8" s="341" t="s">
        <v>17</v>
      </c>
      <c r="C8" s="342">
        <v>1938</v>
      </c>
      <c r="D8" s="342">
        <v>2260</v>
      </c>
      <c r="E8" s="170">
        <v>4198</v>
      </c>
      <c r="F8" s="342">
        <v>1638</v>
      </c>
      <c r="G8" s="342">
        <v>757</v>
      </c>
      <c r="H8" s="170">
        <v>2395</v>
      </c>
      <c r="I8" s="342">
        <v>5303</v>
      </c>
      <c r="J8" s="342">
        <v>1706</v>
      </c>
      <c r="K8" s="170">
        <v>7009</v>
      </c>
      <c r="L8" s="342">
        <v>6135</v>
      </c>
      <c r="M8" s="342">
        <v>1179</v>
      </c>
      <c r="N8" s="170">
        <v>7314</v>
      </c>
      <c r="O8" s="342">
        <f t="shared" si="0"/>
        <v>15014</v>
      </c>
      <c r="P8" s="342">
        <f t="shared" si="1"/>
        <v>5902</v>
      </c>
      <c r="Q8" s="648">
        <f t="shared" si="2"/>
        <v>20916</v>
      </c>
    </row>
    <row r="9" spans="1:17" ht="26.25" customHeight="1">
      <c r="A9" s="166">
        <v>5</v>
      </c>
      <c r="B9" s="341" t="s">
        <v>18</v>
      </c>
      <c r="C9" s="342">
        <v>1793</v>
      </c>
      <c r="D9" s="342">
        <v>610</v>
      </c>
      <c r="E9" s="170">
        <v>2403</v>
      </c>
      <c r="F9" s="342">
        <v>1711</v>
      </c>
      <c r="G9" s="342">
        <v>472</v>
      </c>
      <c r="H9" s="170">
        <v>2183</v>
      </c>
      <c r="I9" s="342">
        <v>12851</v>
      </c>
      <c r="J9" s="342">
        <v>2546</v>
      </c>
      <c r="K9" s="170">
        <v>15397</v>
      </c>
      <c r="L9" s="342">
        <v>8677</v>
      </c>
      <c r="M9" s="342">
        <v>1486</v>
      </c>
      <c r="N9" s="170">
        <v>10163</v>
      </c>
      <c r="O9" s="342">
        <f t="shared" si="0"/>
        <v>25032</v>
      </c>
      <c r="P9" s="342">
        <f t="shared" si="1"/>
        <v>5114</v>
      </c>
      <c r="Q9" s="648">
        <f t="shared" si="2"/>
        <v>30146</v>
      </c>
    </row>
    <row r="10" spans="1:17" ht="26.25" customHeight="1">
      <c r="A10" s="166">
        <v>6</v>
      </c>
      <c r="B10" s="341" t="s">
        <v>19</v>
      </c>
      <c r="C10" s="342">
        <v>269</v>
      </c>
      <c r="D10" s="342">
        <v>182</v>
      </c>
      <c r="E10" s="170">
        <v>451</v>
      </c>
      <c r="F10" s="342">
        <v>1331</v>
      </c>
      <c r="G10" s="342">
        <v>889</v>
      </c>
      <c r="H10" s="170">
        <v>2220</v>
      </c>
      <c r="I10" s="342">
        <v>1861</v>
      </c>
      <c r="J10" s="342">
        <v>1043</v>
      </c>
      <c r="K10" s="170">
        <v>2904</v>
      </c>
      <c r="L10" s="342">
        <v>523</v>
      </c>
      <c r="M10" s="342">
        <v>109</v>
      </c>
      <c r="N10" s="170">
        <v>632</v>
      </c>
      <c r="O10" s="342">
        <f t="shared" si="0"/>
        <v>3984</v>
      </c>
      <c r="P10" s="342">
        <f t="shared" si="1"/>
        <v>2223</v>
      </c>
      <c r="Q10" s="648">
        <f t="shared" si="2"/>
        <v>6207</v>
      </c>
    </row>
    <row r="11" spans="1:17" ht="26.25" customHeight="1">
      <c r="A11" s="166">
        <v>7</v>
      </c>
      <c r="B11" s="341" t="s">
        <v>20</v>
      </c>
      <c r="C11" s="342">
        <v>1596</v>
      </c>
      <c r="D11" s="342">
        <v>1261</v>
      </c>
      <c r="E11" s="170">
        <v>2857</v>
      </c>
      <c r="F11" s="342">
        <v>2339</v>
      </c>
      <c r="G11" s="342">
        <v>1086</v>
      </c>
      <c r="H11" s="170">
        <v>3425</v>
      </c>
      <c r="I11" s="342">
        <v>6077</v>
      </c>
      <c r="J11" s="342">
        <v>2109</v>
      </c>
      <c r="K11" s="170">
        <v>8186</v>
      </c>
      <c r="L11" s="342">
        <v>3730</v>
      </c>
      <c r="M11" s="342">
        <v>1794</v>
      </c>
      <c r="N11" s="170">
        <v>5524</v>
      </c>
      <c r="O11" s="342">
        <f t="shared" si="0"/>
        <v>13742</v>
      </c>
      <c r="P11" s="342">
        <f t="shared" si="1"/>
        <v>6250</v>
      </c>
      <c r="Q11" s="648">
        <f t="shared" si="2"/>
        <v>19992</v>
      </c>
    </row>
    <row r="12" spans="1:17" ht="26.25" customHeight="1">
      <c r="A12" s="166">
        <v>8</v>
      </c>
      <c r="B12" s="341" t="s">
        <v>155</v>
      </c>
      <c r="C12" s="342">
        <v>4</v>
      </c>
      <c r="D12" s="342">
        <v>0</v>
      </c>
      <c r="E12" s="170">
        <v>4</v>
      </c>
      <c r="F12" s="342">
        <v>2</v>
      </c>
      <c r="G12" s="342">
        <v>1</v>
      </c>
      <c r="H12" s="170">
        <v>3</v>
      </c>
      <c r="I12" s="342">
        <v>40</v>
      </c>
      <c r="J12" s="342">
        <v>35</v>
      </c>
      <c r="K12" s="170">
        <v>75</v>
      </c>
      <c r="L12" s="342">
        <v>37</v>
      </c>
      <c r="M12" s="342">
        <v>31</v>
      </c>
      <c r="N12" s="170">
        <v>68</v>
      </c>
      <c r="O12" s="342">
        <f t="shared" si="0"/>
        <v>83</v>
      </c>
      <c r="P12" s="342">
        <f t="shared" si="1"/>
        <v>67</v>
      </c>
      <c r="Q12" s="648">
        <f t="shared" si="2"/>
        <v>150</v>
      </c>
    </row>
    <row r="13" spans="1:17" ht="26.25" customHeight="1">
      <c r="A13" s="166">
        <v>9</v>
      </c>
      <c r="B13" s="341" t="s">
        <v>156</v>
      </c>
      <c r="C13" s="342">
        <v>3</v>
      </c>
      <c r="D13" s="342">
        <v>0</v>
      </c>
      <c r="E13" s="170">
        <v>3</v>
      </c>
      <c r="F13" s="342">
        <v>11</v>
      </c>
      <c r="G13" s="342">
        <v>12</v>
      </c>
      <c r="H13" s="170">
        <v>23</v>
      </c>
      <c r="I13" s="342">
        <v>66</v>
      </c>
      <c r="J13" s="342">
        <v>49</v>
      </c>
      <c r="K13" s="170">
        <v>115</v>
      </c>
      <c r="L13" s="342">
        <v>28</v>
      </c>
      <c r="M13" s="342">
        <v>32</v>
      </c>
      <c r="N13" s="170">
        <v>60</v>
      </c>
      <c r="O13" s="342">
        <f t="shared" si="0"/>
        <v>108</v>
      </c>
      <c r="P13" s="342">
        <f t="shared" si="1"/>
        <v>93</v>
      </c>
      <c r="Q13" s="648">
        <f t="shared" si="2"/>
        <v>201</v>
      </c>
    </row>
    <row r="14" spans="1:17" ht="26.25" customHeight="1">
      <c r="A14" s="166">
        <v>10</v>
      </c>
      <c r="B14" s="341" t="s">
        <v>23</v>
      </c>
      <c r="C14" s="342">
        <v>1217</v>
      </c>
      <c r="D14" s="342">
        <v>690</v>
      </c>
      <c r="E14" s="170">
        <v>1907</v>
      </c>
      <c r="F14" s="342">
        <v>4955</v>
      </c>
      <c r="G14" s="342">
        <v>5038</v>
      </c>
      <c r="H14" s="170">
        <v>9993</v>
      </c>
      <c r="I14" s="342">
        <v>12224</v>
      </c>
      <c r="J14" s="342">
        <v>2746</v>
      </c>
      <c r="K14" s="170">
        <v>14970</v>
      </c>
      <c r="L14" s="342">
        <v>4459</v>
      </c>
      <c r="M14" s="342">
        <v>1238</v>
      </c>
      <c r="N14" s="170">
        <v>5697</v>
      </c>
      <c r="O14" s="342">
        <f t="shared" si="0"/>
        <v>22855</v>
      </c>
      <c r="P14" s="342">
        <f t="shared" si="1"/>
        <v>9712</v>
      </c>
      <c r="Q14" s="648">
        <f t="shared" si="2"/>
        <v>32567</v>
      </c>
    </row>
    <row r="15" spans="1:17" ht="26.25" customHeight="1">
      <c r="A15" s="166">
        <v>11</v>
      </c>
      <c r="B15" s="341" t="s">
        <v>24</v>
      </c>
      <c r="C15" s="342">
        <v>93</v>
      </c>
      <c r="D15" s="342">
        <v>47</v>
      </c>
      <c r="E15" s="170">
        <v>140</v>
      </c>
      <c r="F15" s="342">
        <v>130</v>
      </c>
      <c r="G15" s="342">
        <v>111</v>
      </c>
      <c r="H15" s="170">
        <v>241</v>
      </c>
      <c r="I15" s="342">
        <v>2549</v>
      </c>
      <c r="J15" s="342">
        <v>2199</v>
      </c>
      <c r="K15" s="170">
        <v>4748</v>
      </c>
      <c r="L15" s="342">
        <v>343</v>
      </c>
      <c r="M15" s="342">
        <v>225</v>
      </c>
      <c r="N15" s="170">
        <v>568</v>
      </c>
      <c r="O15" s="342">
        <f t="shared" si="0"/>
        <v>3115</v>
      </c>
      <c r="P15" s="342">
        <f t="shared" si="1"/>
        <v>2582</v>
      </c>
      <c r="Q15" s="648">
        <f t="shared" si="2"/>
        <v>5697</v>
      </c>
    </row>
    <row r="16" spans="1:17" ht="26.25" customHeight="1">
      <c r="A16" s="166">
        <v>12</v>
      </c>
      <c r="B16" s="341" t="s">
        <v>25</v>
      </c>
      <c r="C16" s="342">
        <v>4486</v>
      </c>
      <c r="D16" s="342">
        <v>2127</v>
      </c>
      <c r="E16" s="170">
        <v>6613</v>
      </c>
      <c r="F16" s="342">
        <v>4809</v>
      </c>
      <c r="G16" s="342">
        <v>2348</v>
      </c>
      <c r="H16" s="170">
        <v>7157</v>
      </c>
      <c r="I16" s="342">
        <v>11872</v>
      </c>
      <c r="J16" s="342">
        <v>5383</v>
      </c>
      <c r="K16" s="170">
        <v>17255</v>
      </c>
      <c r="L16" s="342">
        <v>7833</v>
      </c>
      <c r="M16" s="342">
        <v>2820</v>
      </c>
      <c r="N16" s="170">
        <v>10653</v>
      </c>
      <c r="O16" s="342">
        <f t="shared" si="0"/>
        <v>29000</v>
      </c>
      <c r="P16" s="342">
        <f t="shared" si="1"/>
        <v>12678</v>
      </c>
      <c r="Q16" s="648">
        <f t="shared" si="2"/>
        <v>41678</v>
      </c>
    </row>
    <row r="17" spans="1:17" ht="26.25" customHeight="1">
      <c r="A17" s="166">
        <v>13</v>
      </c>
      <c r="B17" s="341" t="s">
        <v>26</v>
      </c>
      <c r="C17" s="342">
        <v>1894</v>
      </c>
      <c r="D17" s="342">
        <v>945</v>
      </c>
      <c r="E17" s="170">
        <v>2839</v>
      </c>
      <c r="F17" s="342">
        <v>3301</v>
      </c>
      <c r="G17" s="342">
        <v>1492</v>
      </c>
      <c r="H17" s="170">
        <v>4793</v>
      </c>
      <c r="I17" s="342">
        <v>14032</v>
      </c>
      <c r="J17" s="342">
        <v>6697</v>
      </c>
      <c r="K17" s="170">
        <v>20729</v>
      </c>
      <c r="L17" s="342">
        <v>8381</v>
      </c>
      <c r="M17" s="342">
        <v>2611</v>
      </c>
      <c r="N17" s="170">
        <v>10992</v>
      </c>
      <c r="O17" s="342">
        <f t="shared" si="0"/>
        <v>27608</v>
      </c>
      <c r="P17" s="342">
        <f t="shared" si="1"/>
        <v>11745</v>
      </c>
      <c r="Q17" s="648">
        <f t="shared" si="2"/>
        <v>39353</v>
      </c>
    </row>
    <row r="18" spans="1:17" ht="26.25" customHeight="1">
      <c r="A18" s="166">
        <v>14</v>
      </c>
      <c r="B18" s="341" t="s">
        <v>27</v>
      </c>
      <c r="C18" s="342">
        <v>783</v>
      </c>
      <c r="D18" s="342">
        <v>535</v>
      </c>
      <c r="E18" s="170">
        <v>1318</v>
      </c>
      <c r="F18" s="342">
        <v>1625</v>
      </c>
      <c r="G18" s="342">
        <v>1091</v>
      </c>
      <c r="H18" s="170">
        <v>2716</v>
      </c>
      <c r="I18" s="342">
        <v>3647</v>
      </c>
      <c r="J18" s="342">
        <v>1642</v>
      </c>
      <c r="K18" s="170">
        <v>5289</v>
      </c>
      <c r="L18" s="342">
        <v>2893</v>
      </c>
      <c r="M18" s="342">
        <v>1047</v>
      </c>
      <c r="N18" s="170">
        <v>3940</v>
      </c>
      <c r="O18" s="342">
        <f t="shared" si="0"/>
        <v>8948</v>
      </c>
      <c r="P18" s="342">
        <f t="shared" si="1"/>
        <v>4315</v>
      </c>
      <c r="Q18" s="648">
        <f t="shared" si="2"/>
        <v>13263</v>
      </c>
    </row>
    <row r="19" spans="1:17" ht="26.25" customHeight="1">
      <c r="A19" s="166">
        <v>15</v>
      </c>
      <c r="B19" s="341" t="s">
        <v>57</v>
      </c>
      <c r="C19" s="342">
        <v>1711</v>
      </c>
      <c r="D19" s="342">
        <v>816</v>
      </c>
      <c r="E19" s="170">
        <v>2527</v>
      </c>
      <c r="F19" s="342">
        <v>2067</v>
      </c>
      <c r="G19" s="342">
        <v>801</v>
      </c>
      <c r="H19" s="170">
        <v>2868</v>
      </c>
      <c r="I19" s="342">
        <v>3038</v>
      </c>
      <c r="J19" s="342">
        <v>1105</v>
      </c>
      <c r="K19" s="170">
        <v>4143</v>
      </c>
      <c r="L19" s="342">
        <v>4685</v>
      </c>
      <c r="M19" s="342">
        <v>1246</v>
      </c>
      <c r="N19" s="170">
        <v>5931</v>
      </c>
      <c r="O19" s="342">
        <f t="shared" si="0"/>
        <v>11501</v>
      </c>
      <c r="P19" s="342">
        <f t="shared" si="1"/>
        <v>3968</v>
      </c>
      <c r="Q19" s="648">
        <f t="shared" si="2"/>
        <v>15469</v>
      </c>
    </row>
    <row r="20" spans="1:17" ht="26.25" customHeight="1">
      <c r="A20" s="166">
        <v>16</v>
      </c>
      <c r="B20" s="341" t="s">
        <v>29</v>
      </c>
      <c r="C20" s="342">
        <v>632</v>
      </c>
      <c r="D20" s="342">
        <v>432</v>
      </c>
      <c r="E20" s="170">
        <v>1064</v>
      </c>
      <c r="F20" s="342">
        <v>1195</v>
      </c>
      <c r="G20" s="342">
        <v>500</v>
      </c>
      <c r="H20" s="170">
        <v>1695</v>
      </c>
      <c r="I20" s="342">
        <v>4400</v>
      </c>
      <c r="J20" s="342">
        <v>1454</v>
      </c>
      <c r="K20" s="170">
        <v>5854</v>
      </c>
      <c r="L20" s="342">
        <v>3389</v>
      </c>
      <c r="M20" s="342">
        <v>1102</v>
      </c>
      <c r="N20" s="170">
        <v>4491</v>
      </c>
      <c r="O20" s="342">
        <f t="shared" si="0"/>
        <v>9616</v>
      </c>
      <c r="P20" s="342">
        <f t="shared" si="1"/>
        <v>3488</v>
      </c>
      <c r="Q20" s="648">
        <f t="shared" si="2"/>
        <v>13104</v>
      </c>
    </row>
    <row r="21" spans="1:17" ht="26.25" customHeight="1">
      <c r="A21" s="166">
        <v>17</v>
      </c>
      <c r="B21" s="341" t="s">
        <v>30</v>
      </c>
      <c r="C21" s="342">
        <v>8677</v>
      </c>
      <c r="D21" s="342">
        <v>6307</v>
      </c>
      <c r="E21" s="170">
        <v>14984</v>
      </c>
      <c r="F21" s="342">
        <v>11599</v>
      </c>
      <c r="G21" s="342">
        <v>10944</v>
      </c>
      <c r="H21" s="170">
        <v>22543</v>
      </c>
      <c r="I21" s="342">
        <v>30079</v>
      </c>
      <c r="J21" s="342">
        <v>20951</v>
      </c>
      <c r="K21" s="170">
        <v>51030</v>
      </c>
      <c r="L21" s="342">
        <v>20823</v>
      </c>
      <c r="M21" s="342">
        <v>14363</v>
      </c>
      <c r="N21" s="170">
        <v>35186</v>
      </c>
      <c r="O21" s="342">
        <f t="shared" si="0"/>
        <v>71178</v>
      </c>
      <c r="P21" s="342">
        <f t="shared" si="1"/>
        <v>52565</v>
      </c>
      <c r="Q21" s="648">
        <f t="shared" si="2"/>
        <v>123743</v>
      </c>
    </row>
    <row r="22" spans="1:17" ht="26.25" customHeight="1">
      <c r="A22" s="166">
        <v>18</v>
      </c>
      <c r="B22" s="341" t="s">
        <v>31</v>
      </c>
      <c r="C22" s="342">
        <v>5896</v>
      </c>
      <c r="D22" s="342">
        <v>8554</v>
      </c>
      <c r="E22" s="170">
        <v>14450</v>
      </c>
      <c r="F22" s="342">
        <v>4455</v>
      </c>
      <c r="G22" s="342">
        <v>4826</v>
      </c>
      <c r="H22" s="170">
        <v>9281</v>
      </c>
      <c r="I22" s="342">
        <v>9267</v>
      </c>
      <c r="J22" s="342">
        <v>9692</v>
      </c>
      <c r="K22" s="170">
        <v>18959</v>
      </c>
      <c r="L22" s="342">
        <v>4317</v>
      </c>
      <c r="M22" s="342">
        <v>4256</v>
      </c>
      <c r="N22" s="170">
        <v>8573</v>
      </c>
      <c r="O22" s="342">
        <f t="shared" si="0"/>
        <v>23935</v>
      </c>
      <c r="P22" s="342">
        <f t="shared" si="1"/>
        <v>27328</v>
      </c>
      <c r="Q22" s="648">
        <f t="shared" si="2"/>
        <v>51263</v>
      </c>
    </row>
    <row r="23" spans="1:17" ht="26.25" customHeight="1">
      <c r="A23" s="166">
        <v>19</v>
      </c>
      <c r="B23" s="341" t="s">
        <v>761</v>
      </c>
      <c r="C23" s="342">
        <v>26</v>
      </c>
      <c r="D23" s="342">
        <v>1</v>
      </c>
      <c r="E23" s="170">
        <v>27</v>
      </c>
      <c r="F23" s="342">
        <v>7</v>
      </c>
      <c r="G23" s="342">
        <v>6</v>
      </c>
      <c r="H23" s="170">
        <v>13</v>
      </c>
      <c r="I23" s="342">
        <v>32</v>
      </c>
      <c r="J23" s="342">
        <v>37</v>
      </c>
      <c r="K23" s="170">
        <v>69</v>
      </c>
      <c r="L23" s="342">
        <v>25</v>
      </c>
      <c r="M23" s="342">
        <v>39</v>
      </c>
      <c r="N23" s="170">
        <v>64</v>
      </c>
      <c r="O23" s="342">
        <f t="shared" si="0"/>
        <v>90</v>
      </c>
      <c r="P23" s="342">
        <f t="shared" si="1"/>
        <v>83</v>
      </c>
      <c r="Q23" s="648">
        <f t="shared" si="2"/>
        <v>173</v>
      </c>
    </row>
    <row r="24" spans="1:17" ht="26.25" customHeight="1">
      <c r="A24" s="166">
        <v>20</v>
      </c>
      <c r="B24" s="341" t="s">
        <v>32</v>
      </c>
      <c r="C24" s="342">
        <v>0</v>
      </c>
      <c r="D24" s="342">
        <v>0</v>
      </c>
      <c r="E24" s="170">
        <v>0</v>
      </c>
      <c r="F24" s="342">
        <v>0</v>
      </c>
      <c r="G24" s="342">
        <v>0</v>
      </c>
      <c r="H24" s="170">
        <v>0</v>
      </c>
      <c r="I24" s="342">
        <v>12</v>
      </c>
      <c r="J24" s="342">
        <v>8</v>
      </c>
      <c r="K24" s="170">
        <v>20</v>
      </c>
      <c r="L24" s="342">
        <v>3</v>
      </c>
      <c r="M24" s="342">
        <v>1</v>
      </c>
      <c r="N24" s="170">
        <v>4</v>
      </c>
      <c r="O24" s="342">
        <f t="shared" si="0"/>
        <v>15</v>
      </c>
      <c r="P24" s="342">
        <f t="shared" si="1"/>
        <v>9</v>
      </c>
      <c r="Q24" s="648">
        <f t="shared" si="2"/>
        <v>24</v>
      </c>
    </row>
    <row r="25" spans="1:17" ht="26.25" customHeight="1">
      <c r="A25" s="166">
        <v>21</v>
      </c>
      <c r="B25" s="341" t="s">
        <v>33</v>
      </c>
      <c r="C25" s="342">
        <v>5238</v>
      </c>
      <c r="D25" s="342">
        <v>2452</v>
      </c>
      <c r="E25" s="170">
        <v>7690</v>
      </c>
      <c r="F25" s="342">
        <v>5774</v>
      </c>
      <c r="G25" s="342">
        <v>2494</v>
      </c>
      <c r="H25" s="170">
        <v>8268</v>
      </c>
      <c r="I25" s="342">
        <v>17393</v>
      </c>
      <c r="J25" s="342">
        <v>4942</v>
      </c>
      <c r="K25" s="170">
        <v>22335</v>
      </c>
      <c r="L25" s="342">
        <v>9313</v>
      </c>
      <c r="M25" s="342">
        <v>2671</v>
      </c>
      <c r="N25" s="170">
        <v>11984</v>
      </c>
      <c r="O25" s="342">
        <f t="shared" si="0"/>
        <v>37718</v>
      </c>
      <c r="P25" s="342">
        <f t="shared" si="1"/>
        <v>12559</v>
      </c>
      <c r="Q25" s="648">
        <f t="shared" si="2"/>
        <v>50277</v>
      </c>
    </row>
    <row r="26" spans="1:17" ht="26.25" customHeight="1">
      <c r="A26" s="166">
        <v>22</v>
      </c>
      <c r="B26" s="341" t="s">
        <v>34</v>
      </c>
      <c r="C26" s="342">
        <v>12586</v>
      </c>
      <c r="D26" s="342">
        <v>5031</v>
      </c>
      <c r="E26" s="170">
        <v>17617</v>
      </c>
      <c r="F26" s="342">
        <v>13375</v>
      </c>
      <c r="G26" s="342">
        <v>6975</v>
      </c>
      <c r="H26" s="170">
        <v>20350</v>
      </c>
      <c r="I26" s="342">
        <v>51170</v>
      </c>
      <c r="J26" s="342">
        <v>23384</v>
      </c>
      <c r="K26" s="170">
        <v>74554</v>
      </c>
      <c r="L26" s="342">
        <v>42751</v>
      </c>
      <c r="M26" s="342">
        <v>10087</v>
      </c>
      <c r="N26" s="170">
        <v>52838</v>
      </c>
      <c r="O26" s="342">
        <f t="shared" si="0"/>
        <v>119882</v>
      </c>
      <c r="P26" s="342">
        <f t="shared" si="1"/>
        <v>45477</v>
      </c>
      <c r="Q26" s="648">
        <f t="shared" si="2"/>
        <v>165359</v>
      </c>
    </row>
    <row r="27" spans="1:17" ht="26.25" customHeight="1">
      <c r="A27" s="166">
        <v>23</v>
      </c>
      <c r="B27" s="341" t="s">
        <v>35</v>
      </c>
      <c r="C27" s="342">
        <v>279</v>
      </c>
      <c r="D27" s="342">
        <v>185</v>
      </c>
      <c r="E27" s="170">
        <v>464</v>
      </c>
      <c r="F27" s="342">
        <v>482</v>
      </c>
      <c r="G27" s="342">
        <v>707</v>
      </c>
      <c r="H27" s="170">
        <v>1189</v>
      </c>
      <c r="I27" s="342">
        <v>1334</v>
      </c>
      <c r="J27" s="342">
        <v>785</v>
      </c>
      <c r="K27" s="170">
        <v>2119</v>
      </c>
      <c r="L27" s="342">
        <v>913</v>
      </c>
      <c r="M27" s="342">
        <v>435</v>
      </c>
      <c r="N27" s="170">
        <v>1348</v>
      </c>
      <c r="O27" s="342">
        <f t="shared" si="0"/>
        <v>3008</v>
      </c>
      <c r="P27" s="342">
        <f t="shared" si="1"/>
        <v>2112</v>
      </c>
      <c r="Q27" s="648">
        <f t="shared" si="2"/>
        <v>5120</v>
      </c>
    </row>
    <row r="28" spans="1:17" ht="26.25" customHeight="1">
      <c r="A28" s="166">
        <v>24</v>
      </c>
      <c r="B28" s="341" t="s">
        <v>36</v>
      </c>
      <c r="C28" s="342">
        <v>185</v>
      </c>
      <c r="D28" s="342">
        <v>111</v>
      </c>
      <c r="E28" s="170">
        <v>296</v>
      </c>
      <c r="F28" s="342">
        <v>314</v>
      </c>
      <c r="G28" s="342">
        <v>195</v>
      </c>
      <c r="H28" s="170">
        <v>509</v>
      </c>
      <c r="I28" s="342">
        <v>447</v>
      </c>
      <c r="J28" s="342">
        <v>212</v>
      </c>
      <c r="K28" s="170">
        <v>659</v>
      </c>
      <c r="L28" s="342">
        <v>451</v>
      </c>
      <c r="M28" s="342">
        <v>338</v>
      </c>
      <c r="N28" s="170">
        <v>789</v>
      </c>
      <c r="O28" s="342">
        <f t="shared" si="0"/>
        <v>1397</v>
      </c>
      <c r="P28" s="342">
        <f t="shared" si="1"/>
        <v>856</v>
      </c>
      <c r="Q28" s="648">
        <f t="shared" si="2"/>
        <v>2253</v>
      </c>
    </row>
    <row r="29" spans="1:17" ht="26.25" customHeight="1">
      <c r="A29" s="166">
        <v>25</v>
      </c>
      <c r="B29" s="341" t="s">
        <v>37</v>
      </c>
      <c r="C29" s="342">
        <v>46</v>
      </c>
      <c r="D29" s="342">
        <v>32</v>
      </c>
      <c r="E29" s="170">
        <v>78</v>
      </c>
      <c r="F29" s="342">
        <v>149</v>
      </c>
      <c r="G29" s="342">
        <v>315</v>
      </c>
      <c r="H29" s="170">
        <v>464</v>
      </c>
      <c r="I29" s="342">
        <v>475</v>
      </c>
      <c r="J29" s="342">
        <v>289</v>
      </c>
      <c r="K29" s="170">
        <v>764</v>
      </c>
      <c r="L29" s="342">
        <v>254</v>
      </c>
      <c r="M29" s="342">
        <v>101</v>
      </c>
      <c r="N29" s="170">
        <v>355</v>
      </c>
      <c r="O29" s="342">
        <f t="shared" si="0"/>
        <v>924</v>
      </c>
      <c r="P29" s="342">
        <f t="shared" si="1"/>
        <v>737</v>
      </c>
      <c r="Q29" s="648">
        <f t="shared" si="2"/>
        <v>1661</v>
      </c>
    </row>
    <row r="30" spans="1:17" ht="26.25" customHeight="1">
      <c r="A30" s="166">
        <v>26</v>
      </c>
      <c r="B30" s="341" t="s">
        <v>38</v>
      </c>
      <c r="C30" s="342">
        <v>104</v>
      </c>
      <c r="D30" s="342">
        <v>61</v>
      </c>
      <c r="E30" s="170">
        <v>165</v>
      </c>
      <c r="F30" s="342">
        <v>181</v>
      </c>
      <c r="G30" s="342">
        <v>111</v>
      </c>
      <c r="H30" s="170">
        <v>292</v>
      </c>
      <c r="I30" s="342">
        <v>560</v>
      </c>
      <c r="J30" s="342">
        <v>318</v>
      </c>
      <c r="K30" s="170">
        <v>878</v>
      </c>
      <c r="L30" s="342">
        <v>589</v>
      </c>
      <c r="M30" s="342">
        <v>304</v>
      </c>
      <c r="N30" s="170">
        <v>893</v>
      </c>
      <c r="O30" s="342">
        <f t="shared" si="0"/>
        <v>1434</v>
      </c>
      <c r="P30" s="342">
        <f t="shared" si="1"/>
        <v>794</v>
      </c>
      <c r="Q30" s="648">
        <f t="shared" si="2"/>
        <v>2228</v>
      </c>
    </row>
    <row r="31" spans="1:17" ht="26.25" customHeight="1">
      <c r="A31" s="166">
        <v>27</v>
      </c>
      <c r="B31" s="341" t="s">
        <v>39</v>
      </c>
      <c r="C31" s="342">
        <v>2070</v>
      </c>
      <c r="D31" s="342">
        <v>645</v>
      </c>
      <c r="E31" s="170">
        <v>2715</v>
      </c>
      <c r="F31" s="342">
        <v>4580</v>
      </c>
      <c r="G31" s="342">
        <v>1956</v>
      </c>
      <c r="H31" s="170">
        <v>6536</v>
      </c>
      <c r="I31" s="342">
        <v>11022</v>
      </c>
      <c r="J31" s="342">
        <v>4680</v>
      </c>
      <c r="K31" s="170">
        <v>15702</v>
      </c>
      <c r="L31" s="342">
        <v>9700</v>
      </c>
      <c r="M31" s="342">
        <v>2711</v>
      </c>
      <c r="N31" s="170">
        <v>12411</v>
      </c>
      <c r="O31" s="342">
        <f t="shared" si="0"/>
        <v>27372</v>
      </c>
      <c r="P31" s="342">
        <f t="shared" si="1"/>
        <v>9992</v>
      </c>
      <c r="Q31" s="648">
        <f t="shared" si="2"/>
        <v>37364</v>
      </c>
    </row>
    <row r="32" spans="1:17" ht="26.25" customHeight="1">
      <c r="A32" s="166">
        <v>28</v>
      </c>
      <c r="B32" s="341" t="s">
        <v>40</v>
      </c>
      <c r="C32" s="342">
        <v>489</v>
      </c>
      <c r="D32" s="342">
        <v>865</v>
      </c>
      <c r="E32" s="170">
        <v>1354</v>
      </c>
      <c r="F32" s="342">
        <v>884</v>
      </c>
      <c r="G32" s="342">
        <v>1805</v>
      </c>
      <c r="H32" s="170">
        <v>2689</v>
      </c>
      <c r="I32" s="342">
        <v>3850</v>
      </c>
      <c r="J32" s="342">
        <v>2690</v>
      </c>
      <c r="K32" s="170">
        <v>6540</v>
      </c>
      <c r="L32" s="342">
        <v>928</v>
      </c>
      <c r="M32" s="342">
        <v>1169</v>
      </c>
      <c r="N32" s="170">
        <v>2097</v>
      </c>
      <c r="O32" s="342">
        <f t="shared" si="0"/>
        <v>6151</v>
      </c>
      <c r="P32" s="342">
        <f t="shared" si="1"/>
        <v>6529</v>
      </c>
      <c r="Q32" s="648">
        <f t="shared" si="2"/>
        <v>12680</v>
      </c>
    </row>
    <row r="33" spans="1:17" ht="26.25" customHeight="1">
      <c r="A33" s="166">
        <v>29</v>
      </c>
      <c r="B33" s="341" t="s">
        <v>41</v>
      </c>
      <c r="C33" s="342">
        <v>3456</v>
      </c>
      <c r="D33" s="342">
        <v>2099</v>
      </c>
      <c r="E33" s="170">
        <v>5555</v>
      </c>
      <c r="F33" s="342">
        <v>6803</v>
      </c>
      <c r="G33" s="342">
        <v>5600</v>
      </c>
      <c r="H33" s="170">
        <v>12403</v>
      </c>
      <c r="I33" s="342">
        <v>10209</v>
      </c>
      <c r="J33" s="342">
        <v>4853</v>
      </c>
      <c r="K33" s="170">
        <v>15062</v>
      </c>
      <c r="L33" s="342">
        <v>8396</v>
      </c>
      <c r="M33" s="342">
        <v>4237</v>
      </c>
      <c r="N33" s="170">
        <v>12633</v>
      </c>
      <c r="O33" s="342">
        <f t="shared" si="0"/>
        <v>28864</v>
      </c>
      <c r="P33" s="342">
        <f t="shared" si="1"/>
        <v>16789</v>
      </c>
      <c r="Q33" s="648">
        <f t="shared" si="2"/>
        <v>45653</v>
      </c>
    </row>
    <row r="34" spans="1:17" ht="26.25" customHeight="1">
      <c r="A34" s="166">
        <v>30</v>
      </c>
      <c r="B34" s="341" t="s">
        <v>42</v>
      </c>
      <c r="C34" s="342">
        <v>12983</v>
      </c>
      <c r="D34" s="342">
        <v>5067</v>
      </c>
      <c r="E34" s="170">
        <v>18050</v>
      </c>
      <c r="F34" s="342">
        <v>7659</v>
      </c>
      <c r="G34" s="342">
        <v>2232</v>
      </c>
      <c r="H34" s="170">
        <v>9891</v>
      </c>
      <c r="I34" s="342">
        <v>13064</v>
      </c>
      <c r="J34" s="342">
        <v>3715</v>
      </c>
      <c r="K34" s="170">
        <v>16779</v>
      </c>
      <c r="L34" s="342">
        <v>9839</v>
      </c>
      <c r="M34" s="342">
        <v>3174</v>
      </c>
      <c r="N34" s="170">
        <v>13013</v>
      </c>
      <c r="O34" s="342">
        <f t="shared" si="0"/>
        <v>43545</v>
      </c>
      <c r="P34" s="342">
        <f t="shared" si="1"/>
        <v>14188</v>
      </c>
      <c r="Q34" s="648">
        <f t="shared" si="2"/>
        <v>57733</v>
      </c>
    </row>
    <row r="35" spans="1:17" ht="26.25" customHeight="1">
      <c r="A35" s="166">
        <v>31</v>
      </c>
      <c r="B35" s="341" t="s">
        <v>43</v>
      </c>
      <c r="C35" s="342">
        <v>112</v>
      </c>
      <c r="D35" s="342">
        <v>82</v>
      </c>
      <c r="E35" s="170">
        <v>194</v>
      </c>
      <c r="F35" s="342">
        <v>165</v>
      </c>
      <c r="G35" s="342">
        <v>113</v>
      </c>
      <c r="H35" s="170">
        <v>278</v>
      </c>
      <c r="I35" s="342">
        <v>353</v>
      </c>
      <c r="J35" s="342">
        <v>240</v>
      </c>
      <c r="K35" s="170">
        <v>593</v>
      </c>
      <c r="L35" s="342">
        <v>199</v>
      </c>
      <c r="M35" s="342">
        <v>103</v>
      </c>
      <c r="N35" s="170">
        <v>302</v>
      </c>
      <c r="O35" s="342">
        <f t="shared" si="0"/>
        <v>829</v>
      </c>
      <c r="P35" s="342">
        <f t="shared" si="1"/>
        <v>538</v>
      </c>
      <c r="Q35" s="648">
        <f t="shared" si="2"/>
        <v>1367</v>
      </c>
    </row>
    <row r="36" spans="1:17" ht="26.25" customHeight="1">
      <c r="A36" s="166">
        <v>32</v>
      </c>
      <c r="B36" s="341" t="s">
        <v>44</v>
      </c>
      <c r="C36" s="342">
        <v>17428</v>
      </c>
      <c r="D36" s="342">
        <v>16719</v>
      </c>
      <c r="E36" s="170">
        <v>34147</v>
      </c>
      <c r="F36" s="342">
        <v>15500</v>
      </c>
      <c r="G36" s="342">
        <v>15550</v>
      </c>
      <c r="H36" s="170">
        <v>31050</v>
      </c>
      <c r="I36" s="342">
        <v>30369</v>
      </c>
      <c r="J36" s="342">
        <v>29813</v>
      </c>
      <c r="K36" s="170">
        <v>60182</v>
      </c>
      <c r="L36" s="342">
        <v>21613</v>
      </c>
      <c r="M36" s="342">
        <v>16324</v>
      </c>
      <c r="N36" s="170">
        <v>37937</v>
      </c>
      <c r="O36" s="342">
        <f t="shared" si="0"/>
        <v>84910</v>
      </c>
      <c r="P36" s="342">
        <f t="shared" si="1"/>
        <v>78406</v>
      </c>
      <c r="Q36" s="648">
        <f t="shared" si="2"/>
        <v>163316</v>
      </c>
    </row>
    <row r="37" spans="1:17" ht="26.25" customHeight="1">
      <c r="A37" s="166">
        <v>33</v>
      </c>
      <c r="B37" s="341" t="s">
        <v>134</v>
      </c>
      <c r="C37" s="342">
        <v>9580</v>
      </c>
      <c r="D37" s="342">
        <v>6047</v>
      </c>
      <c r="E37" s="170">
        <v>15627</v>
      </c>
      <c r="F37" s="342">
        <v>7085</v>
      </c>
      <c r="G37" s="342">
        <v>4062</v>
      </c>
      <c r="H37" s="170">
        <v>11147</v>
      </c>
      <c r="I37" s="342">
        <v>8903</v>
      </c>
      <c r="J37" s="342">
        <v>5627</v>
      </c>
      <c r="K37" s="170">
        <v>14530</v>
      </c>
      <c r="L37" s="342">
        <v>8292</v>
      </c>
      <c r="M37" s="342">
        <v>7103</v>
      </c>
      <c r="N37" s="170">
        <v>15395</v>
      </c>
      <c r="O37" s="342">
        <f t="shared" si="0"/>
        <v>33860</v>
      </c>
      <c r="P37" s="342">
        <f t="shared" si="1"/>
        <v>22839</v>
      </c>
      <c r="Q37" s="648">
        <f t="shared" si="2"/>
        <v>56699</v>
      </c>
    </row>
    <row r="38" spans="1:17" ht="26.25" customHeight="1">
      <c r="A38" s="166">
        <v>34</v>
      </c>
      <c r="B38" s="341" t="s">
        <v>45</v>
      </c>
      <c r="C38" s="342">
        <v>237</v>
      </c>
      <c r="D38" s="342">
        <v>103</v>
      </c>
      <c r="E38" s="170">
        <v>340</v>
      </c>
      <c r="F38" s="342">
        <v>130</v>
      </c>
      <c r="G38" s="342">
        <v>60</v>
      </c>
      <c r="H38" s="170">
        <v>190</v>
      </c>
      <c r="I38" s="342">
        <v>1016</v>
      </c>
      <c r="J38" s="342">
        <v>1503</v>
      </c>
      <c r="K38" s="170">
        <v>2519</v>
      </c>
      <c r="L38" s="342">
        <v>638</v>
      </c>
      <c r="M38" s="342">
        <v>603</v>
      </c>
      <c r="N38" s="170">
        <v>1241</v>
      </c>
      <c r="O38" s="342">
        <f t="shared" si="0"/>
        <v>2021</v>
      </c>
      <c r="P38" s="342">
        <f t="shared" si="1"/>
        <v>2269</v>
      </c>
      <c r="Q38" s="648">
        <f t="shared" si="2"/>
        <v>4290</v>
      </c>
    </row>
    <row r="39" spans="1:17" ht="26.25" customHeight="1">
      <c r="A39" s="166">
        <v>35</v>
      </c>
      <c r="B39" s="341" t="s">
        <v>47</v>
      </c>
      <c r="C39" s="342">
        <v>9773</v>
      </c>
      <c r="D39" s="342">
        <v>3326</v>
      </c>
      <c r="E39" s="170">
        <v>13099</v>
      </c>
      <c r="F39" s="342">
        <v>14030</v>
      </c>
      <c r="G39" s="342">
        <v>6615</v>
      </c>
      <c r="H39" s="170">
        <v>20645</v>
      </c>
      <c r="I39" s="342">
        <v>49826</v>
      </c>
      <c r="J39" s="342">
        <v>12055</v>
      </c>
      <c r="K39" s="170">
        <v>61881</v>
      </c>
      <c r="L39" s="342">
        <v>30413</v>
      </c>
      <c r="M39" s="342">
        <v>7557</v>
      </c>
      <c r="N39" s="170">
        <v>37970</v>
      </c>
      <c r="O39" s="342">
        <f t="shared" si="0"/>
        <v>104042</v>
      </c>
      <c r="P39" s="342">
        <f t="shared" si="1"/>
        <v>29553</v>
      </c>
      <c r="Q39" s="648">
        <f t="shared" si="2"/>
        <v>133595</v>
      </c>
    </row>
    <row r="40" spans="1:17" ht="26.25" customHeight="1">
      <c r="A40" s="166">
        <v>36</v>
      </c>
      <c r="B40" s="341" t="s">
        <v>46</v>
      </c>
      <c r="C40" s="342">
        <v>639</v>
      </c>
      <c r="D40" s="342">
        <v>221</v>
      </c>
      <c r="E40" s="170">
        <v>860</v>
      </c>
      <c r="F40" s="342">
        <v>2224</v>
      </c>
      <c r="G40" s="342">
        <v>996</v>
      </c>
      <c r="H40" s="170">
        <v>3220</v>
      </c>
      <c r="I40" s="342">
        <v>7558</v>
      </c>
      <c r="J40" s="342">
        <v>4291</v>
      </c>
      <c r="K40" s="170">
        <v>11849</v>
      </c>
      <c r="L40" s="342">
        <v>5053</v>
      </c>
      <c r="M40" s="342">
        <v>1310</v>
      </c>
      <c r="N40" s="170">
        <v>6363</v>
      </c>
      <c r="O40" s="342">
        <f t="shared" si="0"/>
        <v>15474</v>
      </c>
      <c r="P40" s="342">
        <f t="shared" si="1"/>
        <v>6818</v>
      </c>
      <c r="Q40" s="648">
        <f t="shared" si="2"/>
        <v>22292</v>
      </c>
    </row>
    <row r="41" spans="1:17" ht="26.25" customHeight="1">
      <c r="A41" s="166">
        <v>37</v>
      </c>
      <c r="B41" s="341" t="s">
        <v>48</v>
      </c>
      <c r="C41" s="342">
        <v>2469</v>
      </c>
      <c r="D41" s="342">
        <v>780</v>
      </c>
      <c r="E41" s="170">
        <v>3249</v>
      </c>
      <c r="F41" s="342">
        <v>4946</v>
      </c>
      <c r="G41" s="342">
        <v>1817</v>
      </c>
      <c r="H41" s="170">
        <v>6763</v>
      </c>
      <c r="I41" s="342">
        <v>9541</v>
      </c>
      <c r="J41" s="342">
        <v>2403</v>
      </c>
      <c r="K41" s="170">
        <v>11944</v>
      </c>
      <c r="L41" s="342">
        <v>16012</v>
      </c>
      <c r="M41" s="342">
        <v>4933</v>
      </c>
      <c r="N41" s="170">
        <v>20945</v>
      </c>
      <c r="O41" s="342">
        <f t="shared" si="0"/>
        <v>32968</v>
      </c>
      <c r="P41" s="342">
        <f t="shared" si="1"/>
        <v>9933</v>
      </c>
      <c r="Q41" s="648">
        <f t="shared" si="2"/>
        <v>42901</v>
      </c>
    </row>
    <row r="42" spans="1:17" s="173" customFormat="1" ht="26.25" customHeight="1">
      <c r="A42" s="922" t="s">
        <v>49</v>
      </c>
      <c r="B42" s="922"/>
      <c r="C42" s="343">
        <f>SUM(C5:C41)</f>
        <v>119602</v>
      </c>
      <c r="D42" s="343">
        <f t="shared" ref="D42:Q42" si="3">SUM(D5:D41)</f>
        <v>75076</v>
      </c>
      <c r="E42" s="343">
        <f t="shared" si="3"/>
        <v>194678</v>
      </c>
      <c r="F42" s="343">
        <f t="shared" si="3"/>
        <v>134881</v>
      </c>
      <c r="G42" s="343">
        <f t="shared" si="3"/>
        <v>86691</v>
      </c>
      <c r="H42" s="343">
        <f t="shared" si="3"/>
        <v>221572</v>
      </c>
      <c r="I42" s="343">
        <f t="shared" si="3"/>
        <v>348302</v>
      </c>
      <c r="J42" s="343">
        <f t="shared" si="3"/>
        <v>169238</v>
      </c>
      <c r="K42" s="343">
        <f t="shared" si="3"/>
        <v>517540</v>
      </c>
      <c r="L42" s="343">
        <f t="shared" si="3"/>
        <v>252658</v>
      </c>
      <c r="M42" s="343">
        <f t="shared" si="3"/>
        <v>104253</v>
      </c>
      <c r="N42" s="343">
        <f t="shared" si="3"/>
        <v>356911</v>
      </c>
      <c r="O42" s="343">
        <f t="shared" si="3"/>
        <v>855443</v>
      </c>
      <c r="P42" s="343">
        <f t="shared" si="3"/>
        <v>435258</v>
      </c>
      <c r="Q42" s="343">
        <f t="shared" si="3"/>
        <v>1290701</v>
      </c>
    </row>
  </sheetData>
  <mergeCells count="11">
    <mergeCell ref="A42:B42"/>
    <mergeCell ref="C1:K1"/>
    <mergeCell ref="L1:Q1"/>
    <mergeCell ref="B2:B3"/>
    <mergeCell ref="C2:E2"/>
    <mergeCell ref="F2:H2"/>
    <mergeCell ref="I2:K2"/>
    <mergeCell ref="L2:N2"/>
    <mergeCell ref="O2:Q2"/>
    <mergeCell ref="A1:B1"/>
    <mergeCell ref="A2:A3"/>
  </mergeCells>
  <pageMargins left="0.51181102362204722" right="0.51181102362204722" top="0.51181102362204722" bottom="0.51181102362204722" header="0.23622047244094491" footer="0.23622047244094491"/>
  <pageSetup paperSize="9" scale="70" firstPageNumber="79" pageOrder="overThenDown" orientation="portrait" useFirstPageNumber="1" r:id="rId1"/>
  <headerFooter alignWithMargins="0">
    <oddFooter>&amp;L     AISHE 2019-20&amp;CT-23</oddFooter>
  </headerFooter>
  <colBreaks count="1" manualBreakCount="1">
    <brk id="11" max="3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rgb="FF00B050"/>
  </sheetPr>
  <dimension ref="A1:W42"/>
  <sheetViews>
    <sheetView view="pageBreakPreview" topLeftCell="K31" zoomScale="85" zoomScaleSheetLayoutView="85" workbookViewId="0">
      <selection activeCell="X42" sqref="X42"/>
    </sheetView>
  </sheetViews>
  <sheetFormatPr defaultColWidth="9.140625" defaultRowHeight="14.25"/>
  <cols>
    <col min="1" max="1" width="6.7109375" style="174" bestFit="1" customWidth="1"/>
    <col min="2" max="2" width="26" style="174" customWidth="1"/>
    <col min="3" max="4" width="10.5703125" style="174" customWidth="1"/>
    <col min="5" max="5" width="11.140625" style="174" customWidth="1"/>
    <col min="6" max="11" width="9.85546875" style="174" customWidth="1"/>
    <col min="12" max="14" width="10.5703125" style="174" customWidth="1"/>
    <col min="15" max="23" width="11.42578125" style="174" customWidth="1"/>
    <col min="24" max="16384" width="9.140625" style="174"/>
  </cols>
  <sheetData>
    <row r="1" spans="1:23" s="175" customFormat="1" ht="37.5" customHeight="1">
      <c r="A1" s="927" t="s">
        <v>731</v>
      </c>
      <c r="B1" s="927"/>
      <c r="C1" s="923" t="s">
        <v>863</v>
      </c>
      <c r="D1" s="924"/>
      <c r="E1" s="924"/>
      <c r="F1" s="924"/>
      <c r="G1" s="924"/>
      <c r="H1" s="924"/>
      <c r="I1" s="924"/>
      <c r="J1" s="924"/>
      <c r="K1" s="924"/>
      <c r="L1" s="924"/>
      <c r="M1" s="924"/>
      <c r="N1" s="924"/>
      <c r="O1" s="923" t="s">
        <v>895</v>
      </c>
      <c r="P1" s="924"/>
      <c r="Q1" s="924"/>
      <c r="R1" s="924"/>
      <c r="S1" s="924"/>
      <c r="T1" s="924"/>
      <c r="U1" s="924"/>
      <c r="V1" s="924"/>
      <c r="W1" s="924"/>
    </row>
    <row r="2" spans="1:23" s="346" customFormat="1" ht="21.75" customHeight="1">
      <c r="A2" s="808" t="s">
        <v>165</v>
      </c>
      <c r="B2" s="789" t="s">
        <v>713</v>
      </c>
      <c r="C2" s="791" t="s">
        <v>133</v>
      </c>
      <c r="D2" s="791"/>
      <c r="E2" s="791"/>
      <c r="F2" s="791" t="s">
        <v>110</v>
      </c>
      <c r="G2" s="791"/>
      <c r="H2" s="791"/>
      <c r="I2" s="791" t="s">
        <v>111</v>
      </c>
      <c r="J2" s="791"/>
      <c r="K2" s="791"/>
      <c r="L2" s="791" t="s">
        <v>112</v>
      </c>
      <c r="M2" s="791"/>
      <c r="N2" s="791"/>
      <c r="O2" s="791" t="s">
        <v>137</v>
      </c>
      <c r="P2" s="791"/>
      <c r="Q2" s="791"/>
      <c r="R2" s="791" t="s">
        <v>108</v>
      </c>
      <c r="S2" s="791"/>
      <c r="T2" s="791"/>
      <c r="U2" s="791" t="s">
        <v>109</v>
      </c>
      <c r="V2" s="791"/>
      <c r="W2" s="791"/>
    </row>
    <row r="3" spans="1:23" s="346" customFormat="1" ht="21.75" customHeight="1">
      <c r="A3" s="808"/>
      <c r="B3" s="790"/>
      <c r="C3" s="347" t="s">
        <v>87</v>
      </c>
      <c r="D3" s="347" t="s">
        <v>88</v>
      </c>
      <c r="E3" s="347" t="s">
        <v>12</v>
      </c>
      <c r="F3" s="347" t="s">
        <v>87</v>
      </c>
      <c r="G3" s="347" t="s">
        <v>88</v>
      </c>
      <c r="H3" s="347" t="s">
        <v>12</v>
      </c>
      <c r="I3" s="347" t="s">
        <v>87</v>
      </c>
      <c r="J3" s="347" t="s">
        <v>88</v>
      </c>
      <c r="K3" s="347" t="s">
        <v>12</v>
      </c>
      <c r="L3" s="347" t="s">
        <v>87</v>
      </c>
      <c r="M3" s="347" t="s">
        <v>88</v>
      </c>
      <c r="N3" s="347" t="s">
        <v>12</v>
      </c>
      <c r="O3" s="347" t="s">
        <v>87</v>
      </c>
      <c r="P3" s="347" t="s">
        <v>88</v>
      </c>
      <c r="Q3" s="347" t="s">
        <v>12</v>
      </c>
      <c r="R3" s="347" t="s">
        <v>87</v>
      </c>
      <c r="S3" s="347" t="s">
        <v>88</v>
      </c>
      <c r="T3" s="347" t="s">
        <v>12</v>
      </c>
      <c r="U3" s="347" t="s">
        <v>87</v>
      </c>
      <c r="V3" s="347" t="s">
        <v>88</v>
      </c>
      <c r="W3" s="347" t="s">
        <v>12</v>
      </c>
    </row>
    <row r="4" spans="1:23" s="348" customFormat="1" ht="14.25" customHeight="1">
      <c r="A4" s="207">
        <v>1</v>
      </c>
      <c r="B4" s="207">
        <v>2</v>
      </c>
      <c r="C4" s="207">
        <v>3</v>
      </c>
      <c r="D4" s="207">
        <v>4</v>
      </c>
      <c r="E4" s="207">
        <v>5</v>
      </c>
      <c r="F4" s="207">
        <v>6</v>
      </c>
      <c r="G4" s="207">
        <v>7</v>
      </c>
      <c r="H4" s="207">
        <v>8</v>
      </c>
      <c r="I4" s="207">
        <v>9</v>
      </c>
      <c r="J4" s="207">
        <v>10</v>
      </c>
      <c r="K4" s="207">
        <v>11</v>
      </c>
      <c r="L4" s="207">
        <v>12</v>
      </c>
      <c r="M4" s="207">
        <v>13</v>
      </c>
      <c r="N4" s="207">
        <v>14</v>
      </c>
      <c r="O4" s="207">
        <v>15</v>
      </c>
      <c r="P4" s="207">
        <v>16</v>
      </c>
      <c r="Q4" s="207">
        <v>17</v>
      </c>
      <c r="R4" s="207">
        <v>18</v>
      </c>
      <c r="S4" s="207">
        <v>19</v>
      </c>
      <c r="T4" s="207">
        <v>20</v>
      </c>
      <c r="U4" s="207">
        <v>21</v>
      </c>
      <c r="V4" s="207">
        <v>22</v>
      </c>
      <c r="W4" s="207">
        <v>23</v>
      </c>
    </row>
    <row r="5" spans="1:23" ht="29.25" customHeight="1">
      <c r="A5" s="166">
        <v>1</v>
      </c>
      <c r="B5" s="341" t="s">
        <v>154</v>
      </c>
      <c r="C5" s="170">
        <v>271</v>
      </c>
      <c r="D5" s="170">
        <v>149</v>
      </c>
      <c r="E5" s="170">
        <v>420</v>
      </c>
      <c r="F5" s="170">
        <v>1</v>
      </c>
      <c r="G5" s="170">
        <v>0</v>
      </c>
      <c r="H5" s="170">
        <v>1</v>
      </c>
      <c r="I5" s="170">
        <v>14</v>
      </c>
      <c r="J5" s="170">
        <v>2</v>
      </c>
      <c r="K5" s="170">
        <v>16</v>
      </c>
      <c r="L5" s="170">
        <v>20</v>
      </c>
      <c r="M5" s="170">
        <v>16</v>
      </c>
      <c r="N5" s="170">
        <v>36</v>
      </c>
      <c r="O5" s="170">
        <v>6</v>
      </c>
      <c r="P5" s="170">
        <v>6</v>
      </c>
      <c r="Q5" s="170">
        <v>12</v>
      </c>
      <c r="R5" s="170">
        <v>8</v>
      </c>
      <c r="S5" s="170">
        <v>10</v>
      </c>
      <c r="T5" s="170">
        <v>18</v>
      </c>
      <c r="U5" s="170">
        <v>40</v>
      </c>
      <c r="V5" s="170">
        <v>23</v>
      </c>
      <c r="W5" s="170">
        <v>63</v>
      </c>
    </row>
    <row r="6" spans="1:23" ht="30" customHeight="1">
      <c r="A6" s="166">
        <v>2</v>
      </c>
      <c r="B6" s="341" t="s">
        <v>15</v>
      </c>
      <c r="C6" s="170">
        <v>43731</v>
      </c>
      <c r="D6" s="170">
        <v>25746</v>
      </c>
      <c r="E6" s="170">
        <v>69477</v>
      </c>
      <c r="F6" s="170">
        <v>7075</v>
      </c>
      <c r="G6" s="170">
        <v>6191</v>
      </c>
      <c r="H6" s="170">
        <v>13266</v>
      </c>
      <c r="I6" s="170">
        <v>1426</v>
      </c>
      <c r="J6" s="170">
        <v>1309</v>
      </c>
      <c r="K6" s="170">
        <v>2735</v>
      </c>
      <c r="L6" s="170">
        <v>15232</v>
      </c>
      <c r="M6" s="170">
        <v>7983</v>
      </c>
      <c r="N6" s="170">
        <v>23215</v>
      </c>
      <c r="O6" s="170">
        <v>262</v>
      </c>
      <c r="P6" s="170">
        <v>108</v>
      </c>
      <c r="Q6" s="170">
        <v>370</v>
      </c>
      <c r="R6" s="170">
        <v>1177</v>
      </c>
      <c r="S6" s="170">
        <v>560</v>
      </c>
      <c r="T6" s="170">
        <v>1737</v>
      </c>
      <c r="U6" s="170">
        <v>309</v>
      </c>
      <c r="V6" s="170">
        <v>278</v>
      </c>
      <c r="W6" s="170">
        <v>587</v>
      </c>
    </row>
    <row r="7" spans="1:23" ht="30" customHeight="1">
      <c r="A7" s="166">
        <v>3</v>
      </c>
      <c r="B7" s="341" t="s">
        <v>16</v>
      </c>
      <c r="C7" s="170">
        <v>1218</v>
      </c>
      <c r="D7" s="170">
        <v>852</v>
      </c>
      <c r="E7" s="170">
        <v>2070</v>
      </c>
      <c r="F7" s="170">
        <v>53</v>
      </c>
      <c r="G7" s="170">
        <v>25</v>
      </c>
      <c r="H7" s="170">
        <v>78</v>
      </c>
      <c r="I7" s="170">
        <v>587</v>
      </c>
      <c r="J7" s="170">
        <v>670</v>
      </c>
      <c r="K7" s="170">
        <v>1257</v>
      </c>
      <c r="L7" s="170">
        <v>81</v>
      </c>
      <c r="M7" s="170">
        <v>23</v>
      </c>
      <c r="N7" s="170">
        <v>104</v>
      </c>
      <c r="O7" s="170">
        <v>3</v>
      </c>
      <c r="P7" s="170">
        <v>4</v>
      </c>
      <c r="Q7" s="170">
        <v>7</v>
      </c>
      <c r="R7" s="170">
        <v>10</v>
      </c>
      <c r="S7" s="170">
        <v>2</v>
      </c>
      <c r="T7" s="170">
        <v>12</v>
      </c>
      <c r="U7" s="170">
        <v>134</v>
      </c>
      <c r="V7" s="170">
        <v>81</v>
      </c>
      <c r="W7" s="170">
        <v>215</v>
      </c>
    </row>
    <row r="8" spans="1:23" ht="30" customHeight="1">
      <c r="A8" s="166">
        <v>4</v>
      </c>
      <c r="B8" s="341" t="s">
        <v>17</v>
      </c>
      <c r="C8" s="170">
        <v>15014</v>
      </c>
      <c r="D8" s="170">
        <v>5902</v>
      </c>
      <c r="E8" s="170">
        <v>20916</v>
      </c>
      <c r="F8" s="170">
        <v>1100</v>
      </c>
      <c r="G8" s="170">
        <v>282</v>
      </c>
      <c r="H8" s="170">
        <v>1382</v>
      </c>
      <c r="I8" s="170">
        <v>2643</v>
      </c>
      <c r="J8" s="170">
        <v>2567</v>
      </c>
      <c r="K8" s="170">
        <v>5210</v>
      </c>
      <c r="L8" s="170">
        <v>3421</v>
      </c>
      <c r="M8" s="170">
        <v>851</v>
      </c>
      <c r="N8" s="170">
        <v>4272</v>
      </c>
      <c r="O8" s="170">
        <v>253</v>
      </c>
      <c r="P8" s="170">
        <v>133</v>
      </c>
      <c r="Q8" s="170">
        <v>386</v>
      </c>
      <c r="R8" s="170">
        <v>921</v>
      </c>
      <c r="S8" s="170">
        <v>218</v>
      </c>
      <c r="T8" s="170">
        <v>1139</v>
      </c>
      <c r="U8" s="170">
        <v>192</v>
      </c>
      <c r="V8" s="170">
        <v>109</v>
      </c>
      <c r="W8" s="170">
        <v>301</v>
      </c>
    </row>
    <row r="9" spans="1:23" ht="30" customHeight="1">
      <c r="A9" s="166">
        <v>5</v>
      </c>
      <c r="B9" s="341" t="s">
        <v>18</v>
      </c>
      <c r="C9" s="170">
        <v>25032</v>
      </c>
      <c r="D9" s="170">
        <v>5114</v>
      </c>
      <c r="E9" s="170">
        <v>30146</v>
      </c>
      <c r="F9" s="170">
        <v>1976</v>
      </c>
      <c r="G9" s="170">
        <v>516</v>
      </c>
      <c r="H9" s="170">
        <v>2492</v>
      </c>
      <c r="I9" s="170">
        <v>279</v>
      </c>
      <c r="J9" s="170">
        <v>157</v>
      </c>
      <c r="K9" s="170">
        <v>436</v>
      </c>
      <c r="L9" s="170">
        <v>9708</v>
      </c>
      <c r="M9" s="170">
        <v>1551</v>
      </c>
      <c r="N9" s="170">
        <v>11259</v>
      </c>
      <c r="O9" s="170">
        <v>95</v>
      </c>
      <c r="P9" s="170">
        <v>11</v>
      </c>
      <c r="Q9" s="170">
        <v>106</v>
      </c>
      <c r="R9" s="170">
        <v>1479</v>
      </c>
      <c r="S9" s="170">
        <v>188</v>
      </c>
      <c r="T9" s="170">
        <v>1667</v>
      </c>
      <c r="U9" s="170">
        <v>147</v>
      </c>
      <c r="V9" s="170">
        <v>118</v>
      </c>
      <c r="W9" s="170">
        <v>265</v>
      </c>
    </row>
    <row r="10" spans="1:23" ht="30" customHeight="1">
      <c r="A10" s="166">
        <v>6</v>
      </c>
      <c r="B10" s="341" t="s">
        <v>19</v>
      </c>
      <c r="C10" s="170">
        <v>3984</v>
      </c>
      <c r="D10" s="170">
        <v>2223</v>
      </c>
      <c r="E10" s="170">
        <v>6207</v>
      </c>
      <c r="F10" s="170">
        <v>839</v>
      </c>
      <c r="G10" s="170">
        <v>351</v>
      </c>
      <c r="H10" s="170">
        <v>1190</v>
      </c>
      <c r="I10" s="170">
        <v>16</v>
      </c>
      <c r="J10" s="170">
        <v>4</v>
      </c>
      <c r="K10" s="170">
        <v>20</v>
      </c>
      <c r="L10" s="170">
        <v>404</v>
      </c>
      <c r="M10" s="170">
        <v>189</v>
      </c>
      <c r="N10" s="170">
        <v>593</v>
      </c>
      <c r="O10" s="170">
        <v>34</v>
      </c>
      <c r="P10" s="170">
        <v>30</v>
      </c>
      <c r="Q10" s="170">
        <v>64</v>
      </c>
      <c r="R10" s="170">
        <v>18</v>
      </c>
      <c r="S10" s="170">
        <v>8</v>
      </c>
      <c r="T10" s="170">
        <v>26</v>
      </c>
      <c r="U10" s="170">
        <v>222</v>
      </c>
      <c r="V10" s="170">
        <v>321</v>
      </c>
      <c r="W10" s="170">
        <v>543</v>
      </c>
    </row>
    <row r="11" spans="1:23" ht="30" customHeight="1">
      <c r="A11" s="166">
        <v>7</v>
      </c>
      <c r="B11" s="341" t="s">
        <v>20</v>
      </c>
      <c r="C11" s="170">
        <v>13742</v>
      </c>
      <c r="D11" s="170">
        <v>6250</v>
      </c>
      <c r="E11" s="170">
        <v>19992</v>
      </c>
      <c r="F11" s="170">
        <v>1692</v>
      </c>
      <c r="G11" s="170">
        <v>815</v>
      </c>
      <c r="H11" s="170">
        <v>2507</v>
      </c>
      <c r="I11" s="170">
        <v>1615</v>
      </c>
      <c r="J11" s="170">
        <v>869</v>
      </c>
      <c r="K11" s="170">
        <v>2484</v>
      </c>
      <c r="L11" s="170">
        <v>5122</v>
      </c>
      <c r="M11" s="170">
        <v>1883</v>
      </c>
      <c r="N11" s="170">
        <v>7005</v>
      </c>
      <c r="O11" s="170">
        <v>71</v>
      </c>
      <c r="P11" s="170">
        <v>26</v>
      </c>
      <c r="Q11" s="170">
        <v>97</v>
      </c>
      <c r="R11" s="170">
        <v>178</v>
      </c>
      <c r="S11" s="170">
        <v>74</v>
      </c>
      <c r="T11" s="170">
        <v>252</v>
      </c>
      <c r="U11" s="170">
        <v>178</v>
      </c>
      <c r="V11" s="170">
        <v>283</v>
      </c>
      <c r="W11" s="170">
        <v>461</v>
      </c>
    </row>
    <row r="12" spans="1:23" ht="29.25" customHeight="1">
      <c r="A12" s="166">
        <v>8</v>
      </c>
      <c r="B12" s="341" t="s">
        <v>155</v>
      </c>
      <c r="C12" s="170">
        <v>83</v>
      </c>
      <c r="D12" s="170">
        <v>67</v>
      </c>
      <c r="E12" s="170">
        <v>150</v>
      </c>
      <c r="F12" s="170">
        <v>11</v>
      </c>
      <c r="G12" s="170">
        <v>7</v>
      </c>
      <c r="H12" s="170">
        <v>18</v>
      </c>
      <c r="I12" s="170">
        <v>51</v>
      </c>
      <c r="J12" s="170">
        <v>42</v>
      </c>
      <c r="K12" s="170">
        <v>93</v>
      </c>
      <c r="L12" s="170">
        <v>5</v>
      </c>
      <c r="M12" s="170">
        <v>7</v>
      </c>
      <c r="N12" s="170">
        <v>12</v>
      </c>
      <c r="O12" s="170">
        <v>1</v>
      </c>
      <c r="P12" s="170">
        <v>0</v>
      </c>
      <c r="Q12" s="170">
        <v>1</v>
      </c>
      <c r="R12" s="170">
        <v>1</v>
      </c>
      <c r="S12" s="170">
        <v>1</v>
      </c>
      <c r="T12" s="170">
        <v>2</v>
      </c>
      <c r="U12" s="170">
        <v>10</v>
      </c>
      <c r="V12" s="170">
        <v>15</v>
      </c>
      <c r="W12" s="170">
        <v>25</v>
      </c>
    </row>
    <row r="13" spans="1:23" ht="30" customHeight="1">
      <c r="A13" s="166">
        <v>9</v>
      </c>
      <c r="B13" s="341" t="s">
        <v>156</v>
      </c>
      <c r="C13" s="170">
        <v>108</v>
      </c>
      <c r="D13" s="170">
        <v>93</v>
      </c>
      <c r="E13" s="170">
        <v>201</v>
      </c>
      <c r="F13" s="170">
        <v>7</v>
      </c>
      <c r="G13" s="170">
        <v>1</v>
      </c>
      <c r="H13" s="170">
        <v>8</v>
      </c>
      <c r="I13" s="170">
        <v>11</v>
      </c>
      <c r="J13" s="170">
        <v>7</v>
      </c>
      <c r="K13" s="170">
        <v>18</v>
      </c>
      <c r="L13" s="170">
        <v>7</v>
      </c>
      <c r="M13" s="170">
        <v>5</v>
      </c>
      <c r="N13" s="170">
        <v>12</v>
      </c>
      <c r="O13" s="170">
        <v>0</v>
      </c>
      <c r="P13" s="170">
        <v>0</v>
      </c>
      <c r="Q13" s="170">
        <v>0</v>
      </c>
      <c r="R13" s="170">
        <v>3</v>
      </c>
      <c r="S13" s="170">
        <v>1</v>
      </c>
      <c r="T13" s="170">
        <v>4</v>
      </c>
      <c r="U13" s="170">
        <v>2</v>
      </c>
      <c r="V13" s="170">
        <v>4</v>
      </c>
      <c r="W13" s="170">
        <v>6</v>
      </c>
    </row>
    <row r="14" spans="1:23" ht="30" customHeight="1">
      <c r="A14" s="166">
        <v>10</v>
      </c>
      <c r="B14" s="341" t="s">
        <v>23</v>
      </c>
      <c r="C14" s="170">
        <v>22855</v>
      </c>
      <c r="D14" s="170">
        <v>9712</v>
      </c>
      <c r="E14" s="170">
        <v>32567</v>
      </c>
      <c r="F14" s="170">
        <v>4626</v>
      </c>
      <c r="G14" s="170">
        <v>1552</v>
      </c>
      <c r="H14" s="170">
        <v>6178</v>
      </c>
      <c r="I14" s="170">
        <v>861</v>
      </c>
      <c r="J14" s="170">
        <v>552</v>
      </c>
      <c r="K14" s="170">
        <v>1413</v>
      </c>
      <c r="L14" s="170">
        <v>3389</v>
      </c>
      <c r="M14" s="170">
        <v>1438</v>
      </c>
      <c r="N14" s="170">
        <v>4827</v>
      </c>
      <c r="O14" s="170">
        <v>415</v>
      </c>
      <c r="P14" s="170">
        <v>217</v>
      </c>
      <c r="Q14" s="170">
        <v>632</v>
      </c>
      <c r="R14" s="170">
        <v>304</v>
      </c>
      <c r="S14" s="170">
        <v>57</v>
      </c>
      <c r="T14" s="170">
        <v>361</v>
      </c>
      <c r="U14" s="170">
        <v>279</v>
      </c>
      <c r="V14" s="170">
        <v>156</v>
      </c>
      <c r="W14" s="170">
        <v>435</v>
      </c>
    </row>
    <row r="15" spans="1:23" ht="30" customHeight="1">
      <c r="A15" s="166">
        <v>11</v>
      </c>
      <c r="B15" s="341" t="s">
        <v>24</v>
      </c>
      <c r="C15" s="170">
        <v>3115</v>
      </c>
      <c r="D15" s="170">
        <v>2582</v>
      </c>
      <c r="E15" s="170">
        <v>5697</v>
      </c>
      <c r="F15" s="170">
        <v>54</v>
      </c>
      <c r="G15" s="170">
        <v>27</v>
      </c>
      <c r="H15" s="170">
        <v>81</v>
      </c>
      <c r="I15" s="170">
        <v>168</v>
      </c>
      <c r="J15" s="170">
        <v>102</v>
      </c>
      <c r="K15" s="170">
        <v>270</v>
      </c>
      <c r="L15" s="170">
        <v>194</v>
      </c>
      <c r="M15" s="170">
        <v>123</v>
      </c>
      <c r="N15" s="170">
        <v>317</v>
      </c>
      <c r="O15" s="170">
        <v>45</v>
      </c>
      <c r="P15" s="170">
        <v>14</v>
      </c>
      <c r="Q15" s="170">
        <v>59</v>
      </c>
      <c r="R15" s="170">
        <v>24</v>
      </c>
      <c r="S15" s="170">
        <v>16</v>
      </c>
      <c r="T15" s="170">
        <v>40</v>
      </c>
      <c r="U15" s="170">
        <v>165</v>
      </c>
      <c r="V15" s="170">
        <v>216</v>
      </c>
      <c r="W15" s="170">
        <v>381</v>
      </c>
    </row>
    <row r="16" spans="1:23" ht="30" customHeight="1">
      <c r="A16" s="166">
        <v>12</v>
      </c>
      <c r="B16" s="341" t="s">
        <v>25</v>
      </c>
      <c r="C16" s="170">
        <v>29000</v>
      </c>
      <c r="D16" s="170">
        <v>12678</v>
      </c>
      <c r="E16" s="170">
        <v>41678</v>
      </c>
      <c r="F16" s="170">
        <v>4302</v>
      </c>
      <c r="G16" s="170">
        <v>2033</v>
      </c>
      <c r="H16" s="170">
        <v>6335</v>
      </c>
      <c r="I16" s="170">
        <v>2795</v>
      </c>
      <c r="J16" s="170">
        <v>1293</v>
      </c>
      <c r="K16" s="170">
        <v>4088</v>
      </c>
      <c r="L16" s="170">
        <v>6931</v>
      </c>
      <c r="M16" s="170">
        <v>2606</v>
      </c>
      <c r="N16" s="170">
        <v>9537</v>
      </c>
      <c r="O16" s="170">
        <v>175</v>
      </c>
      <c r="P16" s="170">
        <v>50</v>
      </c>
      <c r="Q16" s="170">
        <v>225</v>
      </c>
      <c r="R16" s="170">
        <v>433</v>
      </c>
      <c r="S16" s="170">
        <v>125</v>
      </c>
      <c r="T16" s="170">
        <v>558</v>
      </c>
      <c r="U16" s="170">
        <v>175</v>
      </c>
      <c r="V16" s="170">
        <v>187</v>
      </c>
      <c r="W16" s="170">
        <v>362</v>
      </c>
    </row>
    <row r="17" spans="1:23" ht="30" customHeight="1">
      <c r="A17" s="166">
        <v>13</v>
      </c>
      <c r="B17" s="341" t="s">
        <v>26</v>
      </c>
      <c r="C17" s="170">
        <v>27608</v>
      </c>
      <c r="D17" s="170">
        <v>11745</v>
      </c>
      <c r="E17" s="170">
        <v>39353</v>
      </c>
      <c r="F17" s="170">
        <v>4564</v>
      </c>
      <c r="G17" s="170">
        <v>2107</v>
      </c>
      <c r="H17" s="170">
        <v>6671</v>
      </c>
      <c r="I17" s="170">
        <v>162</v>
      </c>
      <c r="J17" s="170">
        <v>56</v>
      </c>
      <c r="K17" s="170">
        <v>218</v>
      </c>
      <c r="L17" s="170">
        <v>4538</v>
      </c>
      <c r="M17" s="170">
        <v>1612</v>
      </c>
      <c r="N17" s="170">
        <v>6150</v>
      </c>
      <c r="O17" s="170">
        <v>203</v>
      </c>
      <c r="P17" s="170">
        <v>76</v>
      </c>
      <c r="Q17" s="170">
        <v>279</v>
      </c>
      <c r="R17" s="170">
        <v>274</v>
      </c>
      <c r="S17" s="170">
        <v>39</v>
      </c>
      <c r="T17" s="170">
        <v>313</v>
      </c>
      <c r="U17" s="170">
        <v>170</v>
      </c>
      <c r="V17" s="170">
        <v>90</v>
      </c>
      <c r="W17" s="170">
        <v>260</v>
      </c>
    </row>
    <row r="18" spans="1:23" ht="30" customHeight="1">
      <c r="A18" s="166">
        <v>14</v>
      </c>
      <c r="B18" s="341" t="s">
        <v>27</v>
      </c>
      <c r="C18" s="170">
        <v>8948</v>
      </c>
      <c r="D18" s="170">
        <v>4315</v>
      </c>
      <c r="E18" s="170">
        <v>13263</v>
      </c>
      <c r="F18" s="170">
        <v>1696</v>
      </c>
      <c r="G18" s="170">
        <v>872</v>
      </c>
      <c r="H18" s="170">
        <v>2568</v>
      </c>
      <c r="I18" s="170">
        <v>382</v>
      </c>
      <c r="J18" s="170">
        <v>142</v>
      </c>
      <c r="K18" s="170">
        <v>524</v>
      </c>
      <c r="L18" s="170">
        <v>983</v>
      </c>
      <c r="M18" s="170">
        <v>479</v>
      </c>
      <c r="N18" s="170">
        <v>1462</v>
      </c>
      <c r="O18" s="170">
        <v>88</v>
      </c>
      <c r="P18" s="170">
        <v>28</v>
      </c>
      <c r="Q18" s="170">
        <v>116</v>
      </c>
      <c r="R18" s="170">
        <v>60</v>
      </c>
      <c r="S18" s="170">
        <v>22</v>
      </c>
      <c r="T18" s="170">
        <v>82</v>
      </c>
      <c r="U18" s="170">
        <v>56</v>
      </c>
      <c r="V18" s="170">
        <v>24</v>
      </c>
      <c r="W18" s="170">
        <v>80</v>
      </c>
    </row>
    <row r="19" spans="1:23" ht="30" customHeight="1">
      <c r="A19" s="166">
        <v>15</v>
      </c>
      <c r="B19" s="341" t="s">
        <v>57</v>
      </c>
      <c r="C19" s="170">
        <v>11501</v>
      </c>
      <c r="D19" s="170">
        <v>3968</v>
      </c>
      <c r="E19" s="170">
        <v>15469</v>
      </c>
      <c r="F19" s="170">
        <v>816</v>
      </c>
      <c r="G19" s="170">
        <v>297</v>
      </c>
      <c r="H19" s="170">
        <v>1113</v>
      </c>
      <c r="I19" s="170">
        <v>327</v>
      </c>
      <c r="J19" s="170">
        <v>74</v>
      </c>
      <c r="K19" s="170">
        <v>401</v>
      </c>
      <c r="L19" s="170">
        <v>310</v>
      </c>
      <c r="M19" s="170">
        <v>99</v>
      </c>
      <c r="N19" s="170">
        <v>409</v>
      </c>
      <c r="O19" s="170">
        <v>52</v>
      </c>
      <c r="P19" s="170">
        <v>14</v>
      </c>
      <c r="Q19" s="170">
        <v>66</v>
      </c>
      <c r="R19" s="170">
        <v>6172</v>
      </c>
      <c r="S19" s="170">
        <v>1863</v>
      </c>
      <c r="T19" s="170">
        <v>8035</v>
      </c>
      <c r="U19" s="170">
        <v>392</v>
      </c>
      <c r="V19" s="170">
        <v>144</v>
      </c>
      <c r="W19" s="170">
        <v>536</v>
      </c>
    </row>
    <row r="20" spans="1:23" ht="30" customHeight="1">
      <c r="A20" s="166">
        <v>16</v>
      </c>
      <c r="B20" s="341" t="s">
        <v>29</v>
      </c>
      <c r="C20" s="170">
        <v>9616</v>
      </c>
      <c r="D20" s="170">
        <v>3488</v>
      </c>
      <c r="E20" s="170">
        <v>13104</v>
      </c>
      <c r="F20" s="170">
        <v>1024</v>
      </c>
      <c r="G20" s="170">
        <v>478</v>
      </c>
      <c r="H20" s="170">
        <v>1502</v>
      </c>
      <c r="I20" s="170">
        <v>1315</v>
      </c>
      <c r="J20" s="170">
        <v>1058</v>
      </c>
      <c r="K20" s="170">
        <v>2373</v>
      </c>
      <c r="L20" s="170">
        <v>3512</v>
      </c>
      <c r="M20" s="170">
        <v>945</v>
      </c>
      <c r="N20" s="170">
        <v>4457</v>
      </c>
      <c r="O20" s="170">
        <v>56</v>
      </c>
      <c r="P20" s="170">
        <v>22</v>
      </c>
      <c r="Q20" s="170">
        <v>78</v>
      </c>
      <c r="R20" s="170">
        <v>482</v>
      </c>
      <c r="S20" s="170">
        <v>152</v>
      </c>
      <c r="T20" s="170">
        <v>634</v>
      </c>
      <c r="U20" s="170">
        <v>220</v>
      </c>
      <c r="V20" s="170">
        <v>214</v>
      </c>
      <c r="W20" s="170">
        <v>434</v>
      </c>
    </row>
    <row r="21" spans="1:23" ht="30" customHeight="1">
      <c r="A21" s="166">
        <v>17</v>
      </c>
      <c r="B21" s="341" t="s">
        <v>30</v>
      </c>
      <c r="C21" s="170">
        <v>71178</v>
      </c>
      <c r="D21" s="170">
        <v>52565</v>
      </c>
      <c r="E21" s="170">
        <v>123743</v>
      </c>
      <c r="F21" s="170">
        <v>8232</v>
      </c>
      <c r="G21" s="170">
        <v>6127</v>
      </c>
      <c r="H21" s="170">
        <v>14359</v>
      </c>
      <c r="I21" s="170">
        <v>3186</v>
      </c>
      <c r="J21" s="170">
        <v>2078</v>
      </c>
      <c r="K21" s="170">
        <v>5264</v>
      </c>
      <c r="L21" s="170">
        <v>26289</v>
      </c>
      <c r="M21" s="170">
        <v>19618</v>
      </c>
      <c r="N21" s="170">
        <v>45907</v>
      </c>
      <c r="O21" s="170">
        <v>400</v>
      </c>
      <c r="P21" s="170">
        <v>229</v>
      </c>
      <c r="Q21" s="170">
        <v>629</v>
      </c>
      <c r="R21" s="170">
        <v>3080</v>
      </c>
      <c r="S21" s="170">
        <v>1452</v>
      </c>
      <c r="T21" s="170">
        <v>4532</v>
      </c>
      <c r="U21" s="170">
        <v>2466</v>
      </c>
      <c r="V21" s="170">
        <v>3845</v>
      </c>
      <c r="W21" s="170">
        <v>6311</v>
      </c>
    </row>
    <row r="22" spans="1:23" ht="30" customHeight="1">
      <c r="A22" s="166">
        <v>18</v>
      </c>
      <c r="B22" s="341" t="s">
        <v>31</v>
      </c>
      <c r="C22" s="170">
        <v>23935</v>
      </c>
      <c r="D22" s="170">
        <v>27328</v>
      </c>
      <c r="E22" s="170">
        <v>51263</v>
      </c>
      <c r="F22" s="170">
        <v>1455</v>
      </c>
      <c r="G22" s="170">
        <v>2055</v>
      </c>
      <c r="H22" s="170">
        <v>3510</v>
      </c>
      <c r="I22" s="170">
        <v>289</v>
      </c>
      <c r="J22" s="170">
        <v>314</v>
      </c>
      <c r="K22" s="170">
        <v>603</v>
      </c>
      <c r="L22" s="170">
        <v>9297</v>
      </c>
      <c r="M22" s="170">
        <v>10314</v>
      </c>
      <c r="N22" s="170">
        <v>19611</v>
      </c>
      <c r="O22" s="170">
        <v>264</v>
      </c>
      <c r="P22" s="170">
        <v>198</v>
      </c>
      <c r="Q22" s="170">
        <v>462</v>
      </c>
      <c r="R22" s="170">
        <v>2370</v>
      </c>
      <c r="S22" s="170">
        <v>1789</v>
      </c>
      <c r="T22" s="170">
        <v>4159</v>
      </c>
      <c r="U22" s="170">
        <v>3314</v>
      </c>
      <c r="V22" s="170">
        <v>3724</v>
      </c>
      <c r="W22" s="170">
        <v>7038</v>
      </c>
    </row>
    <row r="23" spans="1:23" ht="30" customHeight="1">
      <c r="A23" s="166">
        <v>19</v>
      </c>
      <c r="B23" s="341" t="s">
        <v>761</v>
      </c>
      <c r="C23" s="170">
        <v>90</v>
      </c>
      <c r="D23" s="170">
        <v>83</v>
      </c>
      <c r="E23" s="170">
        <v>173</v>
      </c>
      <c r="F23" s="170">
        <v>1</v>
      </c>
      <c r="G23" s="170">
        <v>1</v>
      </c>
      <c r="H23" s="170">
        <v>2</v>
      </c>
      <c r="I23" s="170">
        <v>79</v>
      </c>
      <c r="J23" s="170">
        <v>81</v>
      </c>
      <c r="K23" s="170">
        <v>160</v>
      </c>
      <c r="L23" s="170">
        <v>2</v>
      </c>
      <c r="M23" s="170">
        <v>0</v>
      </c>
      <c r="N23" s="170">
        <v>2</v>
      </c>
      <c r="O23" s="170">
        <v>0</v>
      </c>
      <c r="P23" s="170">
        <v>0</v>
      </c>
      <c r="Q23" s="170">
        <v>0</v>
      </c>
      <c r="R23" s="170">
        <v>44</v>
      </c>
      <c r="S23" s="170">
        <v>7</v>
      </c>
      <c r="T23" s="170">
        <v>51</v>
      </c>
      <c r="U23" s="170">
        <v>39</v>
      </c>
      <c r="V23" s="170">
        <v>54</v>
      </c>
      <c r="W23" s="170">
        <v>93</v>
      </c>
    </row>
    <row r="24" spans="1:23" ht="30" customHeight="1">
      <c r="A24" s="166">
        <v>20</v>
      </c>
      <c r="B24" s="341" t="s">
        <v>32</v>
      </c>
      <c r="C24" s="170">
        <v>15</v>
      </c>
      <c r="D24" s="170">
        <v>9</v>
      </c>
      <c r="E24" s="170">
        <v>24</v>
      </c>
      <c r="F24" s="170">
        <v>0</v>
      </c>
      <c r="G24" s="170">
        <v>0</v>
      </c>
      <c r="H24" s="170">
        <v>0</v>
      </c>
      <c r="I24" s="170">
        <v>12</v>
      </c>
      <c r="J24" s="170">
        <v>2</v>
      </c>
      <c r="K24" s="170">
        <v>14</v>
      </c>
      <c r="L24" s="170">
        <v>0</v>
      </c>
      <c r="M24" s="170">
        <v>0</v>
      </c>
      <c r="N24" s="170">
        <v>0</v>
      </c>
      <c r="O24" s="170">
        <v>0</v>
      </c>
      <c r="P24" s="170">
        <v>0</v>
      </c>
      <c r="Q24" s="170">
        <v>0</v>
      </c>
      <c r="R24" s="170">
        <v>12</v>
      </c>
      <c r="S24" s="170">
        <v>2</v>
      </c>
      <c r="T24" s="170">
        <v>14</v>
      </c>
      <c r="U24" s="170">
        <v>0</v>
      </c>
      <c r="V24" s="170">
        <v>0</v>
      </c>
      <c r="W24" s="170">
        <v>0</v>
      </c>
    </row>
    <row r="25" spans="1:23" ht="30" customHeight="1">
      <c r="A25" s="166">
        <v>21</v>
      </c>
      <c r="B25" s="341" t="s">
        <v>33</v>
      </c>
      <c r="C25" s="170">
        <v>37718</v>
      </c>
      <c r="D25" s="170">
        <v>12559</v>
      </c>
      <c r="E25" s="170">
        <v>50277</v>
      </c>
      <c r="F25" s="170">
        <v>4782</v>
      </c>
      <c r="G25" s="170">
        <v>1633</v>
      </c>
      <c r="H25" s="170">
        <v>6415</v>
      </c>
      <c r="I25" s="170">
        <v>2189</v>
      </c>
      <c r="J25" s="170">
        <v>878</v>
      </c>
      <c r="K25" s="170">
        <v>3067</v>
      </c>
      <c r="L25" s="170">
        <v>9460</v>
      </c>
      <c r="M25" s="170">
        <v>3239</v>
      </c>
      <c r="N25" s="170">
        <v>12699</v>
      </c>
      <c r="O25" s="170">
        <v>261</v>
      </c>
      <c r="P25" s="170">
        <v>65</v>
      </c>
      <c r="Q25" s="170">
        <v>326</v>
      </c>
      <c r="R25" s="170">
        <v>793</v>
      </c>
      <c r="S25" s="170">
        <v>233</v>
      </c>
      <c r="T25" s="170">
        <v>1026</v>
      </c>
      <c r="U25" s="170">
        <v>704</v>
      </c>
      <c r="V25" s="170">
        <v>391</v>
      </c>
      <c r="W25" s="170">
        <v>1095</v>
      </c>
    </row>
    <row r="26" spans="1:23" ht="30" customHeight="1">
      <c r="A26" s="166">
        <v>22</v>
      </c>
      <c r="B26" s="341" t="s">
        <v>34</v>
      </c>
      <c r="C26" s="170">
        <v>119882</v>
      </c>
      <c r="D26" s="170">
        <v>45477</v>
      </c>
      <c r="E26" s="170">
        <v>165359</v>
      </c>
      <c r="F26" s="170">
        <v>16389</v>
      </c>
      <c r="G26" s="170">
        <v>7971</v>
      </c>
      <c r="H26" s="170">
        <v>24360</v>
      </c>
      <c r="I26" s="170">
        <v>4982</v>
      </c>
      <c r="J26" s="170">
        <v>1775</v>
      </c>
      <c r="K26" s="170">
        <v>6757</v>
      </c>
      <c r="L26" s="170">
        <v>28276</v>
      </c>
      <c r="M26" s="170">
        <v>9062</v>
      </c>
      <c r="N26" s="170">
        <v>37338</v>
      </c>
      <c r="O26" s="170">
        <v>1045</v>
      </c>
      <c r="P26" s="170">
        <v>267</v>
      </c>
      <c r="Q26" s="170">
        <v>1312</v>
      </c>
      <c r="R26" s="170">
        <v>3618</v>
      </c>
      <c r="S26" s="170">
        <v>1098</v>
      </c>
      <c r="T26" s="170">
        <v>4716</v>
      </c>
      <c r="U26" s="170">
        <v>1601</v>
      </c>
      <c r="V26" s="170">
        <v>1030</v>
      </c>
      <c r="W26" s="170">
        <v>2631</v>
      </c>
    </row>
    <row r="27" spans="1:23" ht="30" customHeight="1">
      <c r="A27" s="166">
        <v>23</v>
      </c>
      <c r="B27" s="341" t="s">
        <v>35</v>
      </c>
      <c r="C27" s="170">
        <v>3008</v>
      </c>
      <c r="D27" s="170">
        <v>2112</v>
      </c>
      <c r="E27" s="170">
        <v>5120</v>
      </c>
      <c r="F27" s="170">
        <v>109</v>
      </c>
      <c r="G27" s="170">
        <v>52</v>
      </c>
      <c r="H27" s="170">
        <v>161</v>
      </c>
      <c r="I27" s="170">
        <v>581</v>
      </c>
      <c r="J27" s="170">
        <v>494</v>
      </c>
      <c r="K27" s="170">
        <v>1075</v>
      </c>
      <c r="L27" s="170">
        <v>337</v>
      </c>
      <c r="M27" s="170">
        <v>214</v>
      </c>
      <c r="N27" s="170">
        <v>551</v>
      </c>
      <c r="O27" s="170">
        <v>8</v>
      </c>
      <c r="P27" s="170">
        <v>6</v>
      </c>
      <c r="Q27" s="170">
        <v>14</v>
      </c>
      <c r="R27" s="170">
        <v>78</v>
      </c>
      <c r="S27" s="170">
        <v>20</v>
      </c>
      <c r="T27" s="170">
        <v>98</v>
      </c>
      <c r="U27" s="170">
        <v>201</v>
      </c>
      <c r="V27" s="170">
        <v>125</v>
      </c>
      <c r="W27" s="170">
        <v>326</v>
      </c>
    </row>
    <row r="28" spans="1:23" ht="30" customHeight="1">
      <c r="A28" s="166">
        <v>24</v>
      </c>
      <c r="B28" s="341" t="s">
        <v>36</v>
      </c>
      <c r="C28" s="170">
        <v>1397</v>
      </c>
      <c r="D28" s="170">
        <v>856</v>
      </c>
      <c r="E28" s="170">
        <v>2253</v>
      </c>
      <c r="F28" s="170">
        <v>32</v>
      </c>
      <c r="G28" s="170">
        <v>8</v>
      </c>
      <c r="H28" s="170">
        <v>40</v>
      </c>
      <c r="I28" s="170">
        <v>713</v>
      </c>
      <c r="J28" s="170">
        <v>610</v>
      </c>
      <c r="K28" s="170">
        <v>1323</v>
      </c>
      <c r="L28" s="170">
        <v>29</v>
      </c>
      <c r="M28" s="170">
        <v>13</v>
      </c>
      <c r="N28" s="170">
        <v>42</v>
      </c>
      <c r="O28" s="170">
        <v>8</v>
      </c>
      <c r="P28" s="170">
        <v>2</v>
      </c>
      <c r="Q28" s="170">
        <v>10</v>
      </c>
      <c r="R28" s="170">
        <v>96</v>
      </c>
      <c r="S28" s="170">
        <v>22</v>
      </c>
      <c r="T28" s="170">
        <v>118</v>
      </c>
      <c r="U28" s="170">
        <v>193</v>
      </c>
      <c r="V28" s="170">
        <v>134</v>
      </c>
      <c r="W28" s="170">
        <v>327</v>
      </c>
    </row>
    <row r="29" spans="1:23" ht="30" customHeight="1">
      <c r="A29" s="166">
        <v>25</v>
      </c>
      <c r="B29" s="341" t="s">
        <v>37</v>
      </c>
      <c r="C29" s="170">
        <v>924</v>
      </c>
      <c r="D29" s="170">
        <v>737</v>
      </c>
      <c r="E29" s="170">
        <v>1661</v>
      </c>
      <c r="F29" s="170">
        <v>9</v>
      </c>
      <c r="G29" s="170">
        <v>4</v>
      </c>
      <c r="H29" s="170">
        <v>13</v>
      </c>
      <c r="I29" s="170">
        <v>854</v>
      </c>
      <c r="J29" s="170">
        <v>726</v>
      </c>
      <c r="K29" s="170">
        <v>1580</v>
      </c>
      <c r="L29" s="170">
        <v>33</v>
      </c>
      <c r="M29" s="170">
        <v>4</v>
      </c>
      <c r="N29" s="170">
        <v>37</v>
      </c>
      <c r="O29" s="170">
        <v>11</v>
      </c>
      <c r="P29" s="170">
        <v>5</v>
      </c>
      <c r="Q29" s="170">
        <v>16</v>
      </c>
      <c r="R29" s="170">
        <v>2</v>
      </c>
      <c r="S29" s="170">
        <v>0</v>
      </c>
      <c r="T29" s="170">
        <v>2</v>
      </c>
      <c r="U29" s="170">
        <v>638</v>
      </c>
      <c r="V29" s="170">
        <v>389</v>
      </c>
      <c r="W29" s="170">
        <v>1027</v>
      </c>
    </row>
    <row r="30" spans="1:23" ht="30" customHeight="1">
      <c r="A30" s="166">
        <v>26</v>
      </c>
      <c r="B30" s="341" t="s">
        <v>38</v>
      </c>
      <c r="C30" s="170">
        <v>1434</v>
      </c>
      <c r="D30" s="170">
        <v>794</v>
      </c>
      <c r="E30" s="170">
        <v>2228</v>
      </c>
      <c r="F30" s="170">
        <v>25</v>
      </c>
      <c r="G30" s="170">
        <v>5</v>
      </c>
      <c r="H30" s="170">
        <v>30</v>
      </c>
      <c r="I30" s="170">
        <v>1192</v>
      </c>
      <c r="J30" s="170">
        <v>720</v>
      </c>
      <c r="K30" s="170">
        <v>1912</v>
      </c>
      <c r="L30" s="170">
        <v>42</v>
      </c>
      <c r="M30" s="170">
        <v>11</v>
      </c>
      <c r="N30" s="170">
        <v>53</v>
      </c>
      <c r="O30" s="170">
        <v>5</v>
      </c>
      <c r="P30" s="170">
        <v>4</v>
      </c>
      <c r="Q30" s="170">
        <v>9</v>
      </c>
      <c r="R30" s="170">
        <v>19</v>
      </c>
      <c r="S30" s="170">
        <v>3</v>
      </c>
      <c r="T30" s="170">
        <v>22</v>
      </c>
      <c r="U30" s="170">
        <v>698</v>
      </c>
      <c r="V30" s="170">
        <v>365</v>
      </c>
      <c r="W30" s="170">
        <v>1063</v>
      </c>
    </row>
    <row r="31" spans="1:23" ht="30" customHeight="1">
      <c r="A31" s="166">
        <v>27</v>
      </c>
      <c r="B31" s="341" t="s">
        <v>39</v>
      </c>
      <c r="C31" s="170">
        <v>27372</v>
      </c>
      <c r="D31" s="170">
        <v>9992</v>
      </c>
      <c r="E31" s="170">
        <v>37364</v>
      </c>
      <c r="F31" s="170">
        <v>2590</v>
      </c>
      <c r="G31" s="170">
        <v>1059</v>
      </c>
      <c r="H31" s="170">
        <v>3649</v>
      </c>
      <c r="I31" s="170">
        <v>1244</v>
      </c>
      <c r="J31" s="170">
        <v>513</v>
      </c>
      <c r="K31" s="170">
        <v>1757</v>
      </c>
      <c r="L31" s="170">
        <v>5242</v>
      </c>
      <c r="M31" s="170">
        <v>1458</v>
      </c>
      <c r="N31" s="170">
        <v>6700</v>
      </c>
      <c r="O31" s="170">
        <v>109</v>
      </c>
      <c r="P31" s="170">
        <v>46</v>
      </c>
      <c r="Q31" s="170">
        <v>155</v>
      </c>
      <c r="R31" s="170">
        <v>167</v>
      </c>
      <c r="S31" s="170">
        <v>45</v>
      </c>
      <c r="T31" s="170">
        <v>212</v>
      </c>
      <c r="U31" s="170">
        <v>93</v>
      </c>
      <c r="V31" s="170">
        <v>68</v>
      </c>
      <c r="W31" s="170">
        <v>161</v>
      </c>
    </row>
    <row r="32" spans="1:23" ht="30" customHeight="1">
      <c r="A32" s="166">
        <v>28</v>
      </c>
      <c r="B32" s="341" t="s">
        <v>40</v>
      </c>
      <c r="C32" s="170">
        <v>6151</v>
      </c>
      <c r="D32" s="170">
        <v>6529</v>
      </c>
      <c r="E32" s="170">
        <v>12680</v>
      </c>
      <c r="F32" s="170">
        <v>1362</v>
      </c>
      <c r="G32" s="170">
        <v>1914</v>
      </c>
      <c r="H32" s="170">
        <v>3276</v>
      </c>
      <c r="I32" s="170">
        <v>74</v>
      </c>
      <c r="J32" s="170">
        <v>39</v>
      </c>
      <c r="K32" s="170">
        <v>113</v>
      </c>
      <c r="L32" s="170">
        <v>3447</v>
      </c>
      <c r="M32" s="170">
        <v>3357</v>
      </c>
      <c r="N32" s="170">
        <v>6804</v>
      </c>
      <c r="O32" s="170">
        <v>52</v>
      </c>
      <c r="P32" s="170">
        <v>15</v>
      </c>
      <c r="Q32" s="170">
        <v>67</v>
      </c>
      <c r="R32" s="170">
        <v>41</v>
      </c>
      <c r="S32" s="170">
        <v>23</v>
      </c>
      <c r="T32" s="170">
        <v>64</v>
      </c>
      <c r="U32" s="170">
        <v>189</v>
      </c>
      <c r="V32" s="170">
        <v>310</v>
      </c>
      <c r="W32" s="170">
        <v>499</v>
      </c>
    </row>
    <row r="33" spans="1:23" ht="30" customHeight="1">
      <c r="A33" s="166">
        <v>29</v>
      </c>
      <c r="B33" s="341" t="s">
        <v>41</v>
      </c>
      <c r="C33" s="170">
        <v>28864</v>
      </c>
      <c r="D33" s="170">
        <v>16789</v>
      </c>
      <c r="E33" s="170">
        <v>45653</v>
      </c>
      <c r="F33" s="170">
        <v>6309</v>
      </c>
      <c r="G33" s="170">
        <v>3847</v>
      </c>
      <c r="H33" s="170">
        <v>10156</v>
      </c>
      <c r="I33" s="170">
        <v>92</v>
      </c>
      <c r="J33" s="170">
        <v>57</v>
      </c>
      <c r="K33" s="170">
        <v>149</v>
      </c>
      <c r="L33" s="170">
        <v>2366</v>
      </c>
      <c r="M33" s="170">
        <v>1273</v>
      </c>
      <c r="N33" s="170">
        <v>3639</v>
      </c>
      <c r="O33" s="170">
        <v>175</v>
      </c>
      <c r="P33" s="170">
        <v>83</v>
      </c>
      <c r="Q33" s="170">
        <v>258</v>
      </c>
      <c r="R33" s="170">
        <v>102</v>
      </c>
      <c r="S33" s="170">
        <v>36</v>
      </c>
      <c r="T33" s="170">
        <v>138</v>
      </c>
      <c r="U33" s="170">
        <v>3734</v>
      </c>
      <c r="V33" s="170">
        <v>1554</v>
      </c>
      <c r="W33" s="170">
        <v>5288</v>
      </c>
    </row>
    <row r="34" spans="1:23" ht="30" customHeight="1">
      <c r="A34" s="166">
        <v>30</v>
      </c>
      <c r="B34" s="341" t="s">
        <v>42</v>
      </c>
      <c r="C34" s="170">
        <v>43545</v>
      </c>
      <c r="D34" s="170">
        <v>14188</v>
      </c>
      <c r="E34" s="170">
        <v>57733</v>
      </c>
      <c r="F34" s="170">
        <v>5832</v>
      </c>
      <c r="G34" s="170">
        <v>2578</v>
      </c>
      <c r="H34" s="170">
        <v>8410</v>
      </c>
      <c r="I34" s="170">
        <v>2761</v>
      </c>
      <c r="J34" s="170">
        <v>972</v>
      </c>
      <c r="K34" s="170">
        <v>3733</v>
      </c>
      <c r="L34" s="170">
        <v>13420</v>
      </c>
      <c r="M34" s="170">
        <v>4214</v>
      </c>
      <c r="N34" s="170">
        <v>17634</v>
      </c>
      <c r="O34" s="170">
        <v>245</v>
      </c>
      <c r="P34" s="170">
        <v>62</v>
      </c>
      <c r="Q34" s="170">
        <v>307</v>
      </c>
      <c r="R34" s="170">
        <v>1010</v>
      </c>
      <c r="S34" s="170">
        <v>251</v>
      </c>
      <c r="T34" s="170">
        <v>1261</v>
      </c>
      <c r="U34" s="170">
        <v>430</v>
      </c>
      <c r="V34" s="170">
        <v>213</v>
      </c>
      <c r="W34" s="170">
        <v>643</v>
      </c>
    </row>
    <row r="35" spans="1:23" ht="30" customHeight="1">
      <c r="A35" s="166">
        <v>31</v>
      </c>
      <c r="B35" s="341" t="s">
        <v>43</v>
      </c>
      <c r="C35" s="170">
        <v>829</v>
      </c>
      <c r="D35" s="170">
        <v>538</v>
      </c>
      <c r="E35" s="170">
        <v>1367</v>
      </c>
      <c r="F35" s="170">
        <v>70</v>
      </c>
      <c r="G35" s="170">
        <v>40</v>
      </c>
      <c r="H35" s="170">
        <v>110</v>
      </c>
      <c r="I35" s="170">
        <v>236</v>
      </c>
      <c r="J35" s="170">
        <v>164</v>
      </c>
      <c r="K35" s="170">
        <v>400</v>
      </c>
      <c r="L35" s="170">
        <v>211</v>
      </c>
      <c r="M35" s="170">
        <v>148</v>
      </c>
      <c r="N35" s="170">
        <v>359</v>
      </c>
      <c r="O35" s="170">
        <v>10</v>
      </c>
      <c r="P35" s="170">
        <v>1</v>
      </c>
      <c r="Q35" s="170">
        <v>11</v>
      </c>
      <c r="R35" s="170">
        <v>2</v>
      </c>
      <c r="S35" s="170">
        <v>0</v>
      </c>
      <c r="T35" s="170">
        <v>2</v>
      </c>
      <c r="U35" s="170">
        <v>29</v>
      </c>
      <c r="V35" s="170">
        <v>22</v>
      </c>
      <c r="W35" s="170">
        <v>51</v>
      </c>
    </row>
    <row r="36" spans="1:23" ht="30" customHeight="1">
      <c r="A36" s="166">
        <v>32</v>
      </c>
      <c r="B36" s="341" t="s">
        <v>44</v>
      </c>
      <c r="C36" s="170">
        <v>84910</v>
      </c>
      <c r="D36" s="170">
        <v>78406</v>
      </c>
      <c r="E36" s="170">
        <v>163316</v>
      </c>
      <c r="F36" s="170">
        <v>11809</v>
      </c>
      <c r="G36" s="170">
        <v>12944</v>
      </c>
      <c r="H36" s="170">
        <v>24753</v>
      </c>
      <c r="I36" s="170">
        <v>679</v>
      </c>
      <c r="J36" s="170">
        <v>809</v>
      </c>
      <c r="K36" s="170">
        <v>1488</v>
      </c>
      <c r="L36" s="170">
        <v>43028</v>
      </c>
      <c r="M36" s="170">
        <v>32981</v>
      </c>
      <c r="N36" s="170">
        <v>76009</v>
      </c>
      <c r="O36" s="170">
        <v>577</v>
      </c>
      <c r="P36" s="170">
        <v>348</v>
      </c>
      <c r="Q36" s="170">
        <v>925</v>
      </c>
      <c r="R36" s="170">
        <v>1558</v>
      </c>
      <c r="S36" s="170">
        <v>738</v>
      </c>
      <c r="T36" s="170">
        <v>2296</v>
      </c>
      <c r="U36" s="170">
        <v>3933</v>
      </c>
      <c r="V36" s="170">
        <v>4175</v>
      </c>
      <c r="W36" s="170">
        <v>8108</v>
      </c>
    </row>
    <row r="37" spans="1:23" ht="30" customHeight="1">
      <c r="A37" s="166">
        <v>33</v>
      </c>
      <c r="B37" s="341" t="s">
        <v>134</v>
      </c>
      <c r="C37" s="170">
        <v>33860</v>
      </c>
      <c r="D37" s="170">
        <v>22839</v>
      </c>
      <c r="E37" s="170">
        <v>56699</v>
      </c>
      <c r="F37" s="170">
        <v>5129</v>
      </c>
      <c r="G37" s="170">
        <v>4352</v>
      </c>
      <c r="H37" s="170">
        <v>9481</v>
      </c>
      <c r="I37" s="170">
        <v>1825</v>
      </c>
      <c r="J37" s="170">
        <v>1348</v>
      </c>
      <c r="K37" s="170">
        <v>3173</v>
      </c>
      <c r="L37" s="170">
        <v>12340</v>
      </c>
      <c r="M37" s="170">
        <v>7373</v>
      </c>
      <c r="N37" s="170">
        <v>19713</v>
      </c>
      <c r="O37" s="170">
        <v>261</v>
      </c>
      <c r="P37" s="170">
        <v>138</v>
      </c>
      <c r="Q37" s="170">
        <v>399</v>
      </c>
      <c r="R37" s="170">
        <v>2842</v>
      </c>
      <c r="S37" s="170">
        <v>1201</v>
      </c>
      <c r="T37" s="170">
        <v>4043</v>
      </c>
      <c r="U37" s="170">
        <v>548</v>
      </c>
      <c r="V37" s="170">
        <v>644</v>
      </c>
      <c r="W37" s="170">
        <v>1192</v>
      </c>
    </row>
    <row r="38" spans="1:23" ht="30" customHeight="1">
      <c r="A38" s="166">
        <v>34</v>
      </c>
      <c r="B38" s="341" t="s">
        <v>45</v>
      </c>
      <c r="C38" s="170">
        <v>2021</v>
      </c>
      <c r="D38" s="170">
        <v>2269</v>
      </c>
      <c r="E38" s="170">
        <v>4290</v>
      </c>
      <c r="F38" s="170">
        <v>303</v>
      </c>
      <c r="G38" s="170">
        <v>247</v>
      </c>
      <c r="H38" s="170">
        <v>550</v>
      </c>
      <c r="I38" s="170">
        <v>343</v>
      </c>
      <c r="J38" s="170">
        <v>320</v>
      </c>
      <c r="K38" s="170">
        <v>663</v>
      </c>
      <c r="L38" s="170">
        <v>174</v>
      </c>
      <c r="M38" s="170">
        <v>86</v>
      </c>
      <c r="N38" s="170">
        <v>260</v>
      </c>
      <c r="O38" s="170">
        <v>45</v>
      </c>
      <c r="P38" s="170">
        <v>22</v>
      </c>
      <c r="Q38" s="170">
        <v>67</v>
      </c>
      <c r="R38" s="170">
        <v>13</v>
      </c>
      <c r="S38" s="170">
        <v>7</v>
      </c>
      <c r="T38" s="170">
        <v>20</v>
      </c>
      <c r="U38" s="170">
        <v>15</v>
      </c>
      <c r="V38" s="170">
        <v>18</v>
      </c>
      <c r="W38" s="170">
        <v>33</v>
      </c>
    </row>
    <row r="39" spans="1:23" ht="30" customHeight="1">
      <c r="A39" s="166">
        <v>35</v>
      </c>
      <c r="B39" s="341" t="s">
        <v>47</v>
      </c>
      <c r="C39" s="170">
        <v>104042</v>
      </c>
      <c r="D39" s="170">
        <v>29553</v>
      </c>
      <c r="E39" s="170">
        <v>133595</v>
      </c>
      <c r="F39" s="170">
        <v>16108</v>
      </c>
      <c r="G39" s="170">
        <v>5741</v>
      </c>
      <c r="H39" s="170">
        <v>21849</v>
      </c>
      <c r="I39" s="170">
        <v>1033</v>
      </c>
      <c r="J39" s="170">
        <v>407</v>
      </c>
      <c r="K39" s="170">
        <v>1440</v>
      </c>
      <c r="L39" s="170">
        <v>31503</v>
      </c>
      <c r="M39" s="170">
        <v>7754</v>
      </c>
      <c r="N39" s="170">
        <v>39257</v>
      </c>
      <c r="O39" s="170">
        <v>697</v>
      </c>
      <c r="P39" s="170">
        <v>227</v>
      </c>
      <c r="Q39" s="170">
        <v>924</v>
      </c>
      <c r="R39" s="170">
        <v>4012</v>
      </c>
      <c r="S39" s="170">
        <v>1249</v>
      </c>
      <c r="T39" s="170">
        <v>5261</v>
      </c>
      <c r="U39" s="170">
        <v>1506</v>
      </c>
      <c r="V39" s="170">
        <v>274</v>
      </c>
      <c r="W39" s="170">
        <v>1780</v>
      </c>
    </row>
    <row r="40" spans="1:23" ht="30" customHeight="1">
      <c r="A40" s="166">
        <v>36</v>
      </c>
      <c r="B40" s="341" t="s">
        <v>46</v>
      </c>
      <c r="C40" s="170">
        <v>15474</v>
      </c>
      <c r="D40" s="170">
        <v>6818</v>
      </c>
      <c r="E40" s="170">
        <v>22292</v>
      </c>
      <c r="F40" s="170">
        <v>2147</v>
      </c>
      <c r="G40" s="170">
        <v>723</v>
      </c>
      <c r="H40" s="170">
        <v>2870</v>
      </c>
      <c r="I40" s="170">
        <v>274</v>
      </c>
      <c r="J40" s="170">
        <v>156</v>
      </c>
      <c r="K40" s="170">
        <v>430</v>
      </c>
      <c r="L40" s="170">
        <v>1716</v>
      </c>
      <c r="M40" s="170">
        <v>641</v>
      </c>
      <c r="N40" s="170">
        <v>2357</v>
      </c>
      <c r="O40" s="170">
        <v>43</v>
      </c>
      <c r="P40" s="170">
        <v>10</v>
      </c>
      <c r="Q40" s="170">
        <v>53</v>
      </c>
      <c r="R40" s="170">
        <v>233</v>
      </c>
      <c r="S40" s="170">
        <v>67</v>
      </c>
      <c r="T40" s="170">
        <v>300</v>
      </c>
      <c r="U40" s="170">
        <v>119</v>
      </c>
      <c r="V40" s="170">
        <v>96</v>
      </c>
      <c r="W40" s="170">
        <v>215</v>
      </c>
    </row>
    <row r="41" spans="1:23" ht="30" customHeight="1">
      <c r="A41" s="166">
        <v>37</v>
      </c>
      <c r="B41" s="341" t="s">
        <v>48</v>
      </c>
      <c r="C41" s="170">
        <v>32968</v>
      </c>
      <c r="D41" s="170">
        <v>9933</v>
      </c>
      <c r="E41" s="170">
        <v>42901</v>
      </c>
      <c r="F41" s="170">
        <v>4680</v>
      </c>
      <c r="G41" s="170">
        <v>1049</v>
      </c>
      <c r="H41" s="170">
        <v>5729</v>
      </c>
      <c r="I41" s="170">
        <v>945</v>
      </c>
      <c r="J41" s="170">
        <v>369</v>
      </c>
      <c r="K41" s="170">
        <v>1314</v>
      </c>
      <c r="L41" s="170">
        <v>2327</v>
      </c>
      <c r="M41" s="170">
        <v>614</v>
      </c>
      <c r="N41" s="170">
        <v>2941</v>
      </c>
      <c r="O41" s="170">
        <v>157</v>
      </c>
      <c r="P41" s="170">
        <v>19</v>
      </c>
      <c r="Q41" s="170">
        <v>176</v>
      </c>
      <c r="R41" s="170">
        <v>1792</v>
      </c>
      <c r="S41" s="170">
        <v>386</v>
      </c>
      <c r="T41" s="170">
        <v>2178</v>
      </c>
      <c r="U41" s="170">
        <v>274</v>
      </c>
      <c r="V41" s="170">
        <v>108</v>
      </c>
      <c r="W41" s="170">
        <v>382</v>
      </c>
    </row>
    <row r="42" spans="1:23" s="197" customFormat="1" ht="29.25" customHeight="1">
      <c r="A42" s="928" t="s">
        <v>49</v>
      </c>
      <c r="B42" s="928"/>
      <c r="C42" s="171">
        <f>SUM(C5:C41)</f>
        <v>855443</v>
      </c>
      <c r="D42" s="171">
        <f t="shared" ref="D42:W42" si="0">SUM(D5:D41)</f>
        <v>435258</v>
      </c>
      <c r="E42" s="171">
        <f t="shared" si="0"/>
        <v>1290701</v>
      </c>
      <c r="F42" s="171">
        <f t="shared" si="0"/>
        <v>117209</v>
      </c>
      <c r="G42" s="171">
        <f t="shared" si="0"/>
        <v>67904</v>
      </c>
      <c r="H42" s="171">
        <f t="shared" si="0"/>
        <v>185113</v>
      </c>
      <c r="I42" s="171">
        <f t="shared" si="0"/>
        <v>36235</v>
      </c>
      <c r="J42" s="171">
        <f t="shared" si="0"/>
        <v>21736</v>
      </c>
      <c r="K42" s="171">
        <f t="shared" si="0"/>
        <v>57971</v>
      </c>
      <c r="L42" s="171">
        <f t="shared" si="0"/>
        <v>243396</v>
      </c>
      <c r="M42" s="171">
        <f t="shared" si="0"/>
        <v>122184</v>
      </c>
      <c r="N42" s="171">
        <f t="shared" si="0"/>
        <v>365580</v>
      </c>
      <c r="O42" s="171">
        <f t="shared" si="0"/>
        <v>6132</v>
      </c>
      <c r="P42" s="171">
        <f t="shared" si="0"/>
        <v>2486</v>
      </c>
      <c r="Q42" s="171">
        <f t="shared" si="0"/>
        <v>8618</v>
      </c>
      <c r="R42" s="171">
        <f t="shared" si="0"/>
        <v>33428</v>
      </c>
      <c r="S42" s="171">
        <f t="shared" si="0"/>
        <v>11965</v>
      </c>
      <c r="T42" s="171">
        <f t="shared" si="0"/>
        <v>45393</v>
      </c>
      <c r="U42" s="171">
        <f t="shared" si="0"/>
        <v>23415</v>
      </c>
      <c r="V42" s="171">
        <f t="shared" si="0"/>
        <v>19802</v>
      </c>
      <c r="W42" s="171">
        <f t="shared" si="0"/>
        <v>43217</v>
      </c>
    </row>
  </sheetData>
  <mergeCells count="13">
    <mergeCell ref="A1:B1"/>
    <mergeCell ref="A2:A3"/>
    <mergeCell ref="A42:B42"/>
    <mergeCell ref="C1:N1"/>
    <mergeCell ref="O1:W1"/>
    <mergeCell ref="C2:E2"/>
    <mergeCell ref="F2:H2"/>
    <mergeCell ref="I2:K2"/>
    <mergeCell ref="L2:N2"/>
    <mergeCell ref="O2:Q2"/>
    <mergeCell ref="R2:T2"/>
    <mergeCell ref="U2:W2"/>
    <mergeCell ref="B2:B3"/>
  </mergeCells>
  <pageMargins left="0.51181102362204722" right="0.51181102362204722" top="0.51181102362204722" bottom="0.51181102362204722" header="0.31496062992125984" footer="0.31496062992125984"/>
  <pageSetup paperSize="9" scale="60" firstPageNumber="81" orientation="portrait" useFirstPageNumber="1" r:id="rId1"/>
  <headerFooter>
    <oddFooter>&amp;L     AISHE 2019-20&amp;CT-24</oddFooter>
  </headerFooter>
  <colBreaks count="1" manualBreakCount="1">
    <brk id="14" max="39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>
    <tabColor rgb="FF00B050"/>
  </sheetPr>
  <dimension ref="A1:N43"/>
  <sheetViews>
    <sheetView view="pageBreakPreview" topLeftCell="A25" zoomScaleSheetLayoutView="100" workbookViewId="0">
      <selection activeCell="B27" sqref="B27"/>
    </sheetView>
  </sheetViews>
  <sheetFormatPr defaultRowHeight="14.25"/>
  <cols>
    <col min="1" max="1" width="5.140625" style="369" customWidth="1"/>
    <col min="2" max="2" width="26.140625" style="369" customWidth="1"/>
    <col min="3" max="8" width="15.140625" style="369" customWidth="1"/>
    <col min="9" max="9" width="9.42578125" style="369" bestFit="1" customWidth="1"/>
    <col min="10" max="253" width="9.140625" style="369"/>
    <col min="254" max="254" width="5.140625" style="369" customWidth="1"/>
    <col min="255" max="255" width="22.5703125" style="369" customWidth="1"/>
    <col min="256" max="256" width="17.7109375" style="369" customWidth="1"/>
    <col min="257" max="257" width="19" style="369" customWidth="1"/>
    <col min="258" max="258" width="22.140625" style="369" customWidth="1"/>
    <col min="259" max="509" width="9.140625" style="369"/>
    <col min="510" max="510" width="5.140625" style="369" customWidth="1"/>
    <col min="511" max="511" width="22.5703125" style="369" customWidth="1"/>
    <col min="512" max="512" width="17.7109375" style="369" customWidth="1"/>
    <col min="513" max="513" width="19" style="369" customWidth="1"/>
    <col min="514" max="514" width="22.140625" style="369" customWidth="1"/>
    <col min="515" max="765" width="9.140625" style="369"/>
    <col min="766" max="766" width="5.140625" style="369" customWidth="1"/>
    <col min="767" max="767" width="22.5703125" style="369" customWidth="1"/>
    <col min="768" max="768" width="17.7109375" style="369" customWidth="1"/>
    <col min="769" max="769" width="19" style="369" customWidth="1"/>
    <col min="770" max="770" width="22.140625" style="369" customWidth="1"/>
    <col min="771" max="1021" width="9.140625" style="369"/>
    <col min="1022" max="1022" width="5.140625" style="369" customWidth="1"/>
    <col min="1023" max="1023" width="22.5703125" style="369" customWidth="1"/>
    <col min="1024" max="1024" width="17.7109375" style="369" customWidth="1"/>
    <col min="1025" max="1025" width="19" style="369" customWidth="1"/>
    <col min="1026" max="1026" width="22.140625" style="369" customWidth="1"/>
    <col min="1027" max="1277" width="9.140625" style="369"/>
    <col min="1278" max="1278" width="5.140625" style="369" customWidth="1"/>
    <col min="1279" max="1279" width="22.5703125" style="369" customWidth="1"/>
    <col min="1280" max="1280" width="17.7109375" style="369" customWidth="1"/>
    <col min="1281" max="1281" width="19" style="369" customWidth="1"/>
    <col min="1282" max="1282" width="22.140625" style="369" customWidth="1"/>
    <col min="1283" max="1533" width="9.140625" style="369"/>
    <col min="1534" max="1534" width="5.140625" style="369" customWidth="1"/>
    <col min="1535" max="1535" width="22.5703125" style="369" customWidth="1"/>
    <col min="1536" max="1536" width="17.7109375" style="369" customWidth="1"/>
    <col min="1537" max="1537" width="19" style="369" customWidth="1"/>
    <col min="1538" max="1538" width="22.140625" style="369" customWidth="1"/>
    <col min="1539" max="1789" width="9.140625" style="369"/>
    <col min="1790" max="1790" width="5.140625" style="369" customWidth="1"/>
    <col min="1791" max="1791" width="22.5703125" style="369" customWidth="1"/>
    <col min="1792" max="1792" width="17.7109375" style="369" customWidth="1"/>
    <col min="1793" max="1793" width="19" style="369" customWidth="1"/>
    <col min="1794" max="1794" width="22.140625" style="369" customWidth="1"/>
    <col min="1795" max="2045" width="9.140625" style="369"/>
    <col min="2046" max="2046" width="5.140625" style="369" customWidth="1"/>
    <col min="2047" max="2047" width="22.5703125" style="369" customWidth="1"/>
    <col min="2048" max="2048" width="17.7109375" style="369" customWidth="1"/>
    <col min="2049" max="2049" width="19" style="369" customWidth="1"/>
    <col min="2050" max="2050" width="22.140625" style="369" customWidth="1"/>
    <col min="2051" max="2301" width="9.140625" style="369"/>
    <col min="2302" max="2302" width="5.140625" style="369" customWidth="1"/>
    <col min="2303" max="2303" width="22.5703125" style="369" customWidth="1"/>
    <col min="2304" max="2304" width="17.7109375" style="369" customWidth="1"/>
    <col min="2305" max="2305" width="19" style="369" customWidth="1"/>
    <col min="2306" max="2306" width="22.140625" style="369" customWidth="1"/>
    <col min="2307" max="2557" width="9.140625" style="369"/>
    <col min="2558" max="2558" width="5.140625" style="369" customWidth="1"/>
    <col min="2559" max="2559" width="22.5703125" style="369" customWidth="1"/>
    <col min="2560" max="2560" width="17.7109375" style="369" customWidth="1"/>
    <col min="2561" max="2561" width="19" style="369" customWidth="1"/>
    <col min="2562" max="2562" width="22.140625" style="369" customWidth="1"/>
    <col min="2563" max="2813" width="9.140625" style="369"/>
    <col min="2814" max="2814" width="5.140625" style="369" customWidth="1"/>
    <col min="2815" max="2815" width="22.5703125" style="369" customWidth="1"/>
    <col min="2816" max="2816" width="17.7109375" style="369" customWidth="1"/>
    <col min="2817" max="2817" width="19" style="369" customWidth="1"/>
    <col min="2818" max="2818" width="22.140625" style="369" customWidth="1"/>
    <col min="2819" max="3069" width="9.140625" style="369"/>
    <col min="3070" max="3070" width="5.140625" style="369" customWidth="1"/>
    <col min="3071" max="3071" width="22.5703125" style="369" customWidth="1"/>
    <col min="3072" max="3072" width="17.7109375" style="369" customWidth="1"/>
    <col min="3073" max="3073" width="19" style="369" customWidth="1"/>
    <col min="3074" max="3074" width="22.140625" style="369" customWidth="1"/>
    <col min="3075" max="3325" width="9.140625" style="369"/>
    <col min="3326" max="3326" width="5.140625" style="369" customWidth="1"/>
    <col min="3327" max="3327" width="22.5703125" style="369" customWidth="1"/>
    <col min="3328" max="3328" width="17.7109375" style="369" customWidth="1"/>
    <col min="3329" max="3329" width="19" style="369" customWidth="1"/>
    <col min="3330" max="3330" width="22.140625" style="369" customWidth="1"/>
    <col min="3331" max="3581" width="9.140625" style="369"/>
    <col min="3582" max="3582" width="5.140625" style="369" customWidth="1"/>
    <col min="3583" max="3583" width="22.5703125" style="369" customWidth="1"/>
    <col min="3584" max="3584" width="17.7109375" style="369" customWidth="1"/>
    <col min="3585" max="3585" width="19" style="369" customWidth="1"/>
    <col min="3586" max="3586" width="22.140625" style="369" customWidth="1"/>
    <col min="3587" max="3837" width="9.140625" style="369"/>
    <col min="3838" max="3838" width="5.140625" style="369" customWidth="1"/>
    <col min="3839" max="3839" width="22.5703125" style="369" customWidth="1"/>
    <col min="3840" max="3840" width="17.7109375" style="369" customWidth="1"/>
    <col min="3841" max="3841" width="19" style="369" customWidth="1"/>
    <col min="3842" max="3842" width="22.140625" style="369" customWidth="1"/>
    <col min="3843" max="4093" width="9.140625" style="369"/>
    <col min="4094" max="4094" width="5.140625" style="369" customWidth="1"/>
    <col min="4095" max="4095" width="22.5703125" style="369" customWidth="1"/>
    <col min="4096" max="4096" width="17.7109375" style="369" customWidth="1"/>
    <col min="4097" max="4097" width="19" style="369" customWidth="1"/>
    <col min="4098" max="4098" width="22.140625" style="369" customWidth="1"/>
    <col min="4099" max="4349" width="9.140625" style="369"/>
    <col min="4350" max="4350" width="5.140625" style="369" customWidth="1"/>
    <col min="4351" max="4351" width="22.5703125" style="369" customWidth="1"/>
    <col min="4352" max="4352" width="17.7109375" style="369" customWidth="1"/>
    <col min="4353" max="4353" width="19" style="369" customWidth="1"/>
    <col min="4354" max="4354" width="22.140625" style="369" customWidth="1"/>
    <col min="4355" max="4605" width="9.140625" style="369"/>
    <col min="4606" max="4606" width="5.140625" style="369" customWidth="1"/>
    <col min="4607" max="4607" width="22.5703125" style="369" customWidth="1"/>
    <col min="4608" max="4608" width="17.7109375" style="369" customWidth="1"/>
    <col min="4609" max="4609" width="19" style="369" customWidth="1"/>
    <col min="4610" max="4610" width="22.140625" style="369" customWidth="1"/>
    <col min="4611" max="4861" width="9.140625" style="369"/>
    <col min="4862" max="4862" width="5.140625" style="369" customWidth="1"/>
    <col min="4863" max="4863" width="22.5703125" style="369" customWidth="1"/>
    <col min="4864" max="4864" width="17.7109375" style="369" customWidth="1"/>
    <col min="4865" max="4865" width="19" style="369" customWidth="1"/>
    <col min="4866" max="4866" width="22.140625" style="369" customWidth="1"/>
    <col min="4867" max="5117" width="9.140625" style="369"/>
    <col min="5118" max="5118" width="5.140625" style="369" customWidth="1"/>
    <col min="5119" max="5119" width="22.5703125" style="369" customWidth="1"/>
    <col min="5120" max="5120" width="17.7109375" style="369" customWidth="1"/>
    <col min="5121" max="5121" width="19" style="369" customWidth="1"/>
    <col min="5122" max="5122" width="22.140625" style="369" customWidth="1"/>
    <col min="5123" max="5373" width="9.140625" style="369"/>
    <col min="5374" max="5374" width="5.140625" style="369" customWidth="1"/>
    <col min="5375" max="5375" width="22.5703125" style="369" customWidth="1"/>
    <col min="5376" max="5376" width="17.7109375" style="369" customWidth="1"/>
    <col min="5377" max="5377" width="19" style="369" customWidth="1"/>
    <col min="5378" max="5378" width="22.140625" style="369" customWidth="1"/>
    <col min="5379" max="5629" width="9.140625" style="369"/>
    <col min="5630" max="5630" width="5.140625" style="369" customWidth="1"/>
    <col min="5631" max="5631" width="22.5703125" style="369" customWidth="1"/>
    <col min="5632" max="5632" width="17.7109375" style="369" customWidth="1"/>
    <col min="5633" max="5633" width="19" style="369" customWidth="1"/>
    <col min="5634" max="5634" width="22.140625" style="369" customWidth="1"/>
    <col min="5635" max="5885" width="9.140625" style="369"/>
    <col min="5886" max="5886" width="5.140625" style="369" customWidth="1"/>
    <col min="5887" max="5887" width="22.5703125" style="369" customWidth="1"/>
    <col min="5888" max="5888" width="17.7109375" style="369" customWidth="1"/>
    <col min="5889" max="5889" width="19" style="369" customWidth="1"/>
    <col min="5890" max="5890" width="22.140625" style="369" customWidth="1"/>
    <col min="5891" max="6141" width="9.140625" style="369"/>
    <col min="6142" max="6142" width="5.140625" style="369" customWidth="1"/>
    <col min="6143" max="6143" width="22.5703125" style="369" customWidth="1"/>
    <col min="6144" max="6144" width="17.7109375" style="369" customWidth="1"/>
    <col min="6145" max="6145" width="19" style="369" customWidth="1"/>
    <col min="6146" max="6146" width="22.140625" style="369" customWidth="1"/>
    <col min="6147" max="6397" width="9.140625" style="369"/>
    <col min="6398" max="6398" width="5.140625" style="369" customWidth="1"/>
    <col min="6399" max="6399" width="22.5703125" style="369" customWidth="1"/>
    <col min="6400" max="6400" width="17.7109375" style="369" customWidth="1"/>
    <col min="6401" max="6401" width="19" style="369" customWidth="1"/>
    <col min="6402" max="6402" width="22.140625" style="369" customWidth="1"/>
    <col min="6403" max="6653" width="9.140625" style="369"/>
    <col min="6654" max="6654" width="5.140625" style="369" customWidth="1"/>
    <col min="6655" max="6655" width="22.5703125" style="369" customWidth="1"/>
    <col min="6656" max="6656" width="17.7109375" style="369" customWidth="1"/>
    <col min="6657" max="6657" width="19" style="369" customWidth="1"/>
    <col min="6658" max="6658" width="22.140625" style="369" customWidth="1"/>
    <col min="6659" max="6909" width="9.140625" style="369"/>
    <col min="6910" max="6910" width="5.140625" style="369" customWidth="1"/>
    <col min="6911" max="6911" width="22.5703125" style="369" customWidth="1"/>
    <col min="6912" max="6912" width="17.7109375" style="369" customWidth="1"/>
    <col min="6913" max="6913" width="19" style="369" customWidth="1"/>
    <col min="6914" max="6914" width="22.140625" style="369" customWidth="1"/>
    <col min="6915" max="7165" width="9.140625" style="369"/>
    <col min="7166" max="7166" width="5.140625" style="369" customWidth="1"/>
    <col min="7167" max="7167" width="22.5703125" style="369" customWidth="1"/>
    <col min="7168" max="7168" width="17.7109375" style="369" customWidth="1"/>
    <col min="7169" max="7169" width="19" style="369" customWidth="1"/>
    <col min="7170" max="7170" width="22.140625" style="369" customWidth="1"/>
    <col min="7171" max="7421" width="9.140625" style="369"/>
    <col min="7422" max="7422" width="5.140625" style="369" customWidth="1"/>
    <col min="7423" max="7423" width="22.5703125" style="369" customWidth="1"/>
    <col min="7424" max="7424" width="17.7109375" style="369" customWidth="1"/>
    <col min="7425" max="7425" width="19" style="369" customWidth="1"/>
    <col min="7426" max="7426" width="22.140625" style="369" customWidth="1"/>
    <col min="7427" max="7677" width="9.140625" style="369"/>
    <col min="7678" max="7678" width="5.140625" style="369" customWidth="1"/>
    <col min="7679" max="7679" width="22.5703125" style="369" customWidth="1"/>
    <col min="7680" max="7680" width="17.7109375" style="369" customWidth="1"/>
    <col min="7681" max="7681" width="19" style="369" customWidth="1"/>
    <col min="7682" max="7682" width="22.140625" style="369" customWidth="1"/>
    <col min="7683" max="7933" width="9.140625" style="369"/>
    <col min="7934" max="7934" width="5.140625" style="369" customWidth="1"/>
    <col min="7935" max="7935" width="22.5703125" style="369" customWidth="1"/>
    <col min="7936" max="7936" width="17.7109375" style="369" customWidth="1"/>
    <col min="7937" max="7937" width="19" style="369" customWidth="1"/>
    <col min="7938" max="7938" width="22.140625" style="369" customWidth="1"/>
    <col min="7939" max="8189" width="9.140625" style="369"/>
    <col min="8190" max="8190" width="5.140625" style="369" customWidth="1"/>
    <col min="8191" max="8191" width="22.5703125" style="369" customWidth="1"/>
    <col min="8192" max="8192" width="17.7109375" style="369" customWidth="1"/>
    <col min="8193" max="8193" width="19" style="369" customWidth="1"/>
    <col min="8194" max="8194" width="22.140625" style="369" customWidth="1"/>
    <col min="8195" max="8445" width="9.140625" style="369"/>
    <col min="8446" max="8446" width="5.140625" style="369" customWidth="1"/>
    <col min="8447" max="8447" width="22.5703125" style="369" customWidth="1"/>
    <col min="8448" max="8448" width="17.7109375" style="369" customWidth="1"/>
    <col min="8449" max="8449" width="19" style="369" customWidth="1"/>
    <col min="8450" max="8450" width="22.140625" style="369" customWidth="1"/>
    <col min="8451" max="8701" width="9.140625" style="369"/>
    <col min="8702" max="8702" width="5.140625" style="369" customWidth="1"/>
    <col min="8703" max="8703" width="22.5703125" style="369" customWidth="1"/>
    <col min="8704" max="8704" width="17.7109375" style="369" customWidth="1"/>
    <col min="8705" max="8705" width="19" style="369" customWidth="1"/>
    <col min="8706" max="8706" width="22.140625" style="369" customWidth="1"/>
    <col min="8707" max="8957" width="9.140625" style="369"/>
    <col min="8958" max="8958" width="5.140625" style="369" customWidth="1"/>
    <col min="8959" max="8959" width="22.5703125" style="369" customWidth="1"/>
    <col min="8960" max="8960" width="17.7109375" style="369" customWidth="1"/>
    <col min="8961" max="8961" width="19" style="369" customWidth="1"/>
    <col min="8962" max="8962" width="22.140625" style="369" customWidth="1"/>
    <col min="8963" max="9213" width="9.140625" style="369"/>
    <col min="9214" max="9214" width="5.140625" style="369" customWidth="1"/>
    <col min="9215" max="9215" width="22.5703125" style="369" customWidth="1"/>
    <col min="9216" max="9216" width="17.7109375" style="369" customWidth="1"/>
    <col min="9217" max="9217" width="19" style="369" customWidth="1"/>
    <col min="9218" max="9218" width="22.140625" style="369" customWidth="1"/>
    <col min="9219" max="9469" width="9.140625" style="369"/>
    <col min="9470" max="9470" width="5.140625" style="369" customWidth="1"/>
    <col min="9471" max="9471" width="22.5703125" style="369" customWidth="1"/>
    <col min="9472" max="9472" width="17.7109375" style="369" customWidth="1"/>
    <col min="9473" max="9473" width="19" style="369" customWidth="1"/>
    <col min="9474" max="9474" width="22.140625" style="369" customWidth="1"/>
    <col min="9475" max="9725" width="9.140625" style="369"/>
    <col min="9726" max="9726" width="5.140625" style="369" customWidth="1"/>
    <col min="9727" max="9727" width="22.5703125" style="369" customWidth="1"/>
    <col min="9728" max="9728" width="17.7109375" style="369" customWidth="1"/>
    <col min="9729" max="9729" width="19" style="369" customWidth="1"/>
    <col min="9730" max="9730" width="22.140625" style="369" customWidth="1"/>
    <col min="9731" max="9981" width="9.140625" style="369"/>
    <col min="9982" max="9982" width="5.140625" style="369" customWidth="1"/>
    <col min="9983" max="9983" width="22.5703125" style="369" customWidth="1"/>
    <col min="9984" max="9984" width="17.7109375" style="369" customWidth="1"/>
    <col min="9985" max="9985" width="19" style="369" customWidth="1"/>
    <col min="9986" max="9986" width="22.140625" style="369" customWidth="1"/>
    <col min="9987" max="10237" width="9.140625" style="369"/>
    <col min="10238" max="10238" width="5.140625" style="369" customWidth="1"/>
    <col min="10239" max="10239" width="22.5703125" style="369" customWidth="1"/>
    <col min="10240" max="10240" width="17.7109375" style="369" customWidth="1"/>
    <col min="10241" max="10241" width="19" style="369" customWidth="1"/>
    <col min="10242" max="10242" width="22.140625" style="369" customWidth="1"/>
    <col min="10243" max="10493" width="9.140625" style="369"/>
    <col min="10494" max="10494" width="5.140625" style="369" customWidth="1"/>
    <col min="10495" max="10495" width="22.5703125" style="369" customWidth="1"/>
    <col min="10496" max="10496" width="17.7109375" style="369" customWidth="1"/>
    <col min="10497" max="10497" width="19" style="369" customWidth="1"/>
    <col min="10498" max="10498" width="22.140625" style="369" customWidth="1"/>
    <col min="10499" max="10749" width="9.140625" style="369"/>
    <col min="10750" max="10750" width="5.140625" style="369" customWidth="1"/>
    <col min="10751" max="10751" width="22.5703125" style="369" customWidth="1"/>
    <col min="10752" max="10752" width="17.7109375" style="369" customWidth="1"/>
    <col min="10753" max="10753" width="19" style="369" customWidth="1"/>
    <col min="10754" max="10754" width="22.140625" style="369" customWidth="1"/>
    <col min="10755" max="11005" width="9.140625" style="369"/>
    <col min="11006" max="11006" width="5.140625" style="369" customWidth="1"/>
    <col min="11007" max="11007" width="22.5703125" style="369" customWidth="1"/>
    <col min="11008" max="11008" width="17.7109375" style="369" customWidth="1"/>
    <col min="11009" max="11009" width="19" style="369" customWidth="1"/>
    <col min="11010" max="11010" width="22.140625" style="369" customWidth="1"/>
    <col min="11011" max="11261" width="9.140625" style="369"/>
    <col min="11262" max="11262" width="5.140625" style="369" customWidth="1"/>
    <col min="11263" max="11263" width="22.5703125" style="369" customWidth="1"/>
    <col min="11264" max="11264" width="17.7109375" style="369" customWidth="1"/>
    <col min="11265" max="11265" width="19" style="369" customWidth="1"/>
    <col min="11266" max="11266" width="22.140625" style="369" customWidth="1"/>
    <col min="11267" max="11517" width="9.140625" style="369"/>
    <col min="11518" max="11518" width="5.140625" style="369" customWidth="1"/>
    <col min="11519" max="11519" width="22.5703125" style="369" customWidth="1"/>
    <col min="11520" max="11520" width="17.7109375" style="369" customWidth="1"/>
    <col min="11521" max="11521" width="19" style="369" customWidth="1"/>
    <col min="11522" max="11522" width="22.140625" style="369" customWidth="1"/>
    <col min="11523" max="11773" width="9.140625" style="369"/>
    <col min="11774" max="11774" width="5.140625" style="369" customWidth="1"/>
    <col min="11775" max="11775" width="22.5703125" style="369" customWidth="1"/>
    <col min="11776" max="11776" width="17.7109375" style="369" customWidth="1"/>
    <col min="11777" max="11777" width="19" style="369" customWidth="1"/>
    <col min="11778" max="11778" width="22.140625" style="369" customWidth="1"/>
    <col min="11779" max="12029" width="9.140625" style="369"/>
    <col min="12030" max="12030" width="5.140625" style="369" customWidth="1"/>
    <col min="12031" max="12031" width="22.5703125" style="369" customWidth="1"/>
    <col min="12032" max="12032" width="17.7109375" style="369" customWidth="1"/>
    <col min="12033" max="12033" width="19" style="369" customWidth="1"/>
    <col min="12034" max="12034" width="22.140625" style="369" customWidth="1"/>
    <col min="12035" max="12285" width="9.140625" style="369"/>
    <col min="12286" max="12286" width="5.140625" style="369" customWidth="1"/>
    <col min="12287" max="12287" width="22.5703125" style="369" customWidth="1"/>
    <col min="12288" max="12288" width="17.7109375" style="369" customWidth="1"/>
    <col min="12289" max="12289" width="19" style="369" customWidth="1"/>
    <col min="12290" max="12290" width="22.140625" style="369" customWidth="1"/>
    <col min="12291" max="12541" width="9.140625" style="369"/>
    <col min="12542" max="12542" width="5.140625" style="369" customWidth="1"/>
    <col min="12543" max="12543" width="22.5703125" style="369" customWidth="1"/>
    <col min="12544" max="12544" width="17.7109375" style="369" customWidth="1"/>
    <col min="12545" max="12545" width="19" style="369" customWidth="1"/>
    <col min="12546" max="12546" width="22.140625" style="369" customWidth="1"/>
    <col min="12547" max="12797" width="9.140625" style="369"/>
    <col min="12798" max="12798" width="5.140625" style="369" customWidth="1"/>
    <col min="12799" max="12799" width="22.5703125" style="369" customWidth="1"/>
    <col min="12800" max="12800" width="17.7109375" style="369" customWidth="1"/>
    <col min="12801" max="12801" width="19" style="369" customWidth="1"/>
    <col min="12802" max="12802" width="22.140625" style="369" customWidth="1"/>
    <col min="12803" max="13053" width="9.140625" style="369"/>
    <col min="13054" max="13054" width="5.140625" style="369" customWidth="1"/>
    <col min="13055" max="13055" width="22.5703125" style="369" customWidth="1"/>
    <col min="13056" max="13056" width="17.7109375" style="369" customWidth="1"/>
    <col min="13057" max="13057" width="19" style="369" customWidth="1"/>
    <col min="13058" max="13058" width="22.140625" style="369" customWidth="1"/>
    <col min="13059" max="13309" width="9.140625" style="369"/>
    <col min="13310" max="13310" width="5.140625" style="369" customWidth="1"/>
    <col min="13311" max="13311" width="22.5703125" style="369" customWidth="1"/>
    <col min="13312" max="13312" width="17.7109375" style="369" customWidth="1"/>
    <col min="13313" max="13313" width="19" style="369" customWidth="1"/>
    <col min="13314" max="13314" width="22.140625" style="369" customWidth="1"/>
    <col min="13315" max="13565" width="9.140625" style="369"/>
    <col min="13566" max="13566" width="5.140625" style="369" customWidth="1"/>
    <col min="13567" max="13567" width="22.5703125" style="369" customWidth="1"/>
    <col min="13568" max="13568" width="17.7109375" style="369" customWidth="1"/>
    <col min="13569" max="13569" width="19" style="369" customWidth="1"/>
    <col min="13570" max="13570" width="22.140625" style="369" customWidth="1"/>
    <col min="13571" max="13821" width="9.140625" style="369"/>
    <col min="13822" max="13822" width="5.140625" style="369" customWidth="1"/>
    <col min="13823" max="13823" width="22.5703125" style="369" customWidth="1"/>
    <col min="13824" max="13824" width="17.7109375" style="369" customWidth="1"/>
    <col min="13825" max="13825" width="19" style="369" customWidth="1"/>
    <col min="13826" max="13826" width="22.140625" style="369" customWidth="1"/>
    <col min="13827" max="14077" width="9.140625" style="369"/>
    <col min="14078" max="14078" width="5.140625" style="369" customWidth="1"/>
    <col min="14079" max="14079" width="22.5703125" style="369" customWidth="1"/>
    <col min="14080" max="14080" width="17.7109375" style="369" customWidth="1"/>
    <col min="14081" max="14081" width="19" style="369" customWidth="1"/>
    <col min="14082" max="14082" width="22.140625" style="369" customWidth="1"/>
    <col min="14083" max="14333" width="9.140625" style="369"/>
    <col min="14334" max="14334" width="5.140625" style="369" customWidth="1"/>
    <col min="14335" max="14335" width="22.5703125" style="369" customWidth="1"/>
    <col min="14336" max="14336" width="17.7109375" style="369" customWidth="1"/>
    <col min="14337" max="14337" width="19" style="369" customWidth="1"/>
    <col min="14338" max="14338" width="22.140625" style="369" customWidth="1"/>
    <col min="14339" max="14589" width="9.140625" style="369"/>
    <col min="14590" max="14590" width="5.140625" style="369" customWidth="1"/>
    <col min="14591" max="14591" width="22.5703125" style="369" customWidth="1"/>
    <col min="14592" max="14592" width="17.7109375" style="369" customWidth="1"/>
    <col min="14593" max="14593" width="19" style="369" customWidth="1"/>
    <col min="14594" max="14594" width="22.140625" style="369" customWidth="1"/>
    <col min="14595" max="14845" width="9.140625" style="369"/>
    <col min="14846" max="14846" width="5.140625" style="369" customWidth="1"/>
    <col min="14847" max="14847" width="22.5703125" style="369" customWidth="1"/>
    <col min="14848" max="14848" width="17.7109375" style="369" customWidth="1"/>
    <col min="14849" max="14849" width="19" style="369" customWidth="1"/>
    <col min="14850" max="14850" width="22.140625" style="369" customWidth="1"/>
    <col min="14851" max="15101" width="9.140625" style="369"/>
    <col min="15102" max="15102" width="5.140625" style="369" customWidth="1"/>
    <col min="15103" max="15103" width="22.5703125" style="369" customWidth="1"/>
    <col min="15104" max="15104" width="17.7109375" style="369" customWidth="1"/>
    <col min="15105" max="15105" width="19" style="369" customWidth="1"/>
    <col min="15106" max="15106" width="22.140625" style="369" customWidth="1"/>
    <col min="15107" max="15357" width="9.140625" style="369"/>
    <col min="15358" max="15358" width="5.140625" style="369" customWidth="1"/>
    <col min="15359" max="15359" width="22.5703125" style="369" customWidth="1"/>
    <col min="15360" max="15360" width="17.7109375" style="369" customWidth="1"/>
    <col min="15361" max="15361" width="19" style="369" customWidth="1"/>
    <col min="15362" max="15362" width="22.140625" style="369" customWidth="1"/>
    <col min="15363" max="15613" width="9.140625" style="369"/>
    <col min="15614" max="15614" width="5.140625" style="369" customWidth="1"/>
    <col min="15615" max="15615" width="22.5703125" style="369" customWidth="1"/>
    <col min="15616" max="15616" width="17.7109375" style="369" customWidth="1"/>
    <col min="15617" max="15617" width="19" style="369" customWidth="1"/>
    <col min="15618" max="15618" width="22.140625" style="369" customWidth="1"/>
    <col min="15619" max="15869" width="9.140625" style="369"/>
    <col min="15870" max="15870" width="5.140625" style="369" customWidth="1"/>
    <col min="15871" max="15871" width="22.5703125" style="369" customWidth="1"/>
    <col min="15872" max="15872" width="17.7109375" style="369" customWidth="1"/>
    <col min="15873" max="15873" width="19" style="369" customWidth="1"/>
    <col min="15874" max="15874" width="22.140625" style="369" customWidth="1"/>
    <col min="15875" max="16125" width="9.140625" style="369"/>
    <col min="16126" max="16126" width="5.140625" style="369" customWidth="1"/>
    <col min="16127" max="16127" width="22.5703125" style="369" customWidth="1"/>
    <col min="16128" max="16128" width="17.7109375" style="369" customWidth="1"/>
    <col min="16129" max="16129" width="19" style="369" customWidth="1"/>
    <col min="16130" max="16130" width="22.140625" style="369" customWidth="1"/>
    <col min="16131" max="16384" width="9.140625" style="369"/>
  </cols>
  <sheetData>
    <row r="1" spans="1:14" s="349" customFormat="1" ht="23.25" customHeight="1">
      <c r="A1" s="930" t="s">
        <v>818</v>
      </c>
      <c r="B1" s="930"/>
      <c r="C1" s="930"/>
      <c r="D1" s="930"/>
      <c r="E1" s="930"/>
      <c r="F1" s="930"/>
      <c r="G1" s="930"/>
      <c r="H1" s="930"/>
    </row>
    <row r="2" spans="1:14" s="350" customFormat="1" ht="33" customHeight="1">
      <c r="A2" s="931" t="s">
        <v>80</v>
      </c>
      <c r="B2" s="931" t="s">
        <v>713</v>
      </c>
      <c r="C2" s="933" t="s">
        <v>715</v>
      </c>
      <c r="D2" s="934"/>
      <c r="E2" s="933" t="s">
        <v>716</v>
      </c>
      <c r="F2" s="934"/>
      <c r="G2" s="933" t="s">
        <v>717</v>
      </c>
      <c r="H2" s="934"/>
    </row>
    <row r="3" spans="1:14" s="350" customFormat="1" ht="45" customHeight="1">
      <c r="A3" s="932"/>
      <c r="B3" s="932"/>
      <c r="C3" s="351" t="s">
        <v>718</v>
      </c>
      <c r="D3" s="351" t="s">
        <v>719</v>
      </c>
      <c r="E3" s="351" t="s">
        <v>718</v>
      </c>
      <c r="F3" s="351" t="s">
        <v>719</v>
      </c>
      <c r="G3" s="351" t="s">
        <v>718</v>
      </c>
      <c r="H3" s="351" t="s">
        <v>719</v>
      </c>
    </row>
    <row r="4" spans="1:14" s="350" customFormat="1" ht="17.25" customHeight="1">
      <c r="A4" s="352">
        <v>1</v>
      </c>
      <c r="B4" s="352">
        <v>2</v>
      </c>
      <c r="C4" s="352">
        <v>3</v>
      </c>
      <c r="D4" s="352">
        <v>4</v>
      </c>
      <c r="E4" s="352">
        <v>5</v>
      </c>
      <c r="F4" s="352">
        <v>6</v>
      </c>
      <c r="G4" s="352">
        <v>7</v>
      </c>
      <c r="H4" s="352">
        <v>8</v>
      </c>
    </row>
    <row r="5" spans="1:14" s="357" customFormat="1" ht="29.25" customHeight="1">
      <c r="A5" s="353">
        <v>1</v>
      </c>
      <c r="B5" s="354" t="s">
        <v>154</v>
      </c>
      <c r="C5" s="355">
        <v>21.881209503239742</v>
      </c>
      <c r="D5" s="355">
        <v>13.025917926565874</v>
      </c>
      <c r="E5" s="355">
        <v>22</v>
      </c>
      <c r="F5" s="355">
        <v>13</v>
      </c>
      <c r="G5" s="356" t="s">
        <v>806</v>
      </c>
      <c r="H5" s="355" t="s">
        <v>806</v>
      </c>
      <c r="I5" s="358"/>
      <c r="K5" s="358"/>
      <c r="L5" s="358"/>
      <c r="N5" s="358"/>
    </row>
    <row r="6" spans="1:14" s="357" customFormat="1" ht="24.75" customHeight="1">
      <c r="A6" s="353">
        <v>2</v>
      </c>
      <c r="B6" s="359" t="s">
        <v>15</v>
      </c>
      <c r="C6" s="355">
        <v>19.021516588628092</v>
      </c>
      <c r="D6" s="355">
        <v>16.368138203475141</v>
      </c>
      <c r="E6" s="355">
        <v>22</v>
      </c>
      <c r="F6" s="355">
        <v>19</v>
      </c>
      <c r="G6" s="356">
        <v>46</v>
      </c>
      <c r="H6" s="355">
        <v>16</v>
      </c>
      <c r="I6" s="358"/>
      <c r="K6" s="358"/>
      <c r="L6" s="358"/>
      <c r="N6" s="358"/>
    </row>
    <row r="7" spans="1:14" s="357" customFormat="1" ht="24.75" customHeight="1">
      <c r="A7" s="353">
        <v>3</v>
      </c>
      <c r="B7" s="359" t="s">
        <v>16</v>
      </c>
      <c r="C7" s="355">
        <v>27.852295409181636</v>
      </c>
      <c r="D7" s="355">
        <v>19.83882235528942</v>
      </c>
      <c r="E7" s="355">
        <v>63</v>
      </c>
      <c r="F7" s="355">
        <v>45</v>
      </c>
      <c r="G7" s="356">
        <v>33</v>
      </c>
      <c r="H7" s="355">
        <v>18</v>
      </c>
      <c r="I7" s="358"/>
      <c r="K7" s="358"/>
      <c r="L7" s="358"/>
      <c r="N7" s="358"/>
    </row>
    <row r="8" spans="1:14" s="357" customFormat="1" ht="24.75" customHeight="1">
      <c r="A8" s="353">
        <v>4</v>
      </c>
      <c r="B8" s="354" t="s">
        <v>17</v>
      </c>
      <c r="C8" s="355">
        <v>28.188951473136914</v>
      </c>
      <c r="D8" s="355">
        <v>24.427772963604852</v>
      </c>
      <c r="E8" s="355">
        <v>35</v>
      </c>
      <c r="F8" s="355">
        <v>30</v>
      </c>
      <c r="G8" s="356">
        <v>38</v>
      </c>
      <c r="H8" s="355">
        <v>15</v>
      </c>
      <c r="I8" s="358"/>
      <c r="K8" s="358"/>
      <c r="L8" s="358"/>
      <c r="N8" s="358"/>
    </row>
    <row r="9" spans="1:14" s="357" customFormat="1" ht="24.75" customHeight="1">
      <c r="A9" s="353">
        <v>5</v>
      </c>
      <c r="B9" s="354" t="s">
        <v>18</v>
      </c>
      <c r="C9" s="355">
        <v>58.736763861202149</v>
      </c>
      <c r="D9" s="355">
        <v>54.179376288137313</v>
      </c>
      <c r="E9" s="355">
        <v>70</v>
      </c>
      <c r="F9" s="355">
        <v>65</v>
      </c>
      <c r="G9" s="356">
        <v>71</v>
      </c>
      <c r="H9" s="355">
        <v>27</v>
      </c>
      <c r="I9" s="358"/>
      <c r="K9" s="358"/>
      <c r="L9" s="358"/>
      <c r="N9" s="358"/>
    </row>
    <row r="10" spans="1:14" s="357" customFormat="1" ht="24.75" customHeight="1">
      <c r="A10" s="353">
        <v>6</v>
      </c>
      <c r="B10" s="359" t="s">
        <v>19</v>
      </c>
      <c r="C10" s="355">
        <v>28.338735387885229</v>
      </c>
      <c r="D10" s="355">
        <v>20.299681190223168</v>
      </c>
      <c r="E10" s="355">
        <v>54</v>
      </c>
      <c r="F10" s="355">
        <v>38</v>
      </c>
      <c r="G10" s="356">
        <v>32</v>
      </c>
      <c r="H10" s="355">
        <v>13</v>
      </c>
      <c r="I10" s="358"/>
      <c r="K10" s="358"/>
      <c r="L10" s="358"/>
      <c r="N10" s="358"/>
    </row>
    <row r="11" spans="1:14" s="357" customFormat="1" ht="24.75" customHeight="1">
      <c r="A11" s="353">
        <v>7</v>
      </c>
      <c r="B11" s="359" t="s">
        <v>20</v>
      </c>
      <c r="C11" s="355">
        <v>26.372610748819429</v>
      </c>
      <c r="D11" s="355">
        <v>22.668540589161232</v>
      </c>
      <c r="E11" s="355">
        <v>30</v>
      </c>
      <c r="F11" s="355">
        <v>26</v>
      </c>
      <c r="G11" s="356">
        <v>49</v>
      </c>
      <c r="H11" s="355">
        <v>18</v>
      </c>
      <c r="I11" s="358"/>
      <c r="K11" s="358"/>
      <c r="L11" s="358"/>
      <c r="N11" s="358"/>
    </row>
    <row r="12" spans="1:14" s="357" customFormat="1" ht="24.75" customHeight="1">
      <c r="A12" s="353">
        <v>8</v>
      </c>
      <c r="B12" s="359" t="s">
        <v>155</v>
      </c>
      <c r="C12" s="355">
        <v>27.204255319148935</v>
      </c>
      <c r="D12" s="355">
        <v>27.204255319148935</v>
      </c>
      <c r="E12" s="355">
        <v>28</v>
      </c>
      <c r="F12" s="355">
        <v>28</v>
      </c>
      <c r="G12" s="356">
        <v>20</v>
      </c>
      <c r="H12" s="355">
        <v>20</v>
      </c>
      <c r="I12" s="358"/>
      <c r="K12" s="358"/>
      <c r="L12" s="358"/>
      <c r="N12" s="358"/>
    </row>
    <row r="13" spans="1:14" s="357" customFormat="1" ht="24.75" customHeight="1">
      <c r="A13" s="353">
        <v>9</v>
      </c>
      <c r="B13" s="359" t="s">
        <v>156</v>
      </c>
      <c r="C13" s="355">
        <v>14.455882352941176</v>
      </c>
      <c r="D13" s="355">
        <v>14.455882352941176</v>
      </c>
      <c r="E13" s="355">
        <v>14</v>
      </c>
      <c r="F13" s="355">
        <v>14</v>
      </c>
      <c r="G13" s="356" t="s">
        <v>806</v>
      </c>
      <c r="H13" s="355" t="s">
        <v>806</v>
      </c>
      <c r="I13" s="358"/>
      <c r="K13" s="358"/>
      <c r="L13" s="358"/>
      <c r="N13" s="358"/>
    </row>
    <row r="14" spans="1:14" s="357" customFormat="1" ht="24.75" customHeight="1">
      <c r="A14" s="353">
        <v>10</v>
      </c>
      <c r="B14" s="359" t="s">
        <v>23</v>
      </c>
      <c r="C14" s="355">
        <v>52.05661244370922</v>
      </c>
      <c r="D14" s="355">
        <v>20.74892013601691</v>
      </c>
      <c r="E14" s="355">
        <v>80</v>
      </c>
      <c r="F14" s="355">
        <v>30</v>
      </c>
      <c r="G14" s="356">
        <v>125</v>
      </c>
      <c r="H14" s="355">
        <v>21</v>
      </c>
      <c r="I14" s="358"/>
      <c r="K14" s="358"/>
      <c r="L14" s="358"/>
      <c r="N14" s="358"/>
    </row>
    <row r="15" spans="1:14" s="357" customFormat="1" ht="24.75" customHeight="1">
      <c r="A15" s="353">
        <v>11</v>
      </c>
      <c r="B15" s="359" t="s">
        <v>24</v>
      </c>
      <c r="C15" s="355">
        <v>14.504534212695795</v>
      </c>
      <c r="D15" s="355">
        <v>13.153888430887607</v>
      </c>
      <c r="E15" s="355">
        <v>17</v>
      </c>
      <c r="F15" s="355">
        <v>15</v>
      </c>
      <c r="G15" s="356">
        <v>31</v>
      </c>
      <c r="H15" s="355">
        <v>12</v>
      </c>
      <c r="I15" s="358"/>
      <c r="K15" s="358"/>
      <c r="L15" s="358"/>
      <c r="N15" s="358"/>
    </row>
    <row r="16" spans="1:14" s="357" customFormat="1" ht="24.75" customHeight="1">
      <c r="A16" s="353">
        <v>12</v>
      </c>
      <c r="B16" s="359" t="s">
        <v>25</v>
      </c>
      <c r="C16" s="355">
        <v>25.581903689474728</v>
      </c>
      <c r="D16" s="355">
        <v>24.536811949393918</v>
      </c>
      <c r="E16" s="355">
        <v>34</v>
      </c>
      <c r="F16" s="355">
        <v>32</v>
      </c>
      <c r="G16" s="356">
        <v>25</v>
      </c>
      <c r="H16" s="355">
        <v>20</v>
      </c>
      <c r="I16" s="358"/>
      <c r="K16" s="358"/>
      <c r="L16" s="358"/>
      <c r="N16" s="358"/>
    </row>
    <row r="17" spans="1:14" s="357" customFormat="1" ht="24.75" customHeight="1">
      <c r="A17" s="353">
        <v>13</v>
      </c>
      <c r="B17" s="359" t="s">
        <v>26</v>
      </c>
      <c r="C17" s="355">
        <v>23.796003160765721</v>
      </c>
      <c r="D17" s="355">
        <v>20.184445973847211</v>
      </c>
      <c r="E17" s="355">
        <v>32</v>
      </c>
      <c r="F17" s="355">
        <v>27</v>
      </c>
      <c r="G17" s="356">
        <v>33</v>
      </c>
      <c r="H17" s="355">
        <v>16</v>
      </c>
      <c r="I17" s="358"/>
      <c r="K17" s="358"/>
      <c r="L17" s="358"/>
      <c r="N17" s="358"/>
    </row>
    <row r="18" spans="1:14" s="357" customFormat="1" ht="24.75" customHeight="1">
      <c r="A18" s="360">
        <v>14</v>
      </c>
      <c r="B18" s="359" t="s">
        <v>27</v>
      </c>
      <c r="C18" s="355">
        <v>26.851683517298952</v>
      </c>
      <c r="D18" s="355">
        <v>22.57156107967721</v>
      </c>
      <c r="E18" s="355">
        <v>42</v>
      </c>
      <c r="F18" s="355">
        <v>35</v>
      </c>
      <c r="G18" s="356">
        <v>31</v>
      </c>
      <c r="H18" s="355">
        <v>15</v>
      </c>
      <c r="I18" s="358"/>
      <c r="K18" s="358"/>
      <c r="L18" s="358"/>
      <c r="N18" s="358"/>
    </row>
    <row r="19" spans="1:14" s="357" customFormat="1" ht="24.75" customHeight="1">
      <c r="A19" s="353">
        <v>15</v>
      </c>
      <c r="B19" s="359" t="s">
        <v>57</v>
      </c>
      <c r="C19" s="355">
        <v>34.927656567441041</v>
      </c>
      <c r="D19" s="355">
        <v>24.528133557106262</v>
      </c>
      <c r="E19" s="355">
        <v>51</v>
      </c>
      <c r="F19" s="355">
        <v>35</v>
      </c>
      <c r="G19" s="356">
        <v>61</v>
      </c>
      <c r="H19" s="355">
        <v>14</v>
      </c>
      <c r="I19" s="358"/>
      <c r="K19" s="358"/>
      <c r="L19" s="358"/>
      <c r="N19" s="358"/>
    </row>
    <row r="20" spans="1:14" s="357" customFormat="1" ht="24.75" customHeight="1">
      <c r="A20" s="353">
        <v>16</v>
      </c>
      <c r="B20" s="359" t="s">
        <v>29</v>
      </c>
      <c r="C20" s="355">
        <v>59.728229105786092</v>
      </c>
      <c r="D20" s="355">
        <v>54.290838690824081</v>
      </c>
      <c r="E20" s="355">
        <v>85</v>
      </c>
      <c r="F20" s="355">
        <v>77</v>
      </c>
      <c r="G20" s="356">
        <v>64</v>
      </c>
      <c r="H20" s="355">
        <v>37</v>
      </c>
      <c r="I20" s="358"/>
      <c r="K20" s="358"/>
      <c r="L20" s="358"/>
      <c r="N20" s="358"/>
    </row>
    <row r="21" spans="1:14" s="357" customFormat="1" ht="24.75" customHeight="1">
      <c r="A21" s="353">
        <v>17</v>
      </c>
      <c r="B21" s="359" t="s">
        <v>30</v>
      </c>
      <c r="C21" s="355">
        <v>14.746387361156044</v>
      </c>
      <c r="D21" s="355">
        <v>14.167488946403537</v>
      </c>
      <c r="E21" s="355">
        <v>18</v>
      </c>
      <c r="F21" s="355">
        <v>18</v>
      </c>
      <c r="G21" s="356">
        <v>17</v>
      </c>
      <c r="H21" s="355">
        <v>13</v>
      </c>
      <c r="I21" s="358"/>
      <c r="K21" s="358"/>
      <c r="L21" s="358"/>
      <c r="N21" s="358"/>
    </row>
    <row r="22" spans="1:14" s="357" customFormat="1" ht="24.75" customHeight="1">
      <c r="A22" s="353">
        <v>18</v>
      </c>
      <c r="B22" s="359" t="s">
        <v>31</v>
      </c>
      <c r="C22" s="355">
        <v>18.484242503005294</v>
      </c>
      <c r="D22" s="355">
        <v>14.319454823093668</v>
      </c>
      <c r="E22" s="355">
        <v>20</v>
      </c>
      <c r="F22" s="355">
        <v>16</v>
      </c>
      <c r="G22" s="356">
        <v>67</v>
      </c>
      <c r="H22" s="355">
        <v>12</v>
      </c>
      <c r="I22" s="358"/>
      <c r="K22" s="358"/>
      <c r="L22" s="358"/>
      <c r="N22" s="358"/>
    </row>
    <row r="23" spans="1:14" s="357" customFormat="1" ht="24.75" customHeight="1">
      <c r="A23" s="353">
        <v>19</v>
      </c>
      <c r="B23" s="341" t="s">
        <v>761</v>
      </c>
      <c r="C23" s="355">
        <v>14.557788944723619</v>
      </c>
      <c r="D23" s="355">
        <v>14.557788944723619</v>
      </c>
      <c r="E23" s="355">
        <v>28</v>
      </c>
      <c r="F23" s="355">
        <v>28</v>
      </c>
      <c r="G23" s="356">
        <v>7</v>
      </c>
      <c r="H23" s="355">
        <v>7</v>
      </c>
      <c r="I23" s="358"/>
      <c r="K23" s="358"/>
      <c r="L23" s="358"/>
      <c r="N23" s="358"/>
    </row>
    <row r="24" spans="1:14" s="357" customFormat="1" ht="24.75" customHeight="1">
      <c r="A24" s="353">
        <v>20</v>
      </c>
      <c r="B24" s="359" t="s">
        <v>32</v>
      </c>
      <c r="C24" s="355">
        <v>12.444444444444445</v>
      </c>
      <c r="D24" s="355">
        <v>12.444444444444445</v>
      </c>
      <c r="E24" s="355">
        <v>0</v>
      </c>
      <c r="F24" s="355">
        <v>0</v>
      </c>
      <c r="G24" s="356">
        <v>12</v>
      </c>
      <c r="H24" s="355">
        <v>12</v>
      </c>
      <c r="I24" s="358"/>
      <c r="K24" s="358"/>
      <c r="L24" s="358"/>
      <c r="N24" s="358"/>
    </row>
    <row r="25" spans="1:14" s="357" customFormat="1" ht="24.75" customHeight="1">
      <c r="A25" s="353">
        <v>21</v>
      </c>
      <c r="B25" s="359" t="s">
        <v>33</v>
      </c>
      <c r="C25" s="355">
        <v>34.039777867906281</v>
      </c>
      <c r="D25" s="355">
        <v>31.601862540167847</v>
      </c>
      <c r="E25" s="355">
        <v>44</v>
      </c>
      <c r="F25" s="355">
        <v>41</v>
      </c>
      <c r="G25" s="356">
        <v>40</v>
      </c>
      <c r="H25" s="355">
        <v>28</v>
      </c>
      <c r="I25" s="358"/>
      <c r="K25" s="358"/>
      <c r="L25" s="358"/>
      <c r="N25" s="358"/>
    </row>
    <row r="26" spans="1:14" s="357" customFormat="1" ht="24.75" customHeight="1">
      <c r="A26" s="353">
        <v>22</v>
      </c>
      <c r="B26" s="359" t="s">
        <v>34</v>
      </c>
      <c r="C26" s="355">
        <v>26.147365323786872</v>
      </c>
      <c r="D26" s="355">
        <v>22.066001765441484</v>
      </c>
      <c r="E26" s="355">
        <v>33</v>
      </c>
      <c r="F26" s="355">
        <v>27</v>
      </c>
      <c r="G26" s="356">
        <v>62</v>
      </c>
      <c r="H26" s="355">
        <v>19</v>
      </c>
      <c r="I26" s="358"/>
      <c r="K26" s="358"/>
      <c r="L26" s="358"/>
      <c r="N26" s="358"/>
    </row>
    <row r="27" spans="1:14" s="357" customFormat="1" ht="24.75" customHeight="1">
      <c r="A27" s="353">
        <v>23</v>
      </c>
      <c r="B27" s="359" t="s">
        <v>35</v>
      </c>
      <c r="C27" s="355">
        <v>22.668001456133965</v>
      </c>
      <c r="D27" s="355">
        <v>21.585729887149618</v>
      </c>
      <c r="E27" s="355">
        <v>28</v>
      </c>
      <c r="F27" s="355">
        <v>26</v>
      </c>
      <c r="G27" s="356">
        <v>19</v>
      </c>
      <c r="H27" s="355">
        <v>12</v>
      </c>
      <c r="I27" s="358"/>
      <c r="K27" s="358"/>
      <c r="L27" s="358"/>
      <c r="N27" s="358"/>
    </row>
    <row r="28" spans="1:14" s="357" customFormat="1" ht="24.75" customHeight="1">
      <c r="A28" s="353">
        <v>24</v>
      </c>
      <c r="B28" s="359" t="s">
        <v>36</v>
      </c>
      <c r="C28" s="355">
        <v>24.155905077262695</v>
      </c>
      <c r="D28" s="355">
        <v>22.227649006622517</v>
      </c>
      <c r="E28" s="355">
        <v>37</v>
      </c>
      <c r="F28" s="355">
        <v>34</v>
      </c>
      <c r="G28" s="356">
        <v>20</v>
      </c>
      <c r="H28" s="355">
        <v>14</v>
      </c>
      <c r="I28" s="358"/>
      <c r="K28" s="358"/>
      <c r="L28" s="358"/>
      <c r="N28" s="358"/>
    </row>
    <row r="29" spans="1:14" s="357" customFormat="1" ht="24.75" customHeight="1">
      <c r="A29" s="353">
        <v>25</v>
      </c>
      <c r="B29" s="359" t="s">
        <v>37</v>
      </c>
      <c r="C29" s="355">
        <v>17.247535028541776</v>
      </c>
      <c r="D29" s="355">
        <v>13.503892060197197</v>
      </c>
      <c r="E29" s="355">
        <v>22</v>
      </c>
      <c r="F29" s="355">
        <v>17</v>
      </c>
      <c r="G29" s="356">
        <v>38</v>
      </c>
      <c r="H29" s="355">
        <v>14</v>
      </c>
      <c r="I29" s="358"/>
      <c r="K29" s="358"/>
      <c r="L29" s="358"/>
      <c r="N29" s="358"/>
    </row>
    <row r="30" spans="1:14" s="357" customFormat="1" ht="24.75" customHeight="1">
      <c r="A30" s="353">
        <v>26</v>
      </c>
      <c r="B30" s="359" t="s">
        <v>38</v>
      </c>
      <c r="C30" s="355">
        <v>18.406030565881867</v>
      </c>
      <c r="D30" s="355">
        <v>17.06030565881867</v>
      </c>
      <c r="E30" s="355">
        <v>24</v>
      </c>
      <c r="F30" s="355">
        <v>22</v>
      </c>
      <c r="G30" s="356">
        <v>22</v>
      </c>
      <c r="H30" s="355">
        <v>15</v>
      </c>
      <c r="I30" s="358"/>
      <c r="K30" s="358"/>
      <c r="L30" s="358"/>
      <c r="N30" s="358"/>
    </row>
    <row r="31" spans="1:14" s="357" customFormat="1" ht="24.75" customHeight="1">
      <c r="A31" s="353">
        <v>27</v>
      </c>
      <c r="B31" s="359" t="s">
        <v>39</v>
      </c>
      <c r="C31" s="355">
        <v>24.838451168364291</v>
      </c>
      <c r="D31" s="355">
        <v>23.329763331336128</v>
      </c>
      <c r="E31" s="355">
        <v>33</v>
      </c>
      <c r="F31" s="355">
        <v>30</v>
      </c>
      <c r="G31" s="356">
        <v>28</v>
      </c>
      <c r="H31" s="355">
        <v>18</v>
      </c>
      <c r="I31" s="358"/>
      <c r="K31" s="358"/>
      <c r="L31" s="358"/>
      <c r="N31" s="358"/>
    </row>
    <row r="32" spans="1:14" s="357" customFormat="1" ht="24.75" customHeight="1">
      <c r="A32" s="353">
        <v>28</v>
      </c>
      <c r="B32" s="361" t="s">
        <v>40</v>
      </c>
      <c r="C32" s="355">
        <v>12.576361638675246</v>
      </c>
      <c r="D32" s="355">
        <v>10.433526918851044</v>
      </c>
      <c r="E32" s="355">
        <v>19</v>
      </c>
      <c r="F32" s="355">
        <v>16</v>
      </c>
      <c r="G32" s="356">
        <v>15</v>
      </c>
      <c r="H32" s="355">
        <v>8</v>
      </c>
      <c r="I32" s="358"/>
      <c r="K32" s="358"/>
      <c r="L32" s="358"/>
      <c r="N32" s="358"/>
    </row>
    <row r="33" spans="1:14" s="357" customFormat="1" ht="24.75" customHeight="1">
      <c r="A33" s="353">
        <v>29</v>
      </c>
      <c r="B33" s="359" t="s">
        <v>41</v>
      </c>
      <c r="C33" s="355">
        <v>16.697322937471192</v>
      </c>
      <c r="D33" s="355">
        <v>15.467660162851436</v>
      </c>
      <c r="E33" s="355">
        <v>24</v>
      </c>
      <c r="F33" s="355">
        <v>22</v>
      </c>
      <c r="G33" s="356">
        <v>23</v>
      </c>
      <c r="H33" s="355">
        <v>17</v>
      </c>
      <c r="I33" s="358"/>
      <c r="K33" s="358"/>
      <c r="L33" s="358"/>
      <c r="N33" s="358"/>
    </row>
    <row r="34" spans="1:14" s="357" customFormat="1" ht="24.75" customHeight="1">
      <c r="A34" s="353">
        <v>30</v>
      </c>
      <c r="B34" s="362" t="s">
        <v>42</v>
      </c>
      <c r="C34" s="355">
        <v>28.516445455367876</v>
      </c>
      <c r="D34" s="355">
        <v>26.234798454321052</v>
      </c>
      <c r="E34" s="355">
        <v>37</v>
      </c>
      <c r="F34" s="355">
        <v>34</v>
      </c>
      <c r="G34" s="356">
        <v>32</v>
      </c>
      <c r="H34" s="355">
        <v>19</v>
      </c>
      <c r="I34" s="358"/>
      <c r="K34" s="358"/>
      <c r="L34" s="358"/>
      <c r="N34" s="358"/>
    </row>
    <row r="35" spans="1:14" s="357" customFormat="1" ht="24.75" customHeight="1">
      <c r="A35" s="353">
        <v>31</v>
      </c>
      <c r="B35" s="322" t="s">
        <v>43</v>
      </c>
      <c r="C35" s="355">
        <v>33.939801285797778</v>
      </c>
      <c r="D35" s="355">
        <v>13.866160140268848</v>
      </c>
      <c r="E35" s="355">
        <v>97</v>
      </c>
      <c r="F35" s="355">
        <v>38</v>
      </c>
      <c r="G35" s="356">
        <v>44</v>
      </c>
      <c r="H35" s="355">
        <v>10</v>
      </c>
      <c r="I35" s="358"/>
      <c r="K35" s="358"/>
      <c r="L35" s="358"/>
      <c r="N35" s="358"/>
    </row>
    <row r="36" spans="1:14" s="357" customFormat="1" ht="24.75" customHeight="1">
      <c r="A36" s="353">
        <v>32</v>
      </c>
      <c r="B36" s="363" t="s">
        <v>44</v>
      </c>
      <c r="C36" s="355">
        <v>17.419952000395874</v>
      </c>
      <c r="D36" s="355">
        <v>14.758586733305293</v>
      </c>
      <c r="E36" s="355">
        <v>21</v>
      </c>
      <c r="F36" s="355">
        <v>18</v>
      </c>
      <c r="G36" s="356">
        <v>34</v>
      </c>
      <c r="H36" s="355">
        <v>14</v>
      </c>
      <c r="I36" s="358"/>
      <c r="K36" s="358"/>
      <c r="L36" s="358"/>
      <c r="N36" s="358"/>
    </row>
    <row r="37" spans="1:14" s="357" customFormat="1" ht="24.75" customHeight="1">
      <c r="A37" s="353">
        <v>33</v>
      </c>
      <c r="B37" s="364" t="s">
        <v>134</v>
      </c>
      <c r="C37" s="355">
        <v>16.802389272456864</v>
      </c>
      <c r="D37" s="355">
        <v>16.128084833681971</v>
      </c>
      <c r="E37" s="355">
        <v>18</v>
      </c>
      <c r="F37" s="355">
        <v>17</v>
      </c>
      <c r="G37" s="356">
        <v>28</v>
      </c>
      <c r="H37" s="355">
        <v>15</v>
      </c>
      <c r="I37" s="358"/>
      <c r="K37" s="358"/>
      <c r="L37" s="358"/>
      <c r="N37" s="358"/>
    </row>
    <row r="38" spans="1:14" s="357" customFormat="1" ht="24.75" customHeight="1">
      <c r="A38" s="353">
        <v>34</v>
      </c>
      <c r="B38" s="362" t="s">
        <v>45</v>
      </c>
      <c r="C38" s="355">
        <v>35.772293654085445</v>
      </c>
      <c r="D38" s="355">
        <v>30.459975114060555</v>
      </c>
      <c r="E38" s="355">
        <v>44</v>
      </c>
      <c r="F38" s="355">
        <v>37</v>
      </c>
      <c r="G38" s="356">
        <v>59</v>
      </c>
      <c r="H38" s="355">
        <v>25</v>
      </c>
      <c r="I38" s="358"/>
      <c r="K38" s="358"/>
      <c r="L38" s="358"/>
      <c r="N38" s="358"/>
    </row>
    <row r="39" spans="1:14" s="357" customFormat="1" ht="24.75" customHeight="1">
      <c r="A39" s="353">
        <v>35</v>
      </c>
      <c r="B39" s="359" t="s">
        <v>47</v>
      </c>
      <c r="C39" s="355">
        <v>39.570450758490821</v>
      </c>
      <c r="D39" s="355">
        <v>38.787139414887356</v>
      </c>
      <c r="E39" s="355">
        <v>49</v>
      </c>
      <c r="F39" s="355">
        <v>48</v>
      </c>
      <c r="G39" s="356">
        <v>26</v>
      </c>
      <c r="H39" s="355">
        <v>20</v>
      </c>
      <c r="I39" s="358"/>
      <c r="K39" s="358"/>
      <c r="L39" s="358"/>
      <c r="N39" s="358"/>
    </row>
    <row r="40" spans="1:14" s="357" customFormat="1" ht="24.75" customHeight="1">
      <c r="A40" s="353">
        <v>36</v>
      </c>
      <c r="B40" s="359" t="s">
        <v>46</v>
      </c>
      <c r="C40" s="355">
        <v>26.934530959921371</v>
      </c>
      <c r="D40" s="355">
        <v>22.484274325652507</v>
      </c>
      <c r="E40" s="355">
        <v>46</v>
      </c>
      <c r="F40" s="355">
        <v>38</v>
      </c>
      <c r="G40" s="356">
        <v>36</v>
      </c>
      <c r="H40" s="355">
        <v>22</v>
      </c>
      <c r="I40" s="358"/>
      <c r="K40" s="358"/>
      <c r="L40" s="358"/>
      <c r="N40" s="358"/>
    </row>
    <row r="41" spans="1:14" s="357" customFormat="1" ht="24.75" customHeight="1">
      <c r="A41" s="353">
        <v>37</v>
      </c>
      <c r="B41" s="359" t="s">
        <v>48</v>
      </c>
      <c r="C41" s="355">
        <v>32.967580020138527</v>
      </c>
      <c r="D41" s="355">
        <v>30.109190492173436</v>
      </c>
      <c r="E41" s="355">
        <v>40</v>
      </c>
      <c r="F41" s="355">
        <v>36</v>
      </c>
      <c r="G41" s="356">
        <v>43</v>
      </c>
      <c r="H41" s="355">
        <v>19</v>
      </c>
      <c r="I41" s="358"/>
      <c r="K41" s="358"/>
      <c r="L41" s="358"/>
      <c r="N41" s="358"/>
    </row>
    <row r="42" spans="1:14" s="367" customFormat="1" ht="24.75" customHeight="1">
      <c r="A42" s="929" t="s">
        <v>49</v>
      </c>
      <c r="B42" s="929"/>
      <c r="C42" s="365">
        <v>25.6369658239065</v>
      </c>
      <c r="D42" s="365">
        <v>22.785018321451666</v>
      </c>
      <c r="E42" s="365">
        <v>32</v>
      </c>
      <c r="F42" s="365">
        <v>28</v>
      </c>
      <c r="G42" s="366">
        <v>38</v>
      </c>
      <c r="H42" s="365">
        <v>18</v>
      </c>
      <c r="I42" s="357"/>
      <c r="K42" s="358"/>
      <c r="L42" s="358"/>
      <c r="M42" s="357"/>
      <c r="N42" s="358"/>
    </row>
    <row r="43" spans="1:14" s="368" customFormat="1" ht="15.95" customHeight="1">
      <c r="C43" s="369"/>
    </row>
  </sheetData>
  <mergeCells count="7">
    <mergeCell ref="A42:B42"/>
    <mergeCell ref="A1:H1"/>
    <mergeCell ref="A2:A3"/>
    <mergeCell ref="B2:B3"/>
    <mergeCell ref="C2:D2"/>
    <mergeCell ref="E2:F2"/>
    <mergeCell ref="G2:H2"/>
  </mergeCells>
  <printOptions horizontalCentered="1"/>
  <pageMargins left="0.31496062992126" right="0.511811023622047" top="0.43307086614173201" bottom="0.511811023622047" header="0.27559055118110198" footer="0.23622047244094499"/>
  <pageSetup paperSize="9" scale="74" firstPageNumber="2" pageOrder="overThenDown" orientation="portrait" useFirstPageNumber="1" r:id="rId1"/>
  <headerFooter alignWithMargins="0">
    <oddFooter>&amp;L     AISHE 2019-20&amp;CT-25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>
    <tabColor rgb="FF00B050"/>
  </sheetPr>
  <dimension ref="A1:AE20"/>
  <sheetViews>
    <sheetView view="pageBreakPreview" zoomScaleSheetLayoutView="100" workbookViewId="0">
      <pane xSplit="1" ySplit="3" topLeftCell="S16" activePane="bottomRight" state="frozen"/>
      <selection activeCell="B4" sqref="B4"/>
      <selection pane="topRight" activeCell="B4" sqref="B4"/>
      <selection pane="bottomLeft" activeCell="B4" sqref="B4"/>
      <selection pane="bottomRight" activeCell="AC11" sqref="AC11"/>
    </sheetView>
  </sheetViews>
  <sheetFormatPr defaultColWidth="9.140625" defaultRowHeight="12.75"/>
  <cols>
    <col min="1" max="1" width="31.28515625" style="192" customWidth="1"/>
    <col min="2" max="4" width="7.5703125" style="192" customWidth="1"/>
    <col min="5" max="5" width="6.85546875" style="192" customWidth="1"/>
    <col min="6" max="6" width="7.5703125" style="192" customWidth="1"/>
    <col min="7" max="7" width="6.85546875" style="192" customWidth="1"/>
    <col min="8" max="8" width="9.5703125" style="192" customWidth="1"/>
    <col min="9" max="9" width="9.28515625" style="192" customWidth="1"/>
    <col min="10" max="10" width="9" style="192" customWidth="1"/>
    <col min="11" max="11" width="9.85546875" style="192" customWidth="1"/>
    <col min="12" max="12" width="10" style="192" customWidth="1"/>
    <col min="13" max="13" width="10.28515625" style="192" customWidth="1"/>
    <col min="14" max="14" width="6.85546875" style="192" customWidth="1"/>
    <col min="15" max="15" width="8" style="192" customWidth="1"/>
    <col min="16" max="16" width="7.5703125" style="192" customWidth="1"/>
    <col min="17" max="17" width="8" style="192" customWidth="1"/>
    <col min="18" max="18" width="7.85546875" style="192" customWidth="1"/>
    <col min="19" max="19" width="7.5703125" style="192" customWidth="1"/>
    <col min="20" max="20" width="7.140625" style="192" customWidth="1"/>
    <col min="21" max="21" width="7.85546875" style="192" customWidth="1"/>
    <col min="22" max="22" width="7.5703125" style="192" customWidth="1"/>
    <col min="23" max="23" width="7" style="192" customWidth="1"/>
    <col min="24" max="24" width="7.5703125" style="192" customWidth="1"/>
    <col min="25" max="25" width="7.85546875" style="192" customWidth="1"/>
    <col min="26" max="26" width="10" style="192" customWidth="1"/>
    <col min="27" max="27" width="9.85546875" style="192" customWidth="1"/>
    <col min="28" max="28" width="10.42578125" style="192" customWidth="1"/>
    <col min="29" max="29" width="9.5703125" style="192" bestFit="1" customWidth="1"/>
    <col min="30" max="16384" width="9.140625" style="192"/>
  </cols>
  <sheetData>
    <row r="1" spans="1:31" s="653" customFormat="1" ht="63" customHeight="1">
      <c r="A1" s="150" t="s">
        <v>140</v>
      </c>
      <c r="B1" s="779" t="s">
        <v>866</v>
      </c>
      <c r="C1" s="779"/>
      <c r="D1" s="779"/>
      <c r="E1" s="779"/>
      <c r="F1" s="779"/>
      <c r="G1" s="779"/>
      <c r="H1" s="779"/>
      <c r="I1" s="779"/>
      <c r="J1" s="779"/>
      <c r="K1" s="779" t="str">
        <f>B1</f>
        <v>Level-wise Enrolment in various types of Universities 
(Based on actual Response)
(a) Teaching departments and Constituent Units/Off-campus Centres</v>
      </c>
      <c r="L1" s="779"/>
      <c r="M1" s="779"/>
      <c r="N1" s="779"/>
      <c r="O1" s="779"/>
      <c r="P1" s="779"/>
      <c r="Q1" s="779"/>
      <c r="R1" s="779"/>
      <c r="S1" s="779"/>
      <c r="T1" s="779" t="str">
        <f>K1</f>
        <v>Level-wise Enrolment in various types of Universities 
(Based on actual Response)
(a) Teaching departments and Constituent Units/Off-campus Centres</v>
      </c>
      <c r="U1" s="779"/>
      <c r="V1" s="779"/>
      <c r="W1" s="779"/>
      <c r="X1" s="779"/>
      <c r="Y1" s="779"/>
      <c r="Z1" s="779"/>
      <c r="AA1" s="779"/>
      <c r="AB1" s="779"/>
    </row>
    <row r="2" spans="1:31" s="370" customFormat="1" ht="22.15" customHeight="1">
      <c r="A2" s="936" t="s">
        <v>122</v>
      </c>
      <c r="B2" s="936" t="s">
        <v>89</v>
      </c>
      <c r="C2" s="936"/>
      <c r="D2" s="936"/>
      <c r="E2" s="936" t="s">
        <v>90</v>
      </c>
      <c r="F2" s="936"/>
      <c r="G2" s="936"/>
      <c r="H2" s="936" t="s">
        <v>85</v>
      </c>
      <c r="I2" s="936"/>
      <c r="J2" s="936"/>
      <c r="K2" s="936" t="s">
        <v>86</v>
      </c>
      <c r="L2" s="936"/>
      <c r="M2" s="936"/>
      <c r="N2" s="936" t="s">
        <v>91</v>
      </c>
      <c r="O2" s="936"/>
      <c r="P2" s="936"/>
      <c r="Q2" s="936" t="s">
        <v>92</v>
      </c>
      <c r="R2" s="936"/>
      <c r="S2" s="936"/>
      <c r="T2" s="936" t="s">
        <v>93</v>
      </c>
      <c r="U2" s="936"/>
      <c r="V2" s="936"/>
      <c r="W2" s="936" t="s">
        <v>94</v>
      </c>
      <c r="X2" s="936"/>
      <c r="Y2" s="936"/>
      <c r="Z2" s="936" t="s">
        <v>60</v>
      </c>
      <c r="AA2" s="936"/>
      <c r="AB2" s="936"/>
    </row>
    <row r="3" spans="1:31" s="372" customFormat="1" ht="22.15" customHeight="1">
      <c r="A3" s="936"/>
      <c r="B3" s="371" t="s">
        <v>87</v>
      </c>
      <c r="C3" s="371" t="s">
        <v>88</v>
      </c>
      <c r="D3" s="371" t="s">
        <v>12</v>
      </c>
      <c r="E3" s="371" t="s">
        <v>87</v>
      </c>
      <c r="F3" s="371" t="s">
        <v>88</v>
      </c>
      <c r="G3" s="371" t="s">
        <v>12</v>
      </c>
      <c r="H3" s="371" t="s">
        <v>87</v>
      </c>
      <c r="I3" s="371" t="s">
        <v>88</v>
      </c>
      <c r="J3" s="371" t="s">
        <v>12</v>
      </c>
      <c r="K3" s="371" t="s">
        <v>87</v>
      </c>
      <c r="L3" s="371" t="s">
        <v>88</v>
      </c>
      <c r="M3" s="371" t="s">
        <v>12</v>
      </c>
      <c r="N3" s="371" t="s">
        <v>87</v>
      </c>
      <c r="O3" s="371" t="s">
        <v>88</v>
      </c>
      <c r="P3" s="371" t="s">
        <v>12</v>
      </c>
      <c r="Q3" s="371" t="s">
        <v>87</v>
      </c>
      <c r="R3" s="371" t="s">
        <v>88</v>
      </c>
      <c r="S3" s="371" t="s">
        <v>12</v>
      </c>
      <c r="T3" s="371" t="s">
        <v>87</v>
      </c>
      <c r="U3" s="371" t="s">
        <v>88</v>
      </c>
      <c r="V3" s="371" t="s">
        <v>12</v>
      </c>
      <c r="W3" s="371" t="s">
        <v>87</v>
      </c>
      <c r="X3" s="371" t="s">
        <v>88</v>
      </c>
      <c r="Y3" s="371" t="s">
        <v>12</v>
      </c>
      <c r="Z3" s="371" t="s">
        <v>87</v>
      </c>
      <c r="AA3" s="371" t="s">
        <v>88</v>
      </c>
      <c r="AB3" s="371" t="s">
        <v>12</v>
      </c>
    </row>
    <row r="4" spans="1:31" ht="13.9" customHeight="1">
      <c r="A4" s="373">
        <v>1</v>
      </c>
      <c r="B4" s="373">
        <v>2</v>
      </c>
      <c r="C4" s="373">
        <v>3</v>
      </c>
      <c r="D4" s="373">
        <v>4</v>
      </c>
      <c r="E4" s="373">
        <v>5</v>
      </c>
      <c r="F4" s="373">
        <v>6</v>
      </c>
      <c r="G4" s="373">
        <v>7</v>
      </c>
      <c r="H4" s="373">
        <v>8</v>
      </c>
      <c r="I4" s="373">
        <v>9</v>
      </c>
      <c r="J4" s="373">
        <v>10</v>
      </c>
      <c r="K4" s="373">
        <v>11</v>
      </c>
      <c r="L4" s="373">
        <v>12</v>
      </c>
      <c r="M4" s="373">
        <v>13</v>
      </c>
      <c r="N4" s="373">
        <v>14</v>
      </c>
      <c r="O4" s="373">
        <v>15</v>
      </c>
      <c r="P4" s="373">
        <v>16</v>
      </c>
      <c r="Q4" s="373">
        <v>17</v>
      </c>
      <c r="R4" s="373">
        <v>18</v>
      </c>
      <c r="S4" s="373">
        <v>19</v>
      </c>
      <c r="T4" s="373">
        <v>20</v>
      </c>
      <c r="U4" s="373">
        <v>21</v>
      </c>
      <c r="V4" s="373">
        <v>22</v>
      </c>
      <c r="W4" s="373">
        <v>23</v>
      </c>
      <c r="X4" s="373">
        <v>24</v>
      </c>
      <c r="Y4" s="373">
        <v>25</v>
      </c>
      <c r="Z4" s="373">
        <v>26</v>
      </c>
      <c r="AA4" s="373">
        <v>27</v>
      </c>
      <c r="AB4" s="373">
        <v>28</v>
      </c>
    </row>
    <row r="5" spans="1:31" ht="45.6" customHeight="1">
      <c r="A5" s="654" t="s">
        <v>123</v>
      </c>
      <c r="B5" s="375">
        <v>13253</v>
      </c>
      <c r="C5" s="375">
        <v>10941</v>
      </c>
      <c r="D5" s="170">
        <v>24194</v>
      </c>
      <c r="E5" s="375">
        <v>1193</v>
      </c>
      <c r="F5" s="375">
        <v>1083</v>
      </c>
      <c r="G5" s="170">
        <v>2276</v>
      </c>
      <c r="H5" s="375">
        <v>63195</v>
      </c>
      <c r="I5" s="375">
        <v>60610</v>
      </c>
      <c r="J5" s="170">
        <v>123805</v>
      </c>
      <c r="K5" s="375">
        <v>277315</v>
      </c>
      <c r="L5" s="375">
        <v>262955</v>
      </c>
      <c r="M5" s="170">
        <v>540270</v>
      </c>
      <c r="N5" s="375">
        <v>2713</v>
      </c>
      <c r="O5" s="375">
        <v>2235</v>
      </c>
      <c r="P5" s="170">
        <v>4948</v>
      </c>
      <c r="Q5" s="375">
        <v>6127</v>
      </c>
      <c r="R5" s="375">
        <v>2266</v>
      </c>
      <c r="S5" s="170">
        <v>8393</v>
      </c>
      <c r="T5" s="375">
        <v>3275</v>
      </c>
      <c r="U5" s="375">
        <v>1497</v>
      </c>
      <c r="V5" s="170">
        <v>4772</v>
      </c>
      <c r="W5" s="375">
        <v>6295</v>
      </c>
      <c r="X5" s="375">
        <v>5072</v>
      </c>
      <c r="Y5" s="170">
        <v>11367</v>
      </c>
      <c r="Z5" s="170">
        <v>373366</v>
      </c>
      <c r="AA5" s="170">
        <v>346659</v>
      </c>
      <c r="AB5" s="172">
        <v>720025</v>
      </c>
      <c r="AC5" s="377">
        <f>AB5+AB6</f>
        <v>1887361</v>
      </c>
      <c r="AD5" s="376">
        <f>MAX(AC5:AC15)</f>
        <v>6251007</v>
      </c>
      <c r="AE5" s="377">
        <f>D5/$D$16%</f>
        <v>13.601610110413997</v>
      </c>
    </row>
    <row r="6" spans="1:31" ht="45.6" customHeight="1">
      <c r="A6" s="654" t="s">
        <v>124</v>
      </c>
      <c r="B6" s="375">
        <v>21</v>
      </c>
      <c r="C6" s="375">
        <v>52</v>
      </c>
      <c r="D6" s="170">
        <v>73</v>
      </c>
      <c r="E6" s="375">
        <v>1</v>
      </c>
      <c r="F6" s="375">
        <v>0</v>
      </c>
      <c r="G6" s="170">
        <v>1</v>
      </c>
      <c r="H6" s="375">
        <v>169982</v>
      </c>
      <c r="I6" s="375">
        <v>226624</v>
      </c>
      <c r="J6" s="170">
        <v>396606</v>
      </c>
      <c r="K6" s="375">
        <v>447586</v>
      </c>
      <c r="L6" s="375">
        <v>260436</v>
      </c>
      <c r="M6" s="170">
        <v>708022</v>
      </c>
      <c r="N6" s="375">
        <v>18123</v>
      </c>
      <c r="O6" s="375">
        <v>10989</v>
      </c>
      <c r="P6" s="170">
        <v>29112</v>
      </c>
      <c r="Q6" s="375">
        <v>9732</v>
      </c>
      <c r="R6" s="375">
        <v>23299</v>
      </c>
      <c r="S6" s="170">
        <v>33031</v>
      </c>
      <c r="T6" s="375">
        <v>223</v>
      </c>
      <c r="U6" s="375">
        <v>268</v>
      </c>
      <c r="V6" s="170">
        <v>491</v>
      </c>
      <c r="W6" s="375">
        <v>0</v>
      </c>
      <c r="X6" s="375">
        <v>0</v>
      </c>
      <c r="Y6" s="170">
        <v>0</v>
      </c>
      <c r="Z6" s="170">
        <v>645668</v>
      </c>
      <c r="AA6" s="170">
        <v>521668</v>
      </c>
      <c r="AB6" s="172">
        <v>1167336</v>
      </c>
      <c r="AC6" s="376">
        <f>AB16-AC5</f>
        <v>6251007</v>
      </c>
      <c r="AD6" s="376">
        <f t="shared" ref="AD6:AD20" si="0">AA6/AB6*100</f>
        <v>44.688761419162951</v>
      </c>
      <c r="AE6" s="377">
        <f t="shared" ref="AE6:AE16" si="1">D6/$D$16%</f>
        <v>4.1039825496413232E-2</v>
      </c>
    </row>
    <row r="7" spans="1:31" ht="45.6" customHeight="1">
      <c r="A7" s="655" t="s">
        <v>125</v>
      </c>
      <c r="B7" s="375">
        <v>27993</v>
      </c>
      <c r="C7" s="375">
        <v>13305</v>
      </c>
      <c r="D7" s="170">
        <v>41298</v>
      </c>
      <c r="E7" s="375">
        <v>78</v>
      </c>
      <c r="F7" s="375">
        <v>172</v>
      </c>
      <c r="G7" s="170">
        <v>250</v>
      </c>
      <c r="H7" s="375">
        <v>62418</v>
      </c>
      <c r="I7" s="375">
        <v>21405</v>
      </c>
      <c r="J7" s="170">
        <v>83823</v>
      </c>
      <c r="K7" s="375">
        <v>112467</v>
      </c>
      <c r="L7" s="375">
        <v>32401</v>
      </c>
      <c r="M7" s="170">
        <v>144868</v>
      </c>
      <c r="N7" s="375">
        <v>992</v>
      </c>
      <c r="O7" s="375">
        <v>517</v>
      </c>
      <c r="P7" s="170">
        <v>1509</v>
      </c>
      <c r="Q7" s="375">
        <v>242</v>
      </c>
      <c r="R7" s="375">
        <v>90</v>
      </c>
      <c r="S7" s="170">
        <v>332</v>
      </c>
      <c r="T7" s="375">
        <v>1775</v>
      </c>
      <c r="U7" s="375">
        <v>567</v>
      </c>
      <c r="V7" s="170">
        <v>2342</v>
      </c>
      <c r="W7" s="375">
        <v>14819</v>
      </c>
      <c r="X7" s="375">
        <v>4095</v>
      </c>
      <c r="Y7" s="170">
        <v>18914</v>
      </c>
      <c r="Z7" s="170">
        <v>220784</v>
      </c>
      <c r="AA7" s="170">
        <v>72552</v>
      </c>
      <c r="AB7" s="172">
        <v>293336</v>
      </c>
      <c r="AC7" s="377">
        <f t="shared" ref="AC7:AC16" si="2">AA7/AB7*100</f>
        <v>24.733411514440778</v>
      </c>
      <c r="AD7" s="376">
        <f t="shared" si="0"/>
        <v>24.733411514440778</v>
      </c>
      <c r="AE7" s="377">
        <f t="shared" si="1"/>
        <v>23.217297443162654</v>
      </c>
    </row>
    <row r="8" spans="1:31" ht="45.6" customHeight="1">
      <c r="A8" s="654" t="s">
        <v>126</v>
      </c>
      <c r="B8" s="375">
        <v>27086</v>
      </c>
      <c r="C8" s="375">
        <v>25922</v>
      </c>
      <c r="D8" s="170">
        <v>53008</v>
      </c>
      <c r="E8" s="375">
        <v>3925</v>
      </c>
      <c r="F8" s="375">
        <v>6442</v>
      </c>
      <c r="G8" s="170">
        <v>10367</v>
      </c>
      <c r="H8" s="375">
        <v>387245</v>
      </c>
      <c r="I8" s="375">
        <v>540175</v>
      </c>
      <c r="J8" s="170">
        <v>927420</v>
      </c>
      <c r="K8" s="375">
        <v>768433</v>
      </c>
      <c r="L8" s="375">
        <v>629094</v>
      </c>
      <c r="M8" s="170">
        <v>1397527</v>
      </c>
      <c r="N8" s="375">
        <v>29517</v>
      </c>
      <c r="O8" s="375">
        <v>27798</v>
      </c>
      <c r="P8" s="170">
        <v>57315</v>
      </c>
      <c r="Q8" s="375">
        <v>39233</v>
      </c>
      <c r="R8" s="375">
        <v>27092</v>
      </c>
      <c r="S8" s="170">
        <v>66325</v>
      </c>
      <c r="T8" s="375">
        <v>10200</v>
      </c>
      <c r="U8" s="375">
        <v>14557</v>
      </c>
      <c r="V8" s="170">
        <v>24757</v>
      </c>
      <c r="W8" s="375">
        <v>22021</v>
      </c>
      <c r="X8" s="375">
        <v>19733</v>
      </c>
      <c r="Y8" s="170">
        <v>41754</v>
      </c>
      <c r="Z8" s="170">
        <v>1287660</v>
      </c>
      <c r="AA8" s="170">
        <v>1290813</v>
      </c>
      <c r="AB8" s="172">
        <v>2578473</v>
      </c>
      <c r="AC8" s="377">
        <f>AB8+AB9+AB12</f>
        <v>3792585</v>
      </c>
      <c r="AD8" s="376">
        <f t="shared" si="0"/>
        <v>50.06114083800761</v>
      </c>
      <c r="AE8" s="377">
        <f t="shared" si="1"/>
        <v>29.800535204299624</v>
      </c>
    </row>
    <row r="9" spans="1:31" ht="45.6" customHeight="1">
      <c r="A9" s="654" t="s">
        <v>127</v>
      </c>
      <c r="B9" s="375">
        <v>112</v>
      </c>
      <c r="C9" s="375">
        <v>71</v>
      </c>
      <c r="D9" s="170">
        <v>183</v>
      </c>
      <c r="E9" s="375">
        <v>14</v>
      </c>
      <c r="F9" s="375">
        <v>11</v>
      </c>
      <c r="G9" s="170">
        <v>25</v>
      </c>
      <c r="H9" s="375">
        <v>97882</v>
      </c>
      <c r="I9" s="375">
        <v>97968</v>
      </c>
      <c r="J9" s="170">
        <v>195850</v>
      </c>
      <c r="K9" s="375">
        <v>584872</v>
      </c>
      <c r="L9" s="375">
        <v>338072</v>
      </c>
      <c r="M9" s="170">
        <v>922944</v>
      </c>
      <c r="N9" s="375">
        <v>8266</v>
      </c>
      <c r="O9" s="375">
        <v>7616</v>
      </c>
      <c r="P9" s="170">
        <v>15882</v>
      </c>
      <c r="Q9" s="375">
        <v>28729</v>
      </c>
      <c r="R9" s="375">
        <v>22808</v>
      </c>
      <c r="S9" s="170">
        <v>51537</v>
      </c>
      <c r="T9" s="375">
        <v>12800</v>
      </c>
      <c r="U9" s="375">
        <v>8839</v>
      </c>
      <c r="V9" s="170">
        <v>21639</v>
      </c>
      <c r="W9" s="375">
        <v>0</v>
      </c>
      <c r="X9" s="375">
        <v>0</v>
      </c>
      <c r="Y9" s="170">
        <v>0</v>
      </c>
      <c r="Z9" s="170">
        <v>732675</v>
      </c>
      <c r="AA9" s="170">
        <v>475385</v>
      </c>
      <c r="AB9" s="172">
        <v>1208060</v>
      </c>
      <c r="AC9" s="376">
        <f t="shared" si="2"/>
        <v>39.351108388656193</v>
      </c>
      <c r="AD9" s="376">
        <f t="shared" si="0"/>
        <v>39.351108388656193</v>
      </c>
      <c r="AE9" s="377">
        <f t="shared" si="1"/>
        <v>0.102880658436214</v>
      </c>
    </row>
    <row r="10" spans="1:31" ht="45.6" customHeight="1">
      <c r="A10" s="654" t="s">
        <v>128</v>
      </c>
      <c r="B10" s="375">
        <v>12063</v>
      </c>
      <c r="C10" s="375">
        <v>11343</v>
      </c>
      <c r="D10" s="170">
        <v>23406</v>
      </c>
      <c r="E10" s="375">
        <v>644</v>
      </c>
      <c r="F10" s="375">
        <v>549</v>
      </c>
      <c r="G10" s="170">
        <v>1193</v>
      </c>
      <c r="H10" s="375">
        <v>129672</v>
      </c>
      <c r="I10" s="375">
        <v>93921</v>
      </c>
      <c r="J10" s="170">
        <v>223593</v>
      </c>
      <c r="K10" s="375">
        <v>568894</v>
      </c>
      <c r="L10" s="375">
        <v>278146</v>
      </c>
      <c r="M10" s="170">
        <v>847040</v>
      </c>
      <c r="N10" s="375">
        <v>10593</v>
      </c>
      <c r="O10" s="375">
        <v>10023</v>
      </c>
      <c r="P10" s="170">
        <v>20616</v>
      </c>
      <c r="Q10" s="375">
        <v>79832</v>
      </c>
      <c r="R10" s="375">
        <v>24946</v>
      </c>
      <c r="S10" s="170">
        <v>104778</v>
      </c>
      <c r="T10" s="375">
        <v>3164</v>
      </c>
      <c r="U10" s="375">
        <v>1197</v>
      </c>
      <c r="V10" s="170">
        <v>4361</v>
      </c>
      <c r="W10" s="375">
        <v>28845</v>
      </c>
      <c r="X10" s="375">
        <v>22369</v>
      </c>
      <c r="Y10" s="170">
        <v>51214</v>
      </c>
      <c r="Z10" s="170">
        <v>833707</v>
      </c>
      <c r="AA10" s="170">
        <v>442494</v>
      </c>
      <c r="AB10" s="172">
        <v>1276201</v>
      </c>
      <c r="AC10" s="377">
        <f t="shared" si="2"/>
        <v>34.672751392609783</v>
      </c>
      <c r="AD10" s="376">
        <f t="shared" si="0"/>
        <v>34.672751392609783</v>
      </c>
      <c r="AE10" s="377">
        <f t="shared" si="1"/>
        <v>13.158604870808878</v>
      </c>
    </row>
    <row r="11" spans="1:31" ht="45.6" customHeight="1">
      <c r="A11" s="654" t="s">
        <v>136</v>
      </c>
      <c r="B11" s="375">
        <v>32</v>
      </c>
      <c r="C11" s="375">
        <v>48</v>
      </c>
      <c r="D11" s="170">
        <v>80</v>
      </c>
      <c r="E11" s="375">
        <v>20</v>
      </c>
      <c r="F11" s="375">
        <v>25</v>
      </c>
      <c r="G11" s="170">
        <v>45</v>
      </c>
      <c r="H11" s="375">
        <v>487</v>
      </c>
      <c r="I11" s="375">
        <v>916</v>
      </c>
      <c r="J11" s="170">
        <v>1403</v>
      </c>
      <c r="K11" s="375">
        <v>1138</v>
      </c>
      <c r="L11" s="375">
        <v>1443</v>
      </c>
      <c r="M11" s="170">
        <v>2581</v>
      </c>
      <c r="N11" s="375">
        <v>51</v>
      </c>
      <c r="O11" s="375">
        <v>67</v>
      </c>
      <c r="P11" s="170">
        <v>118</v>
      </c>
      <c r="Q11" s="375">
        <v>0</v>
      </c>
      <c r="R11" s="375">
        <v>0</v>
      </c>
      <c r="S11" s="170">
        <v>0</v>
      </c>
      <c r="T11" s="375">
        <v>0</v>
      </c>
      <c r="U11" s="375">
        <v>0</v>
      </c>
      <c r="V11" s="170">
        <v>0</v>
      </c>
      <c r="W11" s="375">
        <v>0</v>
      </c>
      <c r="X11" s="375">
        <v>0</v>
      </c>
      <c r="Y11" s="170">
        <v>0</v>
      </c>
      <c r="Z11" s="170">
        <v>1728</v>
      </c>
      <c r="AA11" s="170">
        <v>2499</v>
      </c>
      <c r="AB11" s="172">
        <v>4227</v>
      </c>
      <c r="AC11" s="376">
        <f>AB11+AB10</f>
        <v>1280428</v>
      </c>
      <c r="AD11" s="376">
        <f t="shared" si="0"/>
        <v>59.11994322214337</v>
      </c>
      <c r="AE11" s="377">
        <f t="shared" si="1"/>
        <v>4.4975151228946006E-2</v>
      </c>
    </row>
    <row r="12" spans="1:31" ht="45.6" customHeight="1">
      <c r="A12" s="654" t="s">
        <v>129</v>
      </c>
      <c r="B12" s="375">
        <v>223</v>
      </c>
      <c r="C12" s="375">
        <v>58</v>
      </c>
      <c r="D12" s="170">
        <v>281</v>
      </c>
      <c r="E12" s="375">
        <v>0</v>
      </c>
      <c r="F12" s="375">
        <v>0</v>
      </c>
      <c r="G12" s="170">
        <v>0</v>
      </c>
      <c r="H12" s="375">
        <v>628</v>
      </c>
      <c r="I12" s="375">
        <v>595</v>
      </c>
      <c r="J12" s="170">
        <v>1223</v>
      </c>
      <c r="K12" s="375">
        <v>1389</v>
      </c>
      <c r="L12" s="375">
        <v>2755</v>
      </c>
      <c r="M12" s="170">
        <v>4144</v>
      </c>
      <c r="N12" s="375">
        <v>26</v>
      </c>
      <c r="O12" s="375">
        <v>56</v>
      </c>
      <c r="P12" s="170">
        <v>82</v>
      </c>
      <c r="Q12" s="375">
        <v>46</v>
      </c>
      <c r="R12" s="375">
        <v>193</v>
      </c>
      <c r="S12" s="170">
        <v>239</v>
      </c>
      <c r="T12" s="375">
        <v>38</v>
      </c>
      <c r="U12" s="375">
        <v>45</v>
      </c>
      <c r="V12" s="170">
        <v>83</v>
      </c>
      <c r="W12" s="375">
        <v>0</v>
      </c>
      <c r="X12" s="375">
        <v>0</v>
      </c>
      <c r="Y12" s="170">
        <v>0</v>
      </c>
      <c r="Z12" s="170">
        <v>2350</v>
      </c>
      <c r="AA12" s="170">
        <v>3702</v>
      </c>
      <c r="AB12" s="172">
        <v>6052</v>
      </c>
      <c r="AC12" s="377">
        <f t="shared" si="2"/>
        <v>61.169861202908123</v>
      </c>
      <c r="AD12" s="376">
        <f t="shared" si="0"/>
        <v>61.169861202908123</v>
      </c>
      <c r="AE12" s="377">
        <f t="shared" si="1"/>
        <v>0.15797521869167286</v>
      </c>
    </row>
    <row r="13" spans="1:31" ht="45.6" customHeight="1">
      <c r="A13" s="654" t="s">
        <v>130</v>
      </c>
      <c r="B13" s="375">
        <v>5341</v>
      </c>
      <c r="C13" s="375">
        <v>2627</v>
      </c>
      <c r="D13" s="170">
        <v>7968</v>
      </c>
      <c r="E13" s="375">
        <v>138</v>
      </c>
      <c r="F13" s="375">
        <v>144</v>
      </c>
      <c r="G13" s="170">
        <v>282</v>
      </c>
      <c r="H13" s="375">
        <v>7663</v>
      </c>
      <c r="I13" s="375">
        <v>4793</v>
      </c>
      <c r="J13" s="170">
        <v>12456</v>
      </c>
      <c r="K13" s="375">
        <v>10000</v>
      </c>
      <c r="L13" s="375">
        <v>4539</v>
      </c>
      <c r="M13" s="170">
        <v>14539</v>
      </c>
      <c r="N13" s="375">
        <v>488</v>
      </c>
      <c r="O13" s="375">
        <v>239</v>
      </c>
      <c r="P13" s="170">
        <v>727</v>
      </c>
      <c r="Q13" s="375">
        <v>1609</v>
      </c>
      <c r="R13" s="375">
        <v>515</v>
      </c>
      <c r="S13" s="170">
        <v>2124</v>
      </c>
      <c r="T13" s="375">
        <v>374</v>
      </c>
      <c r="U13" s="375">
        <v>187</v>
      </c>
      <c r="V13" s="170">
        <v>561</v>
      </c>
      <c r="W13" s="375">
        <v>839</v>
      </c>
      <c r="X13" s="375">
        <v>231</v>
      </c>
      <c r="Y13" s="170">
        <v>1070</v>
      </c>
      <c r="Z13" s="170">
        <v>26452</v>
      </c>
      <c r="AA13" s="170">
        <v>13275</v>
      </c>
      <c r="AB13" s="172">
        <v>39727</v>
      </c>
      <c r="AC13" s="377">
        <f t="shared" si="2"/>
        <v>33.415561205225664</v>
      </c>
      <c r="AD13" s="376">
        <f t="shared" si="0"/>
        <v>33.415561205225664</v>
      </c>
      <c r="AE13" s="377">
        <f t="shared" si="1"/>
        <v>4.4795250624030221</v>
      </c>
    </row>
    <row r="14" spans="1:31" ht="45.6" customHeight="1">
      <c r="A14" s="654" t="s">
        <v>131</v>
      </c>
      <c r="B14" s="375">
        <v>997</v>
      </c>
      <c r="C14" s="375">
        <v>1654</v>
      </c>
      <c r="D14" s="170">
        <v>2651</v>
      </c>
      <c r="E14" s="375">
        <v>145</v>
      </c>
      <c r="F14" s="375">
        <v>290</v>
      </c>
      <c r="G14" s="170">
        <v>435</v>
      </c>
      <c r="H14" s="375">
        <v>5542</v>
      </c>
      <c r="I14" s="375">
        <v>6900</v>
      </c>
      <c r="J14" s="170">
        <v>12442</v>
      </c>
      <c r="K14" s="375">
        <v>16704</v>
      </c>
      <c r="L14" s="375">
        <v>17252</v>
      </c>
      <c r="M14" s="170">
        <v>33956</v>
      </c>
      <c r="N14" s="375">
        <v>317</v>
      </c>
      <c r="O14" s="375">
        <v>276</v>
      </c>
      <c r="P14" s="170">
        <v>593</v>
      </c>
      <c r="Q14" s="375">
        <v>2756</v>
      </c>
      <c r="R14" s="375">
        <v>917</v>
      </c>
      <c r="S14" s="170">
        <v>3673</v>
      </c>
      <c r="T14" s="375">
        <v>803</v>
      </c>
      <c r="U14" s="375">
        <v>702</v>
      </c>
      <c r="V14" s="170">
        <v>1505</v>
      </c>
      <c r="W14" s="375">
        <v>384</v>
      </c>
      <c r="X14" s="375">
        <v>530</v>
      </c>
      <c r="Y14" s="170">
        <v>914</v>
      </c>
      <c r="Z14" s="170">
        <v>27648</v>
      </c>
      <c r="AA14" s="170">
        <v>28521</v>
      </c>
      <c r="AB14" s="172">
        <v>56169</v>
      </c>
      <c r="AC14" s="376">
        <f>AB13+AB14</f>
        <v>95896</v>
      </c>
      <c r="AD14" s="376">
        <f t="shared" si="0"/>
        <v>50.777119051434063</v>
      </c>
      <c r="AE14" s="377">
        <f t="shared" si="1"/>
        <v>1.4903640738491983</v>
      </c>
    </row>
    <row r="15" spans="1:31" ht="45.6" customHeight="1">
      <c r="A15" s="654" t="s">
        <v>132</v>
      </c>
      <c r="B15" s="375">
        <v>12538</v>
      </c>
      <c r="C15" s="375">
        <v>12196</v>
      </c>
      <c r="D15" s="170">
        <v>24734</v>
      </c>
      <c r="E15" s="375">
        <v>303</v>
      </c>
      <c r="F15" s="375">
        <v>697</v>
      </c>
      <c r="G15" s="170">
        <v>1000</v>
      </c>
      <c r="H15" s="375">
        <v>58752</v>
      </c>
      <c r="I15" s="375">
        <v>59178</v>
      </c>
      <c r="J15" s="170">
        <v>117930</v>
      </c>
      <c r="K15" s="375">
        <v>371741</v>
      </c>
      <c r="L15" s="375">
        <v>234714</v>
      </c>
      <c r="M15" s="170">
        <v>606455</v>
      </c>
      <c r="N15" s="375">
        <v>3546</v>
      </c>
      <c r="O15" s="375">
        <v>3237</v>
      </c>
      <c r="P15" s="170">
        <v>6783</v>
      </c>
      <c r="Q15" s="375">
        <v>3687</v>
      </c>
      <c r="R15" s="375">
        <v>2039</v>
      </c>
      <c r="S15" s="170">
        <v>5726</v>
      </c>
      <c r="T15" s="375">
        <v>146</v>
      </c>
      <c r="U15" s="375">
        <v>192</v>
      </c>
      <c r="V15" s="170">
        <v>338</v>
      </c>
      <c r="W15" s="375">
        <v>14519</v>
      </c>
      <c r="X15" s="375">
        <v>11277</v>
      </c>
      <c r="Y15" s="170">
        <v>25796</v>
      </c>
      <c r="Z15" s="170">
        <v>465232</v>
      </c>
      <c r="AA15" s="170">
        <v>323530</v>
      </c>
      <c r="AB15" s="172">
        <v>788762</v>
      </c>
      <c r="AC15" s="376">
        <f t="shared" si="2"/>
        <v>41.017442523853838</v>
      </c>
      <c r="AD15" s="376">
        <f t="shared" si="0"/>
        <v>41.017442523853838</v>
      </c>
      <c r="AE15" s="377">
        <f t="shared" si="1"/>
        <v>13.905192381209382</v>
      </c>
    </row>
    <row r="16" spans="1:31" s="378" customFormat="1" ht="45.6" customHeight="1">
      <c r="A16" s="654" t="s">
        <v>60</v>
      </c>
      <c r="B16" s="482">
        <f t="shared" ref="B16:AB16" si="3">SUM(B5:B15)</f>
        <v>99659</v>
      </c>
      <c r="C16" s="482">
        <f t="shared" si="3"/>
        <v>78217</v>
      </c>
      <c r="D16" s="482">
        <f t="shared" si="3"/>
        <v>177876</v>
      </c>
      <c r="E16" s="482">
        <f t="shared" si="3"/>
        <v>6461</v>
      </c>
      <c r="F16" s="482">
        <f t="shared" si="3"/>
        <v>9413</v>
      </c>
      <c r="G16" s="482">
        <f t="shared" si="3"/>
        <v>15874</v>
      </c>
      <c r="H16" s="482">
        <f t="shared" si="3"/>
        <v>983466</v>
      </c>
      <c r="I16" s="482">
        <f t="shared" si="3"/>
        <v>1113085</v>
      </c>
      <c r="J16" s="482">
        <f t="shared" si="3"/>
        <v>2096551</v>
      </c>
      <c r="K16" s="482">
        <f t="shared" si="3"/>
        <v>3160539</v>
      </c>
      <c r="L16" s="482">
        <f t="shared" si="3"/>
        <v>2061807</v>
      </c>
      <c r="M16" s="482">
        <f t="shared" si="3"/>
        <v>5222346</v>
      </c>
      <c r="N16" s="482">
        <f t="shared" si="3"/>
        <v>74632</v>
      </c>
      <c r="O16" s="482">
        <f t="shared" si="3"/>
        <v>63053</v>
      </c>
      <c r="P16" s="482">
        <f t="shared" si="3"/>
        <v>137685</v>
      </c>
      <c r="Q16" s="482">
        <f t="shared" si="3"/>
        <v>171993</v>
      </c>
      <c r="R16" s="482">
        <f t="shared" si="3"/>
        <v>104165</v>
      </c>
      <c r="S16" s="482">
        <f t="shared" si="3"/>
        <v>276158</v>
      </c>
      <c r="T16" s="482">
        <f t="shared" si="3"/>
        <v>32798</v>
      </c>
      <c r="U16" s="482">
        <f t="shared" si="3"/>
        <v>28051</v>
      </c>
      <c r="V16" s="482">
        <f t="shared" si="3"/>
        <v>60849</v>
      </c>
      <c r="W16" s="482">
        <f t="shared" si="3"/>
        <v>87722</v>
      </c>
      <c r="X16" s="482">
        <f t="shared" si="3"/>
        <v>63307</v>
      </c>
      <c r="Y16" s="482">
        <f t="shared" si="3"/>
        <v>151029</v>
      </c>
      <c r="Z16" s="482">
        <f t="shared" si="3"/>
        <v>4617270</v>
      </c>
      <c r="AA16" s="482">
        <f t="shared" si="3"/>
        <v>3521098</v>
      </c>
      <c r="AB16" s="482">
        <f t="shared" si="3"/>
        <v>8138368</v>
      </c>
      <c r="AC16" s="376">
        <f t="shared" si="2"/>
        <v>43.265406528679954</v>
      </c>
      <c r="AD16" s="376">
        <f t="shared" si="0"/>
        <v>43.265406528679954</v>
      </c>
      <c r="AE16" s="377">
        <f t="shared" si="1"/>
        <v>100</v>
      </c>
    </row>
    <row r="17" spans="1:30" s="651" customFormat="1" ht="54" customHeight="1">
      <c r="A17" s="649" t="s">
        <v>140</v>
      </c>
      <c r="B17" s="935" t="s">
        <v>867</v>
      </c>
      <c r="C17" s="935"/>
      <c r="D17" s="935"/>
      <c r="E17" s="935"/>
      <c r="F17" s="935"/>
      <c r="G17" s="935"/>
      <c r="H17" s="935"/>
      <c r="I17" s="935"/>
      <c r="J17" s="935"/>
      <c r="K17" s="935" t="str">
        <f>B17</f>
        <v>Level-wise Enrolment in various types of Universities 
(Based on actual Response)
(b) Affiliated and Constituent Colleges</v>
      </c>
      <c r="L17" s="935"/>
      <c r="M17" s="935"/>
      <c r="N17" s="935"/>
      <c r="O17" s="935"/>
      <c r="P17" s="935"/>
      <c r="Q17" s="935"/>
      <c r="R17" s="935"/>
      <c r="S17" s="935"/>
      <c r="T17" s="935" t="str">
        <f>K17</f>
        <v>Level-wise Enrolment in various types of Universities 
(Based on actual Response)
(b) Affiliated and Constituent Colleges</v>
      </c>
      <c r="U17" s="935"/>
      <c r="V17" s="935"/>
      <c r="W17" s="935"/>
      <c r="X17" s="935"/>
      <c r="Y17" s="935"/>
      <c r="Z17" s="935"/>
      <c r="AA17" s="935"/>
      <c r="AB17" s="935"/>
      <c r="AC17" s="650"/>
      <c r="AD17" s="650"/>
    </row>
    <row r="18" spans="1:30" ht="45.6" customHeight="1">
      <c r="A18" s="654" t="s">
        <v>123</v>
      </c>
      <c r="B18" s="379">
        <v>198</v>
      </c>
      <c r="C18" s="379">
        <v>269</v>
      </c>
      <c r="D18" s="209">
        <v>467</v>
      </c>
      <c r="E18" s="379">
        <v>19</v>
      </c>
      <c r="F18" s="379">
        <v>55</v>
      </c>
      <c r="G18" s="209">
        <v>74</v>
      </c>
      <c r="H18" s="380">
        <v>13503</v>
      </c>
      <c r="I18" s="380">
        <v>23884</v>
      </c>
      <c r="J18" s="209">
        <v>37387</v>
      </c>
      <c r="K18" s="380">
        <v>340118</v>
      </c>
      <c r="L18" s="380">
        <v>396505</v>
      </c>
      <c r="M18" s="209">
        <v>736623</v>
      </c>
      <c r="N18" s="380">
        <v>455</v>
      </c>
      <c r="O18" s="380">
        <v>577</v>
      </c>
      <c r="P18" s="209">
        <v>1032</v>
      </c>
      <c r="Q18" s="380">
        <v>7143</v>
      </c>
      <c r="R18" s="380">
        <v>3478</v>
      </c>
      <c r="S18" s="209">
        <v>10621</v>
      </c>
      <c r="T18" s="380">
        <v>790</v>
      </c>
      <c r="U18" s="380">
        <v>964</v>
      </c>
      <c r="V18" s="209">
        <v>1754</v>
      </c>
      <c r="W18" s="380">
        <v>511</v>
      </c>
      <c r="X18" s="380">
        <v>643</v>
      </c>
      <c r="Y18" s="209">
        <v>1154</v>
      </c>
      <c r="Z18" s="200">
        <v>362737</v>
      </c>
      <c r="AA18" s="200">
        <v>426375</v>
      </c>
      <c r="AB18" s="171">
        <v>789112</v>
      </c>
      <c r="AC18" s="376">
        <v>759843</v>
      </c>
      <c r="AD18" s="376">
        <f t="shared" si="0"/>
        <v>54.032253976621824</v>
      </c>
    </row>
    <row r="19" spans="1:30" ht="45.6" customHeight="1">
      <c r="A19" s="654" t="s">
        <v>126</v>
      </c>
      <c r="B19" s="379">
        <v>11348</v>
      </c>
      <c r="C19" s="379">
        <v>12370</v>
      </c>
      <c r="D19" s="209">
        <v>23718</v>
      </c>
      <c r="E19" s="379">
        <v>2549</v>
      </c>
      <c r="F19" s="379">
        <v>5405</v>
      </c>
      <c r="G19" s="209">
        <v>7954</v>
      </c>
      <c r="H19" s="380">
        <v>818411</v>
      </c>
      <c r="I19" s="380">
        <v>1265515</v>
      </c>
      <c r="J19" s="209">
        <v>2083926</v>
      </c>
      <c r="K19" s="380">
        <v>11525153</v>
      </c>
      <c r="L19" s="380">
        <v>11991530</v>
      </c>
      <c r="M19" s="209">
        <v>23516683</v>
      </c>
      <c r="N19" s="380">
        <v>20791</v>
      </c>
      <c r="O19" s="380">
        <v>24186</v>
      </c>
      <c r="P19" s="209">
        <v>44977</v>
      </c>
      <c r="Q19" s="380">
        <v>292918</v>
      </c>
      <c r="R19" s="380">
        <v>182414</v>
      </c>
      <c r="S19" s="209">
        <v>475332</v>
      </c>
      <c r="T19" s="380">
        <v>27071</v>
      </c>
      <c r="U19" s="380">
        <v>36892</v>
      </c>
      <c r="V19" s="209">
        <v>63963</v>
      </c>
      <c r="W19" s="380">
        <v>80422</v>
      </c>
      <c r="X19" s="380">
        <v>67652</v>
      </c>
      <c r="Y19" s="209">
        <v>148074</v>
      </c>
      <c r="Z19" s="200">
        <v>12778663</v>
      </c>
      <c r="AA19" s="200">
        <v>13585964</v>
      </c>
      <c r="AB19" s="171">
        <v>26364627</v>
      </c>
      <c r="AC19" s="376">
        <v>25792458</v>
      </c>
      <c r="AD19" s="376">
        <f t="shared" si="0"/>
        <v>51.531030573654611</v>
      </c>
    </row>
    <row r="20" spans="1:30" ht="45.6" customHeight="1">
      <c r="A20" s="654" t="s">
        <v>60</v>
      </c>
      <c r="B20" s="482">
        <f>SUM(B18:B19)</f>
        <v>11546</v>
      </c>
      <c r="C20" s="482">
        <f t="shared" ref="C20:AB20" si="4">SUM(C18:C19)</f>
        <v>12639</v>
      </c>
      <c r="D20" s="482">
        <f t="shared" si="4"/>
        <v>24185</v>
      </c>
      <c r="E20" s="482">
        <f t="shared" si="4"/>
        <v>2568</v>
      </c>
      <c r="F20" s="482">
        <f t="shared" si="4"/>
        <v>5460</v>
      </c>
      <c r="G20" s="482">
        <f t="shared" si="4"/>
        <v>8028</v>
      </c>
      <c r="H20" s="483">
        <f t="shared" si="4"/>
        <v>831914</v>
      </c>
      <c r="I20" s="483">
        <f t="shared" si="4"/>
        <v>1289399</v>
      </c>
      <c r="J20" s="483">
        <f t="shared" si="4"/>
        <v>2121313</v>
      </c>
      <c r="K20" s="483">
        <f t="shared" si="4"/>
        <v>11865271</v>
      </c>
      <c r="L20" s="483">
        <f t="shared" si="4"/>
        <v>12388035</v>
      </c>
      <c r="M20" s="483">
        <f t="shared" si="4"/>
        <v>24253306</v>
      </c>
      <c r="N20" s="483">
        <f t="shared" si="4"/>
        <v>21246</v>
      </c>
      <c r="O20" s="483">
        <f t="shared" si="4"/>
        <v>24763</v>
      </c>
      <c r="P20" s="483">
        <f t="shared" si="4"/>
        <v>46009</v>
      </c>
      <c r="Q20" s="483">
        <f t="shared" si="4"/>
        <v>300061</v>
      </c>
      <c r="R20" s="483">
        <f t="shared" si="4"/>
        <v>185892</v>
      </c>
      <c r="S20" s="483">
        <f t="shared" si="4"/>
        <v>485953</v>
      </c>
      <c r="T20" s="483">
        <f t="shared" si="4"/>
        <v>27861</v>
      </c>
      <c r="U20" s="483">
        <f t="shared" si="4"/>
        <v>37856</v>
      </c>
      <c r="V20" s="483">
        <f t="shared" si="4"/>
        <v>65717</v>
      </c>
      <c r="W20" s="483">
        <f t="shared" si="4"/>
        <v>80933</v>
      </c>
      <c r="X20" s="483">
        <f t="shared" si="4"/>
        <v>68295</v>
      </c>
      <c r="Y20" s="483">
        <f t="shared" si="4"/>
        <v>149228</v>
      </c>
      <c r="Z20" s="482">
        <f t="shared" si="4"/>
        <v>13141400</v>
      </c>
      <c r="AA20" s="482">
        <f t="shared" si="4"/>
        <v>14012339</v>
      </c>
      <c r="AB20" s="482">
        <f t="shared" si="4"/>
        <v>27153739</v>
      </c>
      <c r="AC20" s="376">
        <f t="shared" ref="AC20" si="5">M20/AB20%</f>
        <v>89.318476545716223</v>
      </c>
      <c r="AD20" s="376">
        <f t="shared" si="0"/>
        <v>51.603718368214416</v>
      </c>
    </row>
  </sheetData>
  <mergeCells count="16">
    <mergeCell ref="A2:A3"/>
    <mergeCell ref="B2:D2"/>
    <mergeCell ref="E2:G2"/>
    <mergeCell ref="H2:J2"/>
    <mergeCell ref="K2:M2"/>
    <mergeCell ref="B17:J17"/>
    <mergeCell ref="K17:S17"/>
    <mergeCell ref="T17:AB17"/>
    <mergeCell ref="B1:J1"/>
    <mergeCell ref="K1:S1"/>
    <mergeCell ref="T1:AB1"/>
    <mergeCell ref="N2:P2"/>
    <mergeCell ref="Q2:S2"/>
    <mergeCell ref="T2:V2"/>
    <mergeCell ref="W2:Y2"/>
    <mergeCell ref="Z2:AB2"/>
  </mergeCells>
  <pageMargins left="0.5" right="0.5" top="0.5" bottom="0.5" header="0.31496062992126" footer="0.31496062992126"/>
  <pageSetup paperSize="9" scale="88" firstPageNumber="87" orientation="portrait" useFirstPageNumber="1" r:id="rId1"/>
  <headerFooter>
    <oddFooter>&amp;L      AISHE 2019-20&amp;CT-26</oddFooter>
  </headerFooter>
  <colBreaks count="2" manualBreakCount="2">
    <brk id="10" max="19" man="1"/>
    <brk id="19" max="19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>
    <tabColor rgb="FF00B050"/>
  </sheetPr>
  <dimension ref="A1:V24"/>
  <sheetViews>
    <sheetView view="pageBreakPreview" zoomScaleSheetLayoutView="100" workbookViewId="0">
      <pane xSplit="1" ySplit="4" topLeftCell="L14" activePane="bottomRight" state="frozen"/>
      <selection activeCell="B4" sqref="B4"/>
      <selection pane="topRight" activeCell="B4" sqref="B4"/>
      <selection pane="bottomLeft" activeCell="B4" sqref="B4"/>
      <selection pane="bottomRight" activeCell="B20" sqref="B20"/>
    </sheetView>
  </sheetViews>
  <sheetFormatPr defaultColWidth="9.140625" defaultRowHeight="14.25"/>
  <cols>
    <col min="1" max="1" width="16.28515625" style="382" customWidth="1"/>
    <col min="2" max="2" width="10.28515625" style="382" customWidth="1"/>
    <col min="3" max="3" width="10.140625" style="382" customWidth="1"/>
    <col min="4" max="4" width="9.85546875" style="382" customWidth="1"/>
    <col min="5" max="5" width="8.85546875" style="382" customWidth="1"/>
    <col min="6" max="6" width="10.7109375" style="382" customWidth="1"/>
    <col min="7" max="7" width="9" style="382" customWidth="1"/>
    <col min="8" max="8" width="7.85546875" style="382" customWidth="1"/>
    <col min="9" max="9" width="8.140625" style="382" customWidth="1"/>
    <col min="10" max="10" width="8.85546875" style="382" customWidth="1"/>
    <col min="11" max="11" width="9" style="382" customWidth="1"/>
    <col min="12" max="12" width="8.85546875" style="382" customWidth="1"/>
    <col min="13" max="13" width="10.140625" style="382" bestFit="1" customWidth="1"/>
    <col min="14" max="14" width="10.7109375" style="382" customWidth="1"/>
    <col min="15" max="15" width="10.28515625" style="382" customWidth="1"/>
    <col min="16" max="16" width="9.85546875" style="382" customWidth="1"/>
    <col min="17" max="17" width="10" style="382" customWidth="1"/>
    <col min="18" max="18" width="10.7109375" style="382" customWidth="1"/>
    <col min="19" max="19" width="11.7109375" style="382" customWidth="1"/>
    <col min="20" max="16384" width="9.140625" style="382"/>
  </cols>
  <sheetData>
    <row r="1" spans="1:22" s="381" customFormat="1" ht="52.9" customHeight="1">
      <c r="A1" s="150" t="s">
        <v>135</v>
      </c>
      <c r="B1" s="779" t="s">
        <v>868</v>
      </c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 t="s">
        <v>819</v>
      </c>
      <c r="O1" s="779"/>
      <c r="P1" s="779"/>
      <c r="Q1" s="779"/>
      <c r="R1" s="779"/>
      <c r="S1" s="779"/>
      <c r="T1" s="779"/>
      <c r="U1" s="779"/>
      <c r="V1" s="779"/>
    </row>
    <row r="2" spans="1:22" ht="31.9" customHeight="1">
      <c r="A2" s="937" t="s">
        <v>122</v>
      </c>
      <c r="B2" s="938" t="s">
        <v>133</v>
      </c>
      <c r="C2" s="938"/>
      <c r="D2" s="938"/>
      <c r="E2" s="938" t="s">
        <v>110</v>
      </c>
      <c r="F2" s="938"/>
      <c r="G2" s="938"/>
      <c r="H2" s="938" t="s">
        <v>111</v>
      </c>
      <c r="I2" s="938"/>
      <c r="J2" s="938"/>
      <c r="K2" s="938" t="s">
        <v>112</v>
      </c>
      <c r="L2" s="938"/>
      <c r="M2" s="938"/>
      <c r="N2" s="938" t="s">
        <v>137</v>
      </c>
      <c r="O2" s="938"/>
      <c r="P2" s="938"/>
      <c r="Q2" s="938" t="s">
        <v>108</v>
      </c>
      <c r="R2" s="938"/>
      <c r="S2" s="938"/>
      <c r="T2" s="938" t="s">
        <v>109</v>
      </c>
      <c r="U2" s="938"/>
      <c r="V2" s="938"/>
    </row>
    <row r="3" spans="1:22" ht="25.9" customHeight="1">
      <c r="A3" s="937"/>
      <c r="B3" s="484" t="s">
        <v>87</v>
      </c>
      <c r="C3" s="484" t="s">
        <v>88</v>
      </c>
      <c r="D3" s="484" t="s">
        <v>12</v>
      </c>
      <c r="E3" s="484" t="s">
        <v>87</v>
      </c>
      <c r="F3" s="484" t="s">
        <v>88</v>
      </c>
      <c r="G3" s="484" t="s">
        <v>12</v>
      </c>
      <c r="H3" s="484" t="s">
        <v>87</v>
      </c>
      <c r="I3" s="484" t="s">
        <v>88</v>
      </c>
      <c r="J3" s="484" t="s">
        <v>12</v>
      </c>
      <c r="K3" s="484" t="s">
        <v>87</v>
      </c>
      <c r="L3" s="484" t="s">
        <v>88</v>
      </c>
      <c r="M3" s="484" t="s">
        <v>12</v>
      </c>
      <c r="N3" s="484" t="s">
        <v>87</v>
      </c>
      <c r="O3" s="484" t="s">
        <v>88</v>
      </c>
      <c r="P3" s="484" t="s">
        <v>12</v>
      </c>
      <c r="Q3" s="484" t="s">
        <v>87</v>
      </c>
      <c r="R3" s="484" t="s">
        <v>88</v>
      </c>
      <c r="S3" s="484" t="s">
        <v>12</v>
      </c>
      <c r="T3" s="484" t="s">
        <v>87</v>
      </c>
      <c r="U3" s="484" t="s">
        <v>88</v>
      </c>
      <c r="V3" s="484" t="s">
        <v>12</v>
      </c>
    </row>
    <row r="4" spans="1:22">
      <c r="A4" s="199">
        <v>1</v>
      </c>
      <c r="B4" s="383">
        <v>2</v>
      </c>
      <c r="C4" s="199">
        <v>3</v>
      </c>
      <c r="D4" s="383">
        <v>4</v>
      </c>
      <c r="E4" s="199">
        <v>5</v>
      </c>
      <c r="F4" s="383">
        <v>6</v>
      </c>
      <c r="G4" s="199">
        <v>7</v>
      </c>
      <c r="H4" s="383">
        <v>8</v>
      </c>
      <c r="I4" s="199">
        <v>9</v>
      </c>
      <c r="J4" s="383">
        <v>10</v>
      </c>
      <c r="K4" s="199">
        <v>11</v>
      </c>
      <c r="L4" s="383">
        <v>12</v>
      </c>
      <c r="M4" s="199">
        <v>13</v>
      </c>
      <c r="N4" s="383">
        <v>2</v>
      </c>
      <c r="O4" s="199">
        <v>3</v>
      </c>
      <c r="P4" s="383">
        <v>4</v>
      </c>
      <c r="Q4" s="199">
        <v>5</v>
      </c>
      <c r="R4" s="383">
        <v>6</v>
      </c>
      <c r="S4" s="199">
        <v>7</v>
      </c>
      <c r="T4" s="383">
        <v>8</v>
      </c>
      <c r="U4" s="199">
        <v>9</v>
      </c>
      <c r="V4" s="383">
        <v>10</v>
      </c>
    </row>
    <row r="5" spans="1:22" ht="49.5" customHeight="1">
      <c r="A5" s="389" t="s">
        <v>123</v>
      </c>
      <c r="B5" s="375">
        <v>373366</v>
      </c>
      <c r="C5" s="375">
        <v>346659</v>
      </c>
      <c r="D5" s="384">
        <v>720025</v>
      </c>
      <c r="E5" s="375">
        <v>50705</v>
      </c>
      <c r="F5" s="375">
        <v>48156</v>
      </c>
      <c r="G5" s="384">
        <v>98861</v>
      </c>
      <c r="H5" s="375">
        <v>16400</v>
      </c>
      <c r="I5" s="375">
        <v>16030</v>
      </c>
      <c r="J5" s="384">
        <v>32430</v>
      </c>
      <c r="K5" s="375">
        <v>74897</v>
      </c>
      <c r="L5" s="375">
        <v>54024</v>
      </c>
      <c r="M5" s="384">
        <v>128921</v>
      </c>
      <c r="N5" s="375">
        <v>2487</v>
      </c>
      <c r="O5" s="375">
        <v>1110</v>
      </c>
      <c r="P5" s="384">
        <v>3597</v>
      </c>
      <c r="Q5" s="375">
        <v>33767</v>
      </c>
      <c r="R5" s="375">
        <v>26802</v>
      </c>
      <c r="S5" s="384">
        <v>60569</v>
      </c>
      <c r="T5" s="375">
        <v>6336</v>
      </c>
      <c r="U5" s="375">
        <v>7449</v>
      </c>
      <c r="V5" s="384">
        <v>13785</v>
      </c>
    </row>
    <row r="6" spans="1:22" ht="49.5" customHeight="1">
      <c r="A6" s="389" t="s">
        <v>124</v>
      </c>
      <c r="B6" s="375">
        <v>645668</v>
      </c>
      <c r="C6" s="375">
        <v>521668</v>
      </c>
      <c r="D6" s="384">
        <v>1167336</v>
      </c>
      <c r="E6" s="375">
        <v>83467</v>
      </c>
      <c r="F6" s="375">
        <v>59951</v>
      </c>
      <c r="G6" s="384">
        <v>143418</v>
      </c>
      <c r="H6" s="375">
        <v>42456</v>
      </c>
      <c r="I6" s="375">
        <v>40996</v>
      </c>
      <c r="J6" s="384">
        <v>83452</v>
      </c>
      <c r="K6" s="375">
        <v>130757</v>
      </c>
      <c r="L6" s="375">
        <v>87679</v>
      </c>
      <c r="M6" s="384">
        <v>218436</v>
      </c>
      <c r="N6" s="375">
        <v>1</v>
      </c>
      <c r="O6" s="375">
        <v>0</v>
      </c>
      <c r="P6" s="384">
        <v>1</v>
      </c>
      <c r="Q6" s="375">
        <v>1</v>
      </c>
      <c r="R6" s="375">
        <v>5</v>
      </c>
      <c r="S6" s="384">
        <v>6</v>
      </c>
      <c r="T6" s="375">
        <v>1</v>
      </c>
      <c r="U6" s="375">
        <v>7</v>
      </c>
      <c r="V6" s="385">
        <v>0</v>
      </c>
    </row>
    <row r="7" spans="1:22" ht="49.5" customHeight="1">
      <c r="A7" s="389" t="s">
        <v>125</v>
      </c>
      <c r="B7" s="375">
        <v>220784</v>
      </c>
      <c r="C7" s="375">
        <v>72552</v>
      </c>
      <c r="D7" s="384">
        <v>293336</v>
      </c>
      <c r="E7" s="375">
        <v>27355</v>
      </c>
      <c r="F7" s="375">
        <v>7933</v>
      </c>
      <c r="G7" s="384">
        <v>35288</v>
      </c>
      <c r="H7" s="375">
        <v>12377</v>
      </c>
      <c r="I7" s="375">
        <v>3840</v>
      </c>
      <c r="J7" s="384">
        <v>16217</v>
      </c>
      <c r="K7" s="375">
        <v>55739</v>
      </c>
      <c r="L7" s="375">
        <v>14762</v>
      </c>
      <c r="M7" s="384">
        <v>70501</v>
      </c>
      <c r="N7" s="375">
        <v>2636</v>
      </c>
      <c r="O7" s="375">
        <v>4767</v>
      </c>
      <c r="P7" s="384">
        <v>7403</v>
      </c>
      <c r="Q7" s="375">
        <v>4430</v>
      </c>
      <c r="R7" s="375">
        <v>1200</v>
      </c>
      <c r="S7" s="384">
        <v>5630</v>
      </c>
      <c r="T7" s="375">
        <v>4948</v>
      </c>
      <c r="U7" s="375">
        <v>2762</v>
      </c>
      <c r="V7" s="385">
        <v>1856</v>
      </c>
    </row>
    <row r="8" spans="1:22" ht="49.5" customHeight="1">
      <c r="A8" s="389" t="s">
        <v>126</v>
      </c>
      <c r="B8" s="375">
        <v>1287660</v>
      </c>
      <c r="C8" s="375">
        <v>1290813</v>
      </c>
      <c r="D8" s="384">
        <v>2578473</v>
      </c>
      <c r="E8" s="375">
        <v>163327</v>
      </c>
      <c r="F8" s="375">
        <v>154962</v>
      </c>
      <c r="G8" s="384">
        <v>318289</v>
      </c>
      <c r="H8" s="375">
        <v>51467</v>
      </c>
      <c r="I8" s="375">
        <v>50011</v>
      </c>
      <c r="J8" s="384">
        <v>101478</v>
      </c>
      <c r="K8" s="375">
        <v>447053</v>
      </c>
      <c r="L8" s="375">
        <v>444239</v>
      </c>
      <c r="M8" s="384">
        <v>891292</v>
      </c>
      <c r="N8" s="375">
        <v>3862</v>
      </c>
      <c r="O8" s="375">
        <v>2075</v>
      </c>
      <c r="P8" s="384">
        <v>5937</v>
      </c>
      <c r="Q8" s="375">
        <v>68602</v>
      </c>
      <c r="R8" s="375">
        <v>67714</v>
      </c>
      <c r="S8" s="384">
        <v>136316</v>
      </c>
      <c r="T8" s="375">
        <v>25034</v>
      </c>
      <c r="U8" s="375">
        <v>26258</v>
      </c>
      <c r="V8" s="385">
        <v>12897</v>
      </c>
    </row>
    <row r="9" spans="1:22" ht="49.5" customHeight="1">
      <c r="A9" s="389" t="s">
        <v>127</v>
      </c>
      <c r="B9" s="375">
        <v>732675</v>
      </c>
      <c r="C9" s="375">
        <v>475385</v>
      </c>
      <c r="D9" s="384">
        <v>1208060</v>
      </c>
      <c r="E9" s="375">
        <v>92138</v>
      </c>
      <c r="F9" s="375">
        <v>58455</v>
      </c>
      <c r="G9" s="384">
        <v>150593</v>
      </c>
      <c r="H9" s="375">
        <v>49328</v>
      </c>
      <c r="I9" s="375">
        <v>35994</v>
      </c>
      <c r="J9" s="384">
        <v>85322</v>
      </c>
      <c r="K9" s="375">
        <v>269337</v>
      </c>
      <c r="L9" s="375">
        <v>170303</v>
      </c>
      <c r="M9" s="384">
        <v>439640</v>
      </c>
      <c r="N9" s="375">
        <v>2882</v>
      </c>
      <c r="O9" s="375">
        <v>2449</v>
      </c>
      <c r="P9" s="384">
        <v>5331</v>
      </c>
      <c r="Q9" s="375">
        <v>6016</v>
      </c>
      <c r="R9" s="375">
        <v>6102</v>
      </c>
      <c r="S9" s="384">
        <v>12118</v>
      </c>
      <c r="T9" s="375">
        <v>3107</v>
      </c>
      <c r="U9" s="375">
        <v>4093</v>
      </c>
      <c r="V9" s="385">
        <v>3082</v>
      </c>
    </row>
    <row r="10" spans="1:22" ht="49.5" customHeight="1">
      <c r="A10" s="389" t="s">
        <v>128</v>
      </c>
      <c r="B10" s="375">
        <v>833707</v>
      </c>
      <c r="C10" s="375">
        <v>442494</v>
      </c>
      <c r="D10" s="384">
        <v>1276201</v>
      </c>
      <c r="E10" s="375">
        <v>63965</v>
      </c>
      <c r="F10" s="375">
        <v>32319</v>
      </c>
      <c r="G10" s="384">
        <v>96284</v>
      </c>
      <c r="H10" s="375">
        <v>32365</v>
      </c>
      <c r="I10" s="375">
        <v>23927</v>
      </c>
      <c r="J10" s="384">
        <v>56292</v>
      </c>
      <c r="K10" s="375">
        <v>195483</v>
      </c>
      <c r="L10" s="375">
        <v>84850</v>
      </c>
      <c r="M10" s="384">
        <v>280333</v>
      </c>
      <c r="N10" s="375">
        <v>1440</v>
      </c>
      <c r="O10" s="375">
        <v>392</v>
      </c>
      <c r="P10" s="384">
        <v>1832</v>
      </c>
      <c r="Q10" s="375">
        <v>40094</v>
      </c>
      <c r="R10" s="375">
        <v>14122</v>
      </c>
      <c r="S10" s="384">
        <v>54216</v>
      </c>
      <c r="T10" s="375">
        <v>22387</v>
      </c>
      <c r="U10" s="375">
        <v>19228</v>
      </c>
      <c r="V10" s="385">
        <v>5554</v>
      </c>
    </row>
    <row r="11" spans="1:22" ht="49.5" customHeight="1">
      <c r="A11" s="389" t="s">
        <v>136</v>
      </c>
      <c r="B11" s="375">
        <v>1728</v>
      </c>
      <c r="C11" s="375">
        <v>2499</v>
      </c>
      <c r="D11" s="384">
        <v>4227</v>
      </c>
      <c r="E11" s="375">
        <v>0</v>
      </c>
      <c r="F11" s="375">
        <v>0</v>
      </c>
      <c r="G11" s="384">
        <v>0</v>
      </c>
      <c r="H11" s="375">
        <v>470</v>
      </c>
      <c r="I11" s="375">
        <v>479</v>
      </c>
      <c r="J11" s="384">
        <v>949</v>
      </c>
      <c r="K11" s="375">
        <v>0</v>
      </c>
      <c r="L11" s="375">
        <v>0</v>
      </c>
      <c r="M11" s="384">
        <v>0</v>
      </c>
      <c r="N11" s="375">
        <v>0</v>
      </c>
      <c r="O11" s="375">
        <v>0</v>
      </c>
      <c r="P11" s="384">
        <v>0</v>
      </c>
      <c r="Q11" s="375">
        <v>0</v>
      </c>
      <c r="R11" s="375">
        <v>0</v>
      </c>
      <c r="S11" s="384">
        <v>0</v>
      </c>
      <c r="T11" s="375">
        <v>0</v>
      </c>
      <c r="U11" s="375">
        <v>0</v>
      </c>
      <c r="V11" s="385">
        <v>0</v>
      </c>
    </row>
    <row r="12" spans="1:22" ht="49.5" customHeight="1">
      <c r="A12" s="389" t="s">
        <v>129</v>
      </c>
      <c r="B12" s="375">
        <v>2350</v>
      </c>
      <c r="C12" s="375">
        <v>3702</v>
      </c>
      <c r="D12" s="384">
        <v>6052</v>
      </c>
      <c r="E12" s="375">
        <v>124</v>
      </c>
      <c r="F12" s="375">
        <v>393</v>
      </c>
      <c r="G12" s="384">
        <v>517</v>
      </c>
      <c r="H12" s="375">
        <v>55</v>
      </c>
      <c r="I12" s="375">
        <v>101</v>
      </c>
      <c r="J12" s="384">
        <v>156</v>
      </c>
      <c r="K12" s="375">
        <v>345</v>
      </c>
      <c r="L12" s="375">
        <v>930</v>
      </c>
      <c r="M12" s="384">
        <v>1275</v>
      </c>
      <c r="N12" s="375">
        <v>13</v>
      </c>
      <c r="O12" s="375">
        <v>6</v>
      </c>
      <c r="P12" s="384">
        <v>19</v>
      </c>
      <c r="Q12" s="375">
        <v>38</v>
      </c>
      <c r="R12" s="375">
        <v>94</v>
      </c>
      <c r="S12" s="384">
        <v>132</v>
      </c>
      <c r="T12" s="375">
        <v>0</v>
      </c>
      <c r="U12" s="375">
        <v>7</v>
      </c>
      <c r="V12" s="385">
        <v>0</v>
      </c>
    </row>
    <row r="13" spans="1:22" ht="49.5" customHeight="1">
      <c r="A13" s="389" t="s">
        <v>130</v>
      </c>
      <c r="B13" s="375">
        <v>26452</v>
      </c>
      <c r="C13" s="375">
        <v>13275</v>
      </c>
      <c r="D13" s="384">
        <v>39727</v>
      </c>
      <c r="E13" s="375">
        <v>2556</v>
      </c>
      <c r="F13" s="375">
        <v>1146</v>
      </c>
      <c r="G13" s="384">
        <v>3702</v>
      </c>
      <c r="H13" s="375">
        <v>1687</v>
      </c>
      <c r="I13" s="375">
        <v>912</v>
      </c>
      <c r="J13" s="384">
        <v>2599</v>
      </c>
      <c r="K13" s="375">
        <v>5738</v>
      </c>
      <c r="L13" s="375">
        <v>3108</v>
      </c>
      <c r="M13" s="384">
        <v>8846</v>
      </c>
      <c r="N13" s="375">
        <v>150</v>
      </c>
      <c r="O13" s="375">
        <v>47</v>
      </c>
      <c r="P13" s="384">
        <v>197</v>
      </c>
      <c r="Q13" s="375">
        <v>345</v>
      </c>
      <c r="R13" s="375">
        <v>93</v>
      </c>
      <c r="S13" s="384">
        <v>438</v>
      </c>
      <c r="T13" s="375">
        <v>1137</v>
      </c>
      <c r="U13" s="375">
        <v>547</v>
      </c>
      <c r="V13" s="385">
        <v>1457</v>
      </c>
    </row>
    <row r="14" spans="1:22" ht="71.25" customHeight="1">
      <c r="A14" s="389" t="s">
        <v>131</v>
      </c>
      <c r="B14" s="375">
        <v>27648</v>
      </c>
      <c r="C14" s="375">
        <v>28521</v>
      </c>
      <c r="D14" s="384">
        <v>56169</v>
      </c>
      <c r="E14" s="375">
        <v>2865</v>
      </c>
      <c r="F14" s="375">
        <v>3266</v>
      </c>
      <c r="G14" s="384">
        <v>6131</v>
      </c>
      <c r="H14" s="375">
        <v>646</v>
      </c>
      <c r="I14" s="375">
        <v>665</v>
      </c>
      <c r="J14" s="384">
        <v>1311</v>
      </c>
      <c r="K14" s="375">
        <v>7323</v>
      </c>
      <c r="L14" s="375">
        <v>11473</v>
      </c>
      <c r="M14" s="384">
        <v>18796</v>
      </c>
      <c r="N14" s="375">
        <v>102</v>
      </c>
      <c r="O14" s="375">
        <v>80</v>
      </c>
      <c r="P14" s="384">
        <v>182</v>
      </c>
      <c r="Q14" s="375">
        <v>4687</v>
      </c>
      <c r="R14" s="375">
        <v>3485</v>
      </c>
      <c r="S14" s="384">
        <v>8172</v>
      </c>
      <c r="T14" s="375">
        <v>1534</v>
      </c>
      <c r="U14" s="375">
        <v>2046</v>
      </c>
      <c r="V14" s="385">
        <v>2735</v>
      </c>
    </row>
    <row r="15" spans="1:22" ht="49.5" customHeight="1">
      <c r="A15" s="389" t="s">
        <v>132</v>
      </c>
      <c r="B15" s="375">
        <v>465232</v>
      </c>
      <c r="C15" s="375">
        <v>323530</v>
      </c>
      <c r="D15" s="384">
        <v>788762</v>
      </c>
      <c r="E15" s="375">
        <v>26082</v>
      </c>
      <c r="F15" s="375">
        <v>18259</v>
      </c>
      <c r="G15" s="384">
        <v>44341</v>
      </c>
      <c r="H15" s="375">
        <v>8805</v>
      </c>
      <c r="I15" s="375">
        <v>7449</v>
      </c>
      <c r="J15" s="384">
        <v>16254</v>
      </c>
      <c r="K15" s="375">
        <v>147177</v>
      </c>
      <c r="L15" s="375">
        <v>92314</v>
      </c>
      <c r="M15" s="384">
        <v>239491</v>
      </c>
      <c r="N15" s="375">
        <v>439</v>
      </c>
      <c r="O15" s="375">
        <v>237</v>
      </c>
      <c r="P15" s="384">
        <v>676</v>
      </c>
      <c r="Q15" s="375">
        <v>17919</v>
      </c>
      <c r="R15" s="375">
        <v>9442</v>
      </c>
      <c r="S15" s="384">
        <v>27361</v>
      </c>
      <c r="T15" s="375">
        <v>25328</v>
      </c>
      <c r="U15" s="375">
        <v>20221</v>
      </c>
      <c r="V15" s="385">
        <v>23774</v>
      </c>
    </row>
    <row r="16" spans="1:22" s="386" customFormat="1" ht="33.75" customHeight="1">
      <c r="A16" s="652" t="s">
        <v>60</v>
      </c>
      <c r="B16" s="416">
        <f t="shared" ref="B16:V16" si="0">SUM(B5:B15)</f>
        <v>4617270</v>
      </c>
      <c r="C16" s="416">
        <f t="shared" si="0"/>
        <v>3521098</v>
      </c>
      <c r="D16" s="416">
        <f t="shared" si="0"/>
        <v>8138368</v>
      </c>
      <c r="E16" s="416">
        <f t="shared" si="0"/>
        <v>512584</v>
      </c>
      <c r="F16" s="416">
        <f t="shared" si="0"/>
        <v>384840</v>
      </c>
      <c r="G16" s="416">
        <f t="shared" si="0"/>
        <v>897424</v>
      </c>
      <c r="H16" s="416">
        <f t="shared" si="0"/>
        <v>216056</v>
      </c>
      <c r="I16" s="416">
        <f t="shared" si="0"/>
        <v>180404</v>
      </c>
      <c r="J16" s="416">
        <f t="shared" si="0"/>
        <v>396460</v>
      </c>
      <c r="K16" s="416">
        <f t="shared" si="0"/>
        <v>1333849</v>
      </c>
      <c r="L16" s="416">
        <f t="shared" si="0"/>
        <v>963682</v>
      </c>
      <c r="M16" s="416">
        <f t="shared" si="0"/>
        <v>2297531</v>
      </c>
      <c r="N16" s="416">
        <f t="shared" si="0"/>
        <v>14012</v>
      </c>
      <c r="O16" s="416">
        <f t="shared" si="0"/>
        <v>11163</v>
      </c>
      <c r="P16" s="416">
        <f t="shared" si="0"/>
        <v>25175</v>
      </c>
      <c r="Q16" s="416">
        <f t="shared" si="0"/>
        <v>175899</v>
      </c>
      <c r="R16" s="416">
        <f t="shared" si="0"/>
        <v>129059</v>
      </c>
      <c r="S16" s="416">
        <f t="shared" si="0"/>
        <v>304958</v>
      </c>
      <c r="T16" s="416">
        <f t="shared" si="0"/>
        <v>89812</v>
      </c>
      <c r="U16" s="416">
        <f t="shared" si="0"/>
        <v>82618</v>
      </c>
      <c r="V16" s="416">
        <f t="shared" si="0"/>
        <v>65140</v>
      </c>
    </row>
    <row r="17" spans="1:22" s="381" customFormat="1" ht="50.45" customHeight="1">
      <c r="A17" s="150" t="str">
        <f>A1</f>
        <v xml:space="preserve">Table </v>
      </c>
      <c r="B17" s="779" t="s">
        <v>869</v>
      </c>
      <c r="C17" s="779"/>
      <c r="D17" s="779"/>
      <c r="E17" s="779"/>
      <c r="F17" s="779"/>
      <c r="G17" s="779"/>
      <c r="H17" s="779"/>
      <c r="I17" s="779"/>
      <c r="J17" s="779"/>
      <c r="K17" s="779"/>
      <c r="L17" s="779"/>
      <c r="M17" s="779"/>
      <c r="N17" s="779" t="s">
        <v>820</v>
      </c>
      <c r="O17" s="779"/>
      <c r="P17" s="779"/>
      <c r="Q17" s="779"/>
      <c r="R17" s="779"/>
      <c r="S17" s="779"/>
      <c r="T17" s="779"/>
      <c r="U17" s="779"/>
      <c r="V17" s="779"/>
    </row>
    <row r="18" spans="1:22" ht="40.5" customHeight="1">
      <c r="A18" s="389" t="s">
        <v>123</v>
      </c>
      <c r="B18" s="387">
        <v>362737</v>
      </c>
      <c r="C18" s="387">
        <v>426375</v>
      </c>
      <c r="D18" s="387">
        <v>789112</v>
      </c>
      <c r="E18" s="387">
        <v>39101</v>
      </c>
      <c r="F18" s="387">
        <v>41987</v>
      </c>
      <c r="G18" s="387">
        <v>81088</v>
      </c>
      <c r="H18" s="387">
        <v>91408</v>
      </c>
      <c r="I18" s="387">
        <v>99111</v>
      </c>
      <c r="J18" s="387">
        <v>190519</v>
      </c>
      <c r="K18" s="387">
        <v>89406</v>
      </c>
      <c r="L18" s="387">
        <v>102518</v>
      </c>
      <c r="M18" s="387">
        <v>191924</v>
      </c>
      <c r="N18" s="387">
        <v>1874</v>
      </c>
      <c r="O18" s="387">
        <v>1516</v>
      </c>
      <c r="P18" s="387">
        <v>3390</v>
      </c>
      <c r="Q18" s="387">
        <v>17193</v>
      </c>
      <c r="R18" s="387">
        <v>19764</v>
      </c>
      <c r="S18" s="387">
        <v>36957</v>
      </c>
      <c r="T18" s="387">
        <v>29317</v>
      </c>
      <c r="U18" s="387">
        <v>35298</v>
      </c>
      <c r="V18" s="387">
        <v>64615</v>
      </c>
    </row>
    <row r="19" spans="1:22" ht="40.5" customHeight="1">
      <c r="A19" s="389" t="s">
        <v>126</v>
      </c>
      <c r="B19" s="387">
        <v>12778663</v>
      </c>
      <c r="C19" s="387">
        <v>13585964</v>
      </c>
      <c r="D19" s="387">
        <v>26364627</v>
      </c>
      <c r="E19" s="387">
        <v>1949373</v>
      </c>
      <c r="F19" s="387">
        <v>2094045</v>
      </c>
      <c r="G19" s="387">
        <v>4043418</v>
      </c>
      <c r="H19" s="387">
        <v>689894</v>
      </c>
      <c r="I19" s="387">
        <v>723802</v>
      </c>
      <c r="J19" s="387">
        <v>1413696</v>
      </c>
      <c r="K19" s="387">
        <v>5037111</v>
      </c>
      <c r="L19" s="387">
        <v>5488243</v>
      </c>
      <c r="M19" s="387">
        <v>10525354</v>
      </c>
      <c r="N19" s="387">
        <v>24664</v>
      </c>
      <c r="O19" s="387">
        <v>26341</v>
      </c>
      <c r="P19" s="387">
        <v>51005</v>
      </c>
      <c r="Q19" s="387">
        <v>751471</v>
      </c>
      <c r="R19" s="387">
        <v>842474</v>
      </c>
      <c r="S19" s="387">
        <v>1593945</v>
      </c>
      <c r="T19" s="387">
        <v>251118</v>
      </c>
      <c r="U19" s="387">
        <v>341153</v>
      </c>
      <c r="V19" s="387">
        <v>592271</v>
      </c>
    </row>
    <row r="20" spans="1:22" s="386" customFormat="1" ht="40.5" customHeight="1">
      <c r="A20" s="652" t="s">
        <v>60</v>
      </c>
      <c r="B20" s="417">
        <f t="shared" ref="B20:V20" si="1">SUM(B18:B19)</f>
        <v>13141400</v>
      </c>
      <c r="C20" s="417">
        <f t="shared" si="1"/>
        <v>14012339</v>
      </c>
      <c r="D20" s="417">
        <f t="shared" si="1"/>
        <v>27153739</v>
      </c>
      <c r="E20" s="417">
        <f>SUM(E18:E19)</f>
        <v>1988474</v>
      </c>
      <c r="F20" s="417">
        <f t="shared" si="1"/>
        <v>2136032</v>
      </c>
      <c r="G20" s="417">
        <f t="shared" si="1"/>
        <v>4124506</v>
      </c>
      <c r="H20" s="417">
        <f>SUM(H18:H19)</f>
        <v>781302</v>
      </c>
      <c r="I20" s="417">
        <f t="shared" si="1"/>
        <v>822913</v>
      </c>
      <c r="J20" s="417">
        <f t="shared" si="1"/>
        <v>1604215</v>
      </c>
      <c r="K20" s="417">
        <f>SUM(K18:K19)</f>
        <v>5126517</v>
      </c>
      <c r="L20" s="417">
        <f t="shared" si="1"/>
        <v>5590761</v>
      </c>
      <c r="M20" s="417">
        <f t="shared" si="1"/>
        <v>10717278</v>
      </c>
      <c r="N20" s="417">
        <f>SUM(N18:N19)</f>
        <v>26538</v>
      </c>
      <c r="O20" s="417">
        <f t="shared" si="1"/>
        <v>27857</v>
      </c>
      <c r="P20" s="417">
        <f t="shared" si="1"/>
        <v>54395</v>
      </c>
      <c r="Q20" s="417">
        <f>SUM(Q18:Q19)</f>
        <v>768664</v>
      </c>
      <c r="R20" s="417">
        <f t="shared" si="1"/>
        <v>862238</v>
      </c>
      <c r="S20" s="417">
        <f t="shared" si="1"/>
        <v>1630902</v>
      </c>
      <c r="T20" s="417">
        <f>SUM(T18:T19)</f>
        <v>280435</v>
      </c>
      <c r="U20" s="417">
        <f t="shared" si="1"/>
        <v>376451</v>
      </c>
      <c r="V20" s="417">
        <f t="shared" si="1"/>
        <v>656886</v>
      </c>
    </row>
    <row r="21" spans="1:22" hidden="1">
      <c r="B21" s="382" t="b">
        <f>'26UnivEnrolinclConstituentU'!Z16=B16</f>
        <v>1</v>
      </c>
      <c r="C21" s="382" t="b">
        <f>'26UnivEnrolinclConstituentU'!AA16=C16</f>
        <v>1</v>
      </c>
      <c r="D21" s="382" t="b">
        <f>'26UnivEnrolinclConstituentU'!AB16=D16</f>
        <v>1</v>
      </c>
      <c r="E21" s="388">
        <f>E16/$B$16%</f>
        <v>11.101451723637561</v>
      </c>
      <c r="F21" s="388">
        <f>F16/$C$16%</f>
        <v>10.929545272525784</v>
      </c>
      <c r="G21" s="388">
        <f>G16/$D$16%</f>
        <v>11.027075698715025</v>
      </c>
      <c r="H21" s="388">
        <f t="shared" ref="H21" si="2">H16/$B$16%</f>
        <v>4.6793018385322931</v>
      </c>
      <c r="I21" s="388">
        <f t="shared" ref="I21" si="3">I16/$C$16%</f>
        <v>5.1235154488741861</v>
      </c>
      <c r="J21" s="388">
        <f t="shared" ref="J21" si="4">J16/$D$16%</f>
        <v>4.8714926629024395</v>
      </c>
      <c r="K21" s="388">
        <f t="shared" ref="K21" si="5">K16/$B$16%</f>
        <v>28.888260812124916</v>
      </c>
      <c r="L21" s="388">
        <f t="shared" ref="L21" si="6">L16/$C$16%</f>
        <v>27.368792348295898</v>
      </c>
      <c r="M21" s="388">
        <f t="shared" ref="M21" si="7">M16/$D$16%</f>
        <v>28.230856604174207</v>
      </c>
      <c r="N21" s="388">
        <f t="shared" ref="N21" si="8">N16/$B$16%</f>
        <v>0.30346936609728259</v>
      </c>
      <c r="O21" s="388">
        <f t="shared" ref="O21" si="9">O16/$C$16%</f>
        <v>0.31703178951565675</v>
      </c>
      <c r="P21" s="388">
        <f t="shared" ref="P21" si="10">P16/$D$16%</f>
        <v>0.30933720372438311</v>
      </c>
      <c r="Q21" s="388">
        <f t="shared" ref="Q21" si="11">Q16/$B$16%</f>
        <v>3.8095887829821522</v>
      </c>
      <c r="R21" s="388">
        <f t="shared" ref="R21" si="12">R16/$C$16%</f>
        <v>3.6653055382156357</v>
      </c>
      <c r="S21" s="388">
        <f t="shared" ref="S21" si="13">S16/$D$16%</f>
        <v>3.7471640505811488</v>
      </c>
      <c r="T21" s="388">
        <f t="shared" ref="T21" si="14">T16/$B$16%</f>
        <v>1.9451320802119003</v>
      </c>
      <c r="U21" s="388">
        <f t="shared" ref="U21" si="15">U16/$C$16%</f>
        <v>2.3463703651531422</v>
      </c>
      <c r="V21" s="388">
        <f t="shared" ref="V21" si="16">V16/$D$16%</f>
        <v>0.80040617480064802</v>
      </c>
    </row>
    <row r="22" spans="1:22" hidden="1">
      <c r="B22" s="382" t="b">
        <f>B18='26UnivEnrolinclConstituentU'!Z18</f>
        <v>1</v>
      </c>
      <c r="C22" s="382" t="b">
        <f>C18='26UnivEnrolinclConstituentU'!AA18</f>
        <v>1</v>
      </c>
      <c r="D22" s="382" t="b">
        <f>D18='26UnivEnrolinclConstituentU'!AB18</f>
        <v>1</v>
      </c>
      <c r="E22" s="388"/>
    </row>
    <row r="23" spans="1:22" hidden="1">
      <c r="B23" s="382" t="b">
        <f>B19='26UnivEnrolinclConstituentU'!Z19</f>
        <v>1</v>
      </c>
      <c r="C23" s="382" t="b">
        <f>C19='26UnivEnrolinclConstituentU'!AA19</f>
        <v>1</v>
      </c>
      <c r="D23" s="382" t="b">
        <f>D19='26UnivEnrolinclConstituentU'!AB19</f>
        <v>1</v>
      </c>
      <c r="E23" s="388">
        <f>E18/$B$18%</f>
        <v>10.779435238202886</v>
      </c>
      <c r="F23" s="388">
        <f>F18/$C$18%</f>
        <v>9.8474347698622111</v>
      </c>
      <c r="G23" s="388">
        <f>G18/$D$18%</f>
        <v>10.275854378085747</v>
      </c>
      <c r="H23" s="388">
        <f t="shared" ref="H23" si="17">H18/$B$18%</f>
        <v>25.199524724524931</v>
      </c>
      <c r="I23" s="388">
        <f t="shared" ref="I23" si="18">I18/$C$18%</f>
        <v>23.245030782761653</v>
      </c>
      <c r="J23" s="388">
        <f t="shared" ref="J23" si="19">J18/$D$18%</f>
        <v>24.143467593953709</v>
      </c>
      <c r="K23" s="388">
        <f t="shared" ref="K23" si="20">K18/$B$18%</f>
        <v>24.647609700692239</v>
      </c>
      <c r="L23" s="388">
        <f t="shared" ref="L23" si="21">L18/$C$18%</f>
        <v>24.044092641454117</v>
      </c>
      <c r="M23" s="388">
        <f t="shared" ref="M23" si="22">M18/$D$18%</f>
        <v>24.321515830452459</v>
      </c>
      <c r="N23" s="388">
        <f t="shared" ref="N23" si="23">N18/$B$18%</f>
        <v>0.51662774958165281</v>
      </c>
      <c r="O23" s="388">
        <f t="shared" ref="O23" si="24">O18/$C$18%</f>
        <v>0.35555555555555557</v>
      </c>
      <c r="P23" s="388">
        <f t="shared" ref="P23" si="25">P18/$D$18%</f>
        <v>0.42959681261975485</v>
      </c>
      <c r="Q23" s="388">
        <f t="shared" ref="Q23" si="26">Q18/$B$18%</f>
        <v>4.7397977046730828</v>
      </c>
      <c r="R23" s="388">
        <f t="shared" ref="R23" si="27">R18/$C$18%</f>
        <v>4.6353562005277045</v>
      </c>
      <c r="S23" s="388">
        <f t="shared" ref="S23" si="28">S18/$D$18%</f>
        <v>4.6833656058962481</v>
      </c>
      <c r="T23" s="388">
        <f t="shared" ref="T23" si="29">T18/$B$18%</f>
        <v>8.0821642126389097</v>
      </c>
      <c r="U23" s="388">
        <f t="shared" ref="U23" si="30">U18/$C$18%</f>
        <v>8.2786279683377302</v>
      </c>
      <c r="V23" s="388">
        <f t="shared" ref="V23" si="31">V18/$D$18%</f>
        <v>8.188318008090107</v>
      </c>
    </row>
    <row r="24" spans="1:22" hidden="1">
      <c r="B24" s="382" t="b">
        <f>B20='26UnivEnrolinclConstituentU'!Z20</f>
        <v>1</v>
      </c>
      <c r="C24" s="382" t="b">
        <f>C20='26UnivEnrolinclConstituentU'!AA20</f>
        <v>1</v>
      </c>
      <c r="D24" s="382" t="b">
        <f>D20='26UnivEnrolinclConstituentU'!AB20</f>
        <v>1</v>
      </c>
      <c r="E24" s="388">
        <f>E19/$B$19%</f>
        <v>15.254905775353807</v>
      </c>
      <c r="F24" s="388">
        <f>F19/$C$19%</f>
        <v>15.413297135190405</v>
      </c>
      <c r="G24" s="388">
        <f>G19/$D$19%</f>
        <v>15.336526475417232</v>
      </c>
      <c r="H24" s="388">
        <f t="shared" ref="H24" si="32">H19/$B$19%</f>
        <v>5.3987964155561503</v>
      </c>
      <c r="I24" s="388">
        <f t="shared" ref="I24" si="33">I19/$C$19%</f>
        <v>5.3275718969960462</v>
      </c>
      <c r="J24" s="388">
        <f t="shared" ref="J24" si="34">J19/$D$19%</f>
        <v>5.3620936871210043</v>
      </c>
      <c r="K24" s="388">
        <f t="shared" ref="K24" si="35">K19/$B$19%</f>
        <v>39.418137875613432</v>
      </c>
      <c r="L24" s="388">
        <f t="shared" ref="L24" si="36">L19/$C$19%</f>
        <v>40.396419422280225</v>
      </c>
      <c r="M24" s="388">
        <f t="shared" ref="M24" si="37">M19/$D$19%</f>
        <v>39.922256438522716</v>
      </c>
      <c r="N24" s="388">
        <f t="shared" ref="N24" si="38">N19/$B$19%</f>
        <v>0.19300923735135669</v>
      </c>
      <c r="O24" s="388">
        <f t="shared" ref="O24" si="39">O19/$C$19%</f>
        <v>0.19388392314303202</v>
      </c>
      <c r="P24" s="388">
        <f t="shared" ref="P24" si="40">P19/$D$19%</f>
        <v>0.19345997195408832</v>
      </c>
      <c r="Q24" s="388">
        <f t="shared" ref="Q24" si="41">Q19/$B$19%</f>
        <v>5.8806699887147813</v>
      </c>
      <c r="R24" s="388">
        <f t="shared" ref="R24" si="42">R19/$C$19%</f>
        <v>6.2010616250712864</v>
      </c>
      <c r="S24" s="388">
        <f t="shared" ref="S24" si="43">S19/$D$19%</f>
        <v>6.0457711008010842</v>
      </c>
      <c r="T24" s="388">
        <f t="shared" ref="T24" si="44">T19/$B$19%</f>
        <v>1.9651351632013458</v>
      </c>
      <c r="U24" s="388">
        <f t="shared" ref="U24" si="45">U19/$C$19%</f>
        <v>2.511069512623469</v>
      </c>
      <c r="V24" s="388">
        <f t="shared" ref="V24" si="46">V19/$D$19%</f>
        <v>2.2464607597141426</v>
      </c>
    </row>
  </sheetData>
  <mergeCells count="12">
    <mergeCell ref="B17:M17"/>
    <mergeCell ref="N17:V17"/>
    <mergeCell ref="B1:M1"/>
    <mergeCell ref="N1:V1"/>
    <mergeCell ref="A2:A3"/>
    <mergeCell ref="B2:D2"/>
    <mergeCell ref="E2:G2"/>
    <mergeCell ref="H2:J2"/>
    <mergeCell ref="K2:M2"/>
    <mergeCell ref="N2:P2"/>
    <mergeCell ref="Q2:S2"/>
    <mergeCell ref="T2:V2"/>
  </mergeCells>
  <printOptions horizontalCentered="1"/>
  <pageMargins left="0.39370078740157483" right="0.39370078740157483" top="0.51181102362204722" bottom="0.51181102362204722" header="0.23622047244094491" footer="0.23622047244094491"/>
  <pageSetup paperSize="9" scale="74" firstPageNumber="89" pageOrder="overThenDown" orientation="portrait" useFirstPageNumber="1" r:id="rId1"/>
  <headerFooter alignWithMargins="0">
    <oddFooter>&amp;L     AISHE 2019-20&amp;CT-27</oddFooter>
  </headerFooter>
  <colBreaks count="1" manualBreakCount="1">
    <brk id="13" max="20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>
    <tabColor rgb="FF00B050"/>
  </sheetPr>
  <dimension ref="A1:X20"/>
  <sheetViews>
    <sheetView view="pageBreakPreview" topLeftCell="I16" zoomScaleSheetLayoutView="100" workbookViewId="0">
      <selection activeCell="W1" sqref="W1:Z1048576"/>
    </sheetView>
  </sheetViews>
  <sheetFormatPr defaultColWidth="9.140625" defaultRowHeight="14.25"/>
  <cols>
    <col min="1" max="1" width="22.140625" style="393" customWidth="1"/>
    <col min="2" max="10" width="9.5703125" style="393" customWidth="1"/>
    <col min="11" max="11" width="7.5703125" style="393" customWidth="1"/>
    <col min="12" max="15" width="7.42578125" style="393" customWidth="1"/>
    <col min="16" max="16" width="8" style="393" customWidth="1"/>
    <col min="17" max="17" width="9" style="393" customWidth="1"/>
    <col min="18" max="18" width="9.5703125" style="393" customWidth="1"/>
    <col min="19" max="19" width="10.28515625" style="393" customWidth="1"/>
    <col min="20" max="20" width="6.85546875" style="393" customWidth="1"/>
    <col min="21" max="21" width="7.140625" style="393" customWidth="1"/>
    <col min="22" max="22" width="7.7109375" style="393" customWidth="1"/>
    <col min="23" max="16384" width="9.140625" style="393"/>
  </cols>
  <sheetData>
    <row r="1" spans="1:22" s="390" customFormat="1" ht="48" customHeight="1">
      <c r="A1" s="150" t="s">
        <v>753</v>
      </c>
      <c r="B1" s="779" t="s">
        <v>870</v>
      </c>
      <c r="C1" s="779"/>
      <c r="D1" s="779"/>
      <c r="E1" s="779"/>
      <c r="F1" s="779"/>
      <c r="G1" s="779"/>
      <c r="H1" s="779"/>
      <c r="I1" s="779"/>
      <c r="J1" s="779"/>
      <c r="K1" s="779" t="str">
        <f>B1</f>
        <v>Post-wise Number of Teachers in various types of Universities 
(Based on actual Response)
(a) Teaching Departments and Constituent Units/Off-campus Centres</v>
      </c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</row>
    <row r="2" spans="1:22" s="391" customFormat="1" ht="33.75" customHeight="1">
      <c r="A2" s="791" t="s">
        <v>122</v>
      </c>
      <c r="B2" s="917" t="s">
        <v>720</v>
      </c>
      <c r="C2" s="917"/>
      <c r="D2" s="917"/>
      <c r="E2" s="917" t="s">
        <v>721</v>
      </c>
      <c r="F2" s="918"/>
      <c r="G2" s="918"/>
      <c r="H2" s="917" t="s">
        <v>722</v>
      </c>
      <c r="I2" s="918"/>
      <c r="J2" s="918"/>
      <c r="K2" s="917" t="s">
        <v>723</v>
      </c>
      <c r="L2" s="918"/>
      <c r="M2" s="918"/>
      <c r="N2" s="917" t="s">
        <v>810</v>
      </c>
      <c r="O2" s="918"/>
      <c r="P2" s="918"/>
      <c r="Q2" s="940" t="s">
        <v>60</v>
      </c>
      <c r="R2" s="941"/>
      <c r="S2" s="942"/>
      <c r="T2" s="917" t="s">
        <v>725</v>
      </c>
      <c r="U2" s="918"/>
      <c r="V2" s="918"/>
    </row>
    <row r="3" spans="1:22" s="391" customFormat="1" ht="27" customHeight="1">
      <c r="A3" s="791"/>
      <c r="B3" s="397" t="s">
        <v>87</v>
      </c>
      <c r="C3" s="397" t="s">
        <v>88</v>
      </c>
      <c r="D3" s="397" t="s">
        <v>12</v>
      </c>
      <c r="E3" s="397" t="s">
        <v>87</v>
      </c>
      <c r="F3" s="397" t="s">
        <v>88</v>
      </c>
      <c r="G3" s="397" t="s">
        <v>12</v>
      </c>
      <c r="H3" s="397" t="s">
        <v>87</v>
      </c>
      <c r="I3" s="397" t="s">
        <v>88</v>
      </c>
      <c r="J3" s="397" t="s">
        <v>12</v>
      </c>
      <c r="K3" s="397" t="s">
        <v>87</v>
      </c>
      <c r="L3" s="397" t="s">
        <v>88</v>
      </c>
      <c r="M3" s="397" t="s">
        <v>12</v>
      </c>
      <c r="N3" s="397" t="s">
        <v>87</v>
      </c>
      <c r="O3" s="397" t="s">
        <v>88</v>
      </c>
      <c r="P3" s="397" t="s">
        <v>12</v>
      </c>
      <c r="Q3" s="397" t="s">
        <v>87</v>
      </c>
      <c r="R3" s="397" t="s">
        <v>88</v>
      </c>
      <c r="S3" s="397" t="s">
        <v>12</v>
      </c>
      <c r="T3" s="397" t="s">
        <v>87</v>
      </c>
      <c r="U3" s="397" t="s">
        <v>88</v>
      </c>
      <c r="V3" s="397" t="s">
        <v>12</v>
      </c>
    </row>
    <row r="4" spans="1:22" s="486" customFormat="1" ht="22.5" customHeight="1">
      <c r="A4" s="485">
        <v>1</v>
      </c>
      <c r="B4" s="485">
        <v>2</v>
      </c>
      <c r="C4" s="485">
        <v>3</v>
      </c>
      <c r="D4" s="485">
        <v>4</v>
      </c>
      <c r="E4" s="485">
        <v>5</v>
      </c>
      <c r="F4" s="485">
        <v>6</v>
      </c>
      <c r="G4" s="485">
        <v>7</v>
      </c>
      <c r="H4" s="485">
        <v>8</v>
      </c>
      <c r="I4" s="485">
        <v>9</v>
      </c>
      <c r="J4" s="485">
        <v>10</v>
      </c>
      <c r="K4" s="485">
        <v>11</v>
      </c>
      <c r="L4" s="485">
        <v>12</v>
      </c>
      <c r="M4" s="485">
        <v>13</v>
      </c>
      <c r="N4" s="485">
        <v>14</v>
      </c>
      <c r="O4" s="485">
        <v>15</v>
      </c>
      <c r="P4" s="485">
        <v>16</v>
      </c>
      <c r="Q4" s="485">
        <v>17</v>
      </c>
      <c r="R4" s="485">
        <v>18</v>
      </c>
      <c r="S4" s="485">
        <v>19</v>
      </c>
      <c r="T4" s="485">
        <v>20</v>
      </c>
      <c r="U4" s="485">
        <v>21</v>
      </c>
      <c r="V4" s="485">
        <v>22</v>
      </c>
    </row>
    <row r="5" spans="1:22" ht="51.75" customHeight="1">
      <c r="A5" s="119" t="s">
        <v>123</v>
      </c>
      <c r="B5" s="392">
        <v>2828</v>
      </c>
      <c r="C5" s="392">
        <v>782</v>
      </c>
      <c r="D5" s="392">
        <v>3610</v>
      </c>
      <c r="E5" s="392">
        <v>1435</v>
      </c>
      <c r="F5" s="392">
        <v>498</v>
      </c>
      <c r="G5" s="392">
        <v>1933</v>
      </c>
      <c r="H5" s="392">
        <v>4506</v>
      </c>
      <c r="I5" s="392">
        <v>1979</v>
      </c>
      <c r="J5" s="392">
        <v>6485</v>
      </c>
      <c r="K5" s="392">
        <v>50</v>
      </c>
      <c r="L5" s="392">
        <v>12</v>
      </c>
      <c r="M5" s="392">
        <v>62</v>
      </c>
      <c r="N5" s="392">
        <v>57</v>
      </c>
      <c r="O5" s="392">
        <v>293</v>
      </c>
      <c r="P5" s="392">
        <v>887</v>
      </c>
      <c r="Q5" s="392">
        <v>9430</v>
      </c>
      <c r="R5" s="392">
        <v>3578</v>
      </c>
      <c r="S5" s="392">
        <v>13008</v>
      </c>
      <c r="T5" s="392">
        <v>17</v>
      </c>
      <c r="U5" s="392">
        <v>14</v>
      </c>
      <c r="V5" s="392">
        <v>31</v>
      </c>
    </row>
    <row r="6" spans="1:22" ht="51.75" customHeight="1">
      <c r="A6" s="119" t="s">
        <v>124</v>
      </c>
      <c r="B6" s="392">
        <v>41</v>
      </c>
      <c r="C6" s="392">
        <v>22</v>
      </c>
      <c r="D6" s="392">
        <v>63</v>
      </c>
      <c r="E6" s="392">
        <v>37</v>
      </c>
      <c r="F6" s="392">
        <v>29</v>
      </c>
      <c r="G6" s="392">
        <v>66</v>
      </c>
      <c r="H6" s="392">
        <v>33</v>
      </c>
      <c r="I6" s="392">
        <v>35</v>
      </c>
      <c r="J6" s="392">
        <v>68</v>
      </c>
      <c r="K6" s="392">
        <v>0</v>
      </c>
      <c r="L6" s="392">
        <v>0</v>
      </c>
      <c r="M6" s="392">
        <v>0</v>
      </c>
      <c r="N6" s="392">
        <v>0</v>
      </c>
      <c r="O6" s="392">
        <v>0</v>
      </c>
      <c r="P6" s="392">
        <v>0</v>
      </c>
      <c r="Q6" s="392">
        <v>111</v>
      </c>
      <c r="R6" s="392">
        <v>86</v>
      </c>
      <c r="S6" s="392">
        <v>197</v>
      </c>
      <c r="T6" s="392">
        <v>0</v>
      </c>
      <c r="U6" s="392">
        <v>0</v>
      </c>
      <c r="V6" s="392">
        <v>0</v>
      </c>
    </row>
    <row r="7" spans="1:22" ht="51.75" customHeight="1">
      <c r="A7" s="119" t="s">
        <v>125</v>
      </c>
      <c r="B7" s="392">
        <v>3993</v>
      </c>
      <c r="C7" s="392">
        <v>751</v>
      </c>
      <c r="D7" s="392">
        <v>4744</v>
      </c>
      <c r="E7" s="392">
        <v>3229</v>
      </c>
      <c r="F7" s="392">
        <v>750</v>
      </c>
      <c r="G7" s="392">
        <v>3979</v>
      </c>
      <c r="H7" s="392">
        <v>5832</v>
      </c>
      <c r="I7" s="392">
        <v>1601</v>
      </c>
      <c r="J7" s="392">
        <v>7433</v>
      </c>
      <c r="K7" s="392">
        <v>67</v>
      </c>
      <c r="L7" s="392">
        <v>69</v>
      </c>
      <c r="M7" s="392">
        <v>136</v>
      </c>
      <c r="N7" s="392">
        <v>491</v>
      </c>
      <c r="O7" s="392">
        <v>320</v>
      </c>
      <c r="P7" s="392">
        <v>811</v>
      </c>
      <c r="Q7" s="392">
        <v>13771</v>
      </c>
      <c r="R7" s="392">
        <v>3511</v>
      </c>
      <c r="S7" s="392">
        <v>17282</v>
      </c>
      <c r="T7" s="392">
        <v>159</v>
      </c>
      <c r="U7" s="392">
        <v>20</v>
      </c>
      <c r="V7" s="392">
        <v>179</v>
      </c>
    </row>
    <row r="8" spans="1:22" ht="51.75" customHeight="1">
      <c r="A8" s="119" t="s">
        <v>126</v>
      </c>
      <c r="B8" s="392">
        <v>9196</v>
      </c>
      <c r="C8" s="392">
        <v>3042</v>
      </c>
      <c r="D8" s="392">
        <v>12238</v>
      </c>
      <c r="E8" s="392">
        <v>4457</v>
      </c>
      <c r="F8" s="392">
        <v>2171</v>
      </c>
      <c r="G8" s="392">
        <v>6628</v>
      </c>
      <c r="H8" s="392">
        <v>17159</v>
      </c>
      <c r="I8" s="392">
        <v>11556</v>
      </c>
      <c r="J8" s="392">
        <v>28715</v>
      </c>
      <c r="K8" s="392">
        <v>567</v>
      </c>
      <c r="L8" s="392">
        <v>535</v>
      </c>
      <c r="M8" s="392">
        <v>1102</v>
      </c>
      <c r="N8" s="392">
        <v>1440</v>
      </c>
      <c r="O8" s="392">
        <v>2589</v>
      </c>
      <c r="P8" s="392">
        <v>5677</v>
      </c>
      <c r="Q8" s="392">
        <v>35167</v>
      </c>
      <c r="R8" s="392">
        <v>20311</v>
      </c>
      <c r="S8" s="392">
        <v>55478</v>
      </c>
      <c r="T8" s="392">
        <v>700</v>
      </c>
      <c r="U8" s="392">
        <v>418</v>
      </c>
      <c r="V8" s="392">
        <v>1118</v>
      </c>
    </row>
    <row r="9" spans="1:22" ht="51.75" customHeight="1">
      <c r="A9" s="119" t="s">
        <v>127</v>
      </c>
      <c r="B9" s="392">
        <v>72</v>
      </c>
      <c r="C9" s="392">
        <v>5</v>
      </c>
      <c r="D9" s="392">
        <v>77</v>
      </c>
      <c r="E9" s="392">
        <v>50</v>
      </c>
      <c r="F9" s="392">
        <v>14</v>
      </c>
      <c r="G9" s="392">
        <v>64</v>
      </c>
      <c r="H9" s="392">
        <v>178</v>
      </c>
      <c r="I9" s="392">
        <v>129</v>
      </c>
      <c r="J9" s="392">
        <v>307</v>
      </c>
      <c r="K9" s="392">
        <v>1</v>
      </c>
      <c r="L9" s="392">
        <v>2</v>
      </c>
      <c r="M9" s="392">
        <v>3</v>
      </c>
      <c r="N9" s="392">
        <v>102</v>
      </c>
      <c r="O9" s="392">
        <v>56</v>
      </c>
      <c r="P9" s="392">
        <v>158</v>
      </c>
      <c r="Q9" s="392">
        <v>416</v>
      </c>
      <c r="R9" s="392">
        <v>208</v>
      </c>
      <c r="S9" s="392">
        <v>624</v>
      </c>
      <c r="T9" s="392">
        <v>13</v>
      </c>
      <c r="U9" s="392">
        <v>2</v>
      </c>
      <c r="V9" s="392">
        <v>15</v>
      </c>
    </row>
    <row r="10" spans="1:22" ht="51.75" customHeight="1">
      <c r="A10" s="119" t="s">
        <v>128</v>
      </c>
      <c r="B10" s="392">
        <v>5834</v>
      </c>
      <c r="C10" s="392">
        <v>1794</v>
      </c>
      <c r="D10" s="392">
        <v>7628</v>
      </c>
      <c r="E10" s="392">
        <v>5290</v>
      </c>
      <c r="F10" s="392">
        <v>2835</v>
      </c>
      <c r="G10" s="392">
        <v>8125</v>
      </c>
      <c r="H10" s="392">
        <v>26644</v>
      </c>
      <c r="I10" s="392">
        <v>19913</v>
      </c>
      <c r="J10" s="392">
        <v>46557</v>
      </c>
      <c r="K10" s="392">
        <v>1382</v>
      </c>
      <c r="L10" s="392">
        <v>1877</v>
      </c>
      <c r="M10" s="392">
        <v>3259</v>
      </c>
      <c r="N10" s="392">
        <v>227</v>
      </c>
      <c r="O10" s="392">
        <v>277</v>
      </c>
      <c r="P10" s="392">
        <v>504</v>
      </c>
      <c r="Q10" s="392">
        <v>40002</v>
      </c>
      <c r="R10" s="392">
        <v>27042</v>
      </c>
      <c r="S10" s="392">
        <v>67044</v>
      </c>
      <c r="T10" s="392">
        <v>625</v>
      </c>
      <c r="U10" s="392">
        <v>346</v>
      </c>
      <c r="V10" s="392">
        <v>971</v>
      </c>
    </row>
    <row r="11" spans="1:22" ht="51.75" customHeight="1">
      <c r="A11" s="119" t="s">
        <v>136</v>
      </c>
      <c r="B11" s="392">
        <v>3</v>
      </c>
      <c r="C11" s="392">
        <v>0</v>
      </c>
      <c r="D11" s="392">
        <v>3</v>
      </c>
      <c r="E11" s="392">
        <v>3</v>
      </c>
      <c r="F11" s="392">
        <v>2</v>
      </c>
      <c r="G11" s="392">
        <v>5</v>
      </c>
      <c r="H11" s="392">
        <v>19</v>
      </c>
      <c r="I11" s="392">
        <v>22</v>
      </c>
      <c r="J11" s="392">
        <v>41</v>
      </c>
      <c r="K11" s="392">
        <v>0</v>
      </c>
      <c r="L11" s="392">
        <v>0</v>
      </c>
      <c r="M11" s="392">
        <v>0</v>
      </c>
      <c r="N11" s="392">
        <v>0</v>
      </c>
      <c r="O11" s="392">
        <v>0</v>
      </c>
      <c r="P11" s="392">
        <v>0</v>
      </c>
      <c r="Q11" s="392">
        <v>25</v>
      </c>
      <c r="R11" s="392">
        <v>24</v>
      </c>
      <c r="S11" s="392">
        <v>49</v>
      </c>
      <c r="T11" s="392">
        <v>0</v>
      </c>
      <c r="U11" s="392">
        <v>0</v>
      </c>
      <c r="V11" s="392">
        <v>0</v>
      </c>
    </row>
    <row r="12" spans="1:22" ht="51.75" customHeight="1">
      <c r="A12" s="119" t="s">
        <v>129</v>
      </c>
      <c r="B12" s="392">
        <v>272</v>
      </c>
      <c r="C12" s="392">
        <v>91</v>
      </c>
      <c r="D12" s="392">
        <v>363</v>
      </c>
      <c r="E12" s="392">
        <v>113</v>
      </c>
      <c r="F12" s="392">
        <v>43</v>
      </c>
      <c r="G12" s="392">
        <v>156</v>
      </c>
      <c r="H12" s="392">
        <v>318</v>
      </c>
      <c r="I12" s="392">
        <v>155</v>
      </c>
      <c r="J12" s="392">
        <v>473</v>
      </c>
      <c r="K12" s="392">
        <v>132</v>
      </c>
      <c r="L12" s="392">
        <v>90</v>
      </c>
      <c r="M12" s="392">
        <v>222</v>
      </c>
      <c r="N12" s="392">
        <v>0</v>
      </c>
      <c r="O12" s="392">
        <v>1</v>
      </c>
      <c r="P12" s="392">
        <v>1</v>
      </c>
      <c r="Q12" s="392">
        <v>888</v>
      </c>
      <c r="R12" s="392">
        <v>410</v>
      </c>
      <c r="S12" s="392">
        <v>1298</v>
      </c>
      <c r="T12" s="392">
        <v>53</v>
      </c>
      <c r="U12" s="392">
        <v>30</v>
      </c>
      <c r="V12" s="392">
        <v>83</v>
      </c>
    </row>
    <row r="13" spans="1:22" ht="51.75" customHeight="1">
      <c r="A13" s="119" t="s">
        <v>130</v>
      </c>
      <c r="B13" s="392">
        <v>1362</v>
      </c>
      <c r="C13" s="392">
        <v>294</v>
      </c>
      <c r="D13" s="392">
        <v>1656</v>
      </c>
      <c r="E13" s="392">
        <v>832</v>
      </c>
      <c r="F13" s="392">
        <v>207</v>
      </c>
      <c r="G13" s="392">
        <v>1039</v>
      </c>
      <c r="H13" s="392">
        <v>1163</v>
      </c>
      <c r="I13" s="392">
        <v>430</v>
      </c>
      <c r="J13" s="392">
        <v>1593</v>
      </c>
      <c r="K13" s="392">
        <v>72</v>
      </c>
      <c r="L13" s="392">
        <v>36</v>
      </c>
      <c r="M13" s="392">
        <v>108</v>
      </c>
      <c r="N13" s="392">
        <v>112</v>
      </c>
      <c r="O13" s="392">
        <v>44</v>
      </c>
      <c r="P13" s="392">
        <v>156</v>
      </c>
      <c r="Q13" s="392">
        <v>3559</v>
      </c>
      <c r="R13" s="392">
        <v>1020</v>
      </c>
      <c r="S13" s="392">
        <v>4579</v>
      </c>
      <c r="T13" s="392">
        <v>18</v>
      </c>
      <c r="U13" s="392">
        <v>9</v>
      </c>
      <c r="V13" s="392">
        <v>27</v>
      </c>
    </row>
    <row r="14" spans="1:22" ht="51.75" customHeight="1">
      <c r="A14" s="119" t="s">
        <v>131</v>
      </c>
      <c r="B14" s="392">
        <v>308</v>
      </c>
      <c r="C14" s="392">
        <v>214</v>
      </c>
      <c r="D14" s="392">
        <v>522</v>
      </c>
      <c r="E14" s="392">
        <v>120</v>
      </c>
      <c r="F14" s="392">
        <v>106</v>
      </c>
      <c r="G14" s="392">
        <v>226</v>
      </c>
      <c r="H14" s="392">
        <v>695</v>
      </c>
      <c r="I14" s="392">
        <v>705</v>
      </c>
      <c r="J14" s="392">
        <v>1400</v>
      </c>
      <c r="K14" s="392">
        <v>26</v>
      </c>
      <c r="L14" s="392">
        <v>25</v>
      </c>
      <c r="M14" s="392">
        <v>51</v>
      </c>
      <c r="N14" s="392">
        <v>28</v>
      </c>
      <c r="O14" s="392">
        <v>120</v>
      </c>
      <c r="P14" s="392">
        <v>148</v>
      </c>
      <c r="Q14" s="392">
        <v>1179</v>
      </c>
      <c r="R14" s="392">
        <v>1170</v>
      </c>
      <c r="S14" s="392">
        <v>2349</v>
      </c>
      <c r="T14" s="392">
        <v>2</v>
      </c>
      <c r="U14" s="392">
        <v>0</v>
      </c>
      <c r="V14" s="392">
        <v>2</v>
      </c>
    </row>
    <row r="15" spans="1:22" ht="51.75" customHeight="1">
      <c r="A15" s="119" t="s">
        <v>132</v>
      </c>
      <c r="B15" s="392">
        <v>6286</v>
      </c>
      <c r="C15" s="392">
        <v>2756</v>
      </c>
      <c r="D15" s="392">
        <v>9042</v>
      </c>
      <c r="E15" s="392">
        <v>5942</v>
      </c>
      <c r="F15" s="392">
        <v>3657</v>
      </c>
      <c r="G15" s="392">
        <v>9599</v>
      </c>
      <c r="H15" s="392">
        <v>16449</v>
      </c>
      <c r="I15" s="392">
        <v>13503</v>
      </c>
      <c r="J15" s="392">
        <v>29952</v>
      </c>
      <c r="K15" s="392">
        <v>1145</v>
      </c>
      <c r="L15" s="392">
        <v>1894</v>
      </c>
      <c r="M15" s="392">
        <v>3039</v>
      </c>
      <c r="N15" s="392">
        <v>123</v>
      </c>
      <c r="O15" s="392">
        <v>153</v>
      </c>
      <c r="P15" s="392">
        <v>276</v>
      </c>
      <c r="Q15" s="392">
        <v>30303</v>
      </c>
      <c r="R15" s="392">
        <v>22119</v>
      </c>
      <c r="S15" s="392">
        <v>52422</v>
      </c>
      <c r="T15" s="392">
        <v>358</v>
      </c>
      <c r="U15" s="392">
        <v>156</v>
      </c>
      <c r="V15" s="392">
        <v>514</v>
      </c>
    </row>
    <row r="16" spans="1:22" s="395" customFormat="1" ht="58.5" customHeight="1">
      <c r="A16" s="678" t="s">
        <v>60</v>
      </c>
      <c r="B16" s="679">
        <f>SUM(B5:B15)</f>
        <v>30195</v>
      </c>
      <c r="C16" s="679">
        <f t="shared" ref="C16:V16" si="0">SUM(C5:C15)</f>
        <v>9751</v>
      </c>
      <c r="D16" s="679">
        <f t="shared" si="0"/>
        <v>39946</v>
      </c>
      <c r="E16" s="679">
        <f t="shared" si="0"/>
        <v>21508</v>
      </c>
      <c r="F16" s="679">
        <f t="shared" si="0"/>
        <v>10312</v>
      </c>
      <c r="G16" s="679">
        <f t="shared" si="0"/>
        <v>31820</v>
      </c>
      <c r="H16" s="679">
        <f t="shared" si="0"/>
        <v>72996</v>
      </c>
      <c r="I16" s="679">
        <f t="shared" si="0"/>
        <v>50028</v>
      </c>
      <c r="J16" s="679">
        <f t="shared" si="0"/>
        <v>123024</v>
      </c>
      <c r="K16" s="679">
        <f t="shared" si="0"/>
        <v>3442</v>
      </c>
      <c r="L16" s="679">
        <f t="shared" si="0"/>
        <v>4540</v>
      </c>
      <c r="M16" s="679">
        <f t="shared" si="0"/>
        <v>7982</v>
      </c>
      <c r="N16" s="679">
        <f t="shared" si="0"/>
        <v>2580</v>
      </c>
      <c r="O16" s="679">
        <f t="shared" si="0"/>
        <v>3853</v>
      </c>
      <c r="P16" s="679">
        <f t="shared" si="0"/>
        <v>8618</v>
      </c>
      <c r="Q16" s="679">
        <f t="shared" si="0"/>
        <v>134851</v>
      </c>
      <c r="R16" s="679">
        <f t="shared" si="0"/>
        <v>79479</v>
      </c>
      <c r="S16" s="679">
        <f t="shared" si="0"/>
        <v>214330</v>
      </c>
      <c r="T16" s="679">
        <f t="shared" si="0"/>
        <v>1945</v>
      </c>
      <c r="U16" s="679">
        <f t="shared" si="0"/>
        <v>995</v>
      </c>
      <c r="V16" s="679">
        <f t="shared" si="0"/>
        <v>2940</v>
      </c>
    </row>
    <row r="17" spans="1:24" s="390" customFormat="1" ht="58.5" customHeight="1">
      <c r="A17" s="682" t="s">
        <v>753</v>
      </c>
      <c r="B17" s="939" t="s">
        <v>871</v>
      </c>
      <c r="C17" s="939"/>
      <c r="D17" s="939"/>
      <c r="E17" s="939"/>
      <c r="F17" s="939"/>
      <c r="G17" s="939"/>
      <c r="H17" s="939"/>
      <c r="I17" s="939"/>
      <c r="J17" s="939"/>
      <c r="K17" s="939" t="str">
        <f>B17</f>
        <v>Post-wise Number of Teachers in various types of Universities 
(Based on actual Response)
(b) Affiliated and Constituent Colleges</v>
      </c>
      <c r="L17" s="939"/>
      <c r="M17" s="939"/>
      <c r="N17" s="939"/>
      <c r="O17" s="939"/>
      <c r="P17" s="939"/>
      <c r="Q17" s="939"/>
      <c r="R17" s="939"/>
      <c r="S17" s="939"/>
      <c r="T17" s="939"/>
      <c r="U17" s="939"/>
      <c r="V17" s="939"/>
    </row>
    <row r="18" spans="1:24" ht="50.25" customHeight="1">
      <c r="A18" s="680" t="s">
        <v>123</v>
      </c>
      <c r="B18" s="681">
        <v>1351</v>
      </c>
      <c r="C18" s="681">
        <v>640</v>
      </c>
      <c r="D18" s="681">
        <v>1991</v>
      </c>
      <c r="E18" s="681">
        <v>2643</v>
      </c>
      <c r="F18" s="681">
        <v>3078</v>
      </c>
      <c r="G18" s="681">
        <v>5721</v>
      </c>
      <c r="H18" s="681">
        <v>9886</v>
      </c>
      <c r="I18" s="681">
        <v>10929</v>
      </c>
      <c r="J18" s="681">
        <v>20815</v>
      </c>
      <c r="K18" s="681">
        <v>504</v>
      </c>
      <c r="L18" s="681">
        <v>849</v>
      </c>
      <c r="M18" s="681">
        <v>1353</v>
      </c>
      <c r="N18" s="681">
        <v>931</v>
      </c>
      <c r="O18" s="681">
        <v>1263</v>
      </c>
      <c r="P18" s="681">
        <v>2194</v>
      </c>
      <c r="Q18" s="681">
        <v>15438</v>
      </c>
      <c r="R18" s="681">
        <v>16872</v>
      </c>
      <c r="S18" s="681">
        <v>32310</v>
      </c>
      <c r="T18" s="681">
        <v>123</v>
      </c>
      <c r="U18" s="681">
        <v>113</v>
      </c>
      <c r="V18" s="681">
        <v>236</v>
      </c>
    </row>
    <row r="19" spans="1:24" ht="50.25" customHeight="1">
      <c r="A19" s="119" t="s">
        <v>126</v>
      </c>
      <c r="B19" s="396">
        <v>62672</v>
      </c>
      <c r="C19" s="396">
        <v>24201</v>
      </c>
      <c r="D19" s="396">
        <v>86873</v>
      </c>
      <c r="E19" s="396">
        <v>74967</v>
      </c>
      <c r="F19" s="396">
        <v>45097</v>
      </c>
      <c r="G19" s="396">
        <v>120064</v>
      </c>
      <c r="H19" s="396">
        <v>429052</v>
      </c>
      <c r="I19" s="396">
        <v>339762</v>
      </c>
      <c r="J19" s="396">
        <v>768814</v>
      </c>
      <c r="K19" s="396">
        <v>15210</v>
      </c>
      <c r="L19" s="396">
        <v>27539</v>
      </c>
      <c r="M19" s="396">
        <v>42749</v>
      </c>
      <c r="N19" s="396">
        <v>34951</v>
      </c>
      <c r="O19" s="396">
        <v>34498</v>
      </c>
      <c r="P19" s="396">
        <v>69449</v>
      </c>
      <c r="Q19" s="396">
        <v>622449</v>
      </c>
      <c r="R19" s="396">
        <v>476121</v>
      </c>
      <c r="S19" s="396">
        <v>1098570</v>
      </c>
      <c r="T19" s="396">
        <v>5597</v>
      </c>
      <c r="U19" s="396">
        <v>5024</v>
      </c>
      <c r="V19" s="396">
        <v>10621</v>
      </c>
    </row>
    <row r="20" spans="1:24" s="395" customFormat="1" ht="58.5" customHeight="1">
      <c r="A20" s="398" t="s">
        <v>60</v>
      </c>
      <c r="B20" s="394">
        <f>B18+B19</f>
        <v>64023</v>
      </c>
      <c r="C20" s="394">
        <f t="shared" ref="C20:V20" si="1">C18+C19</f>
        <v>24841</v>
      </c>
      <c r="D20" s="394">
        <f t="shared" si="1"/>
        <v>88864</v>
      </c>
      <c r="E20" s="394">
        <f t="shared" si="1"/>
        <v>77610</v>
      </c>
      <c r="F20" s="394">
        <f t="shared" si="1"/>
        <v>48175</v>
      </c>
      <c r="G20" s="394">
        <f t="shared" si="1"/>
        <v>125785</v>
      </c>
      <c r="H20" s="394">
        <f t="shared" si="1"/>
        <v>438938</v>
      </c>
      <c r="I20" s="394">
        <f t="shared" si="1"/>
        <v>350691</v>
      </c>
      <c r="J20" s="394">
        <f t="shared" si="1"/>
        <v>789629</v>
      </c>
      <c r="K20" s="394">
        <f t="shared" si="1"/>
        <v>15714</v>
      </c>
      <c r="L20" s="394">
        <f t="shared" si="1"/>
        <v>28388</v>
      </c>
      <c r="M20" s="394">
        <f t="shared" si="1"/>
        <v>44102</v>
      </c>
      <c r="N20" s="394">
        <f t="shared" si="1"/>
        <v>35882</v>
      </c>
      <c r="O20" s="394">
        <f t="shared" si="1"/>
        <v>35761</v>
      </c>
      <c r="P20" s="394">
        <f t="shared" si="1"/>
        <v>71643</v>
      </c>
      <c r="Q20" s="394">
        <f t="shared" si="1"/>
        <v>637887</v>
      </c>
      <c r="R20" s="394">
        <f t="shared" si="1"/>
        <v>492993</v>
      </c>
      <c r="S20" s="394">
        <f t="shared" si="1"/>
        <v>1130880</v>
      </c>
      <c r="T20" s="394">
        <f t="shared" si="1"/>
        <v>5720</v>
      </c>
      <c r="U20" s="394">
        <f t="shared" si="1"/>
        <v>5137</v>
      </c>
      <c r="V20" s="394">
        <f t="shared" si="1"/>
        <v>10857</v>
      </c>
      <c r="W20" s="393"/>
      <c r="X20" s="393"/>
    </row>
  </sheetData>
  <mergeCells count="12">
    <mergeCell ref="B17:J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  <mergeCell ref="K17:V17"/>
  </mergeCells>
  <printOptions horizontalCentered="1"/>
  <pageMargins left="0.4" right="0.4" top="0.43307086614173201" bottom="0.4" header="0.27559055118110198" footer="0.23622047244094499"/>
  <pageSetup paperSize="9" scale="76" firstPageNumber="2" pageOrder="overThenDown" orientation="portrait" useFirstPageNumber="1" r:id="rId1"/>
  <headerFooter alignWithMargins="0">
    <oddFooter>&amp;L     AISHE 2019-20&amp;CT-29</oddFooter>
  </headerFooter>
  <colBreaks count="1" manualBreakCount="1">
    <brk id="10" max="18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>
    <tabColor rgb="FF00B050"/>
  </sheetPr>
  <dimension ref="A1:W20"/>
  <sheetViews>
    <sheetView view="pageBreakPreview" topLeftCell="E12" zoomScale="85" zoomScaleSheetLayoutView="85" workbookViewId="0">
      <selection activeCell="G15" sqref="G15"/>
    </sheetView>
  </sheetViews>
  <sheetFormatPr defaultColWidth="9.140625" defaultRowHeight="14.25"/>
  <cols>
    <col min="1" max="1" width="22.7109375" style="393" customWidth="1"/>
    <col min="2" max="10" width="9.42578125" style="393" customWidth="1"/>
    <col min="11" max="13" width="7.85546875" style="393" customWidth="1"/>
    <col min="14" max="22" width="7.28515625" style="393" customWidth="1"/>
    <col min="23" max="16384" width="9.140625" style="393"/>
  </cols>
  <sheetData>
    <row r="1" spans="1:23" s="390" customFormat="1" ht="69.75" customHeight="1">
      <c r="A1" s="150" t="s">
        <v>754</v>
      </c>
      <c r="B1" s="779" t="s">
        <v>872</v>
      </c>
      <c r="C1" s="779"/>
      <c r="D1" s="779"/>
      <c r="E1" s="779"/>
      <c r="F1" s="779"/>
      <c r="G1" s="779"/>
      <c r="H1" s="779"/>
      <c r="I1" s="779"/>
      <c r="J1" s="779"/>
      <c r="K1" s="779" t="str">
        <f>B1</f>
        <v>Social Group-wise Number of Teachers in various types of Universities
(Based on actual Response)
(a) Teaching Departments and Constituent Units/Off-campus Centres</v>
      </c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</row>
    <row r="2" spans="1:23" s="391" customFormat="1" ht="36" customHeight="1">
      <c r="A2" s="936" t="s">
        <v>122</v>
      </c>
      <c r="B2" s="943" t="s">
        <v>133</v>
      </c>
      <c r="C2" s="943"/>
      <c r="D2" s="943"/>
      <c r="E2" s="943" t="s">
        <v>110</v>
      </c>
      <c r="F2" s="943"/>
      <c r="G2" s="943"/>
      <c r="H2" s="943" t="s">
        <v>111</v>
      </c>
      <c r="I2" s="943"/>
      <c r="J2" s="943"/>
      <c r="K2" s="943" t="s">
        <v>112</v>
      </c>
      <c r="L2" s="943"/>
      <c r="M2" s="943"/>
      <c r="N2" s="943" t="s">
        <v>137</v>
      </c>
      <c r="O2" s="943"/>
      <c r="P2" s="943"/>
      <c r="Q2" s="943" t="s">
        <v>108</v>
      </c>
      <c r="R2" s="943"/>
      <c r="S2" s="943"/>
      <c r="T2" s="943" t="s">
        <v>109</v>
      </c>
      <c r="U2" s="943"/>
      <c r="V2" s="943"/>
    </row>
    <row r="3" spans="1:23" s="391" customFormat="1" ht="29.25" customHeight="1">
      <c r="A3" s="936"/>
      <c r="B3" s="399" t="s">
        <v>87</v>
      </c>
      <c r="C3" s="399" t="s">
        <v>88</v>
      </c>
      <c r="D3" s="399" t="s">
        <v>12</v>
      </c>
      <c r="E3" s="399" t="s">
        <v>87</v>
      </c>
      <c r="F3" s="399" t="s">
        <v>88</v>
      </c>
      <c r="G3" s="399" t="s">
        <v>12</v>
      </c>
      <c r="H3" s="399" t="s">
        <v>87</v>
      </c>
      <c r="I3" s="399" t="s">
        <v>88</v>
      </c>
      <c r="J3" s="399" t="s">
        <v>12</v>
      </c>
      <c r="K3" s="399" t="s">
        <v>87</v>
      </c>
      <c r="L3" s="399" t="s">
        <v>88</v>
      </c>
      <c r="M3" s="399" t="s">
        <v>12</v>
      </c>
      <c r="N3" s="399" t="s">
        <v>87</v>
      </c>
      <c r="O3" s="399" t="s">
        <v>88</v>
      </c>
      <c r="P3" s="399" t="s">
        <v>12</v>
      </c>
      <c r="Q3" s="399" t="s">
        <v>87</v>
      </c>
      <c r="R3" s="399" t="s">
        <v>88</v>
      </c>
      <c r="S3" s="399" t="s">
        <v>12</v>
      </c>
      <c r="T3" s="399" t="s">
        <v>87</v>
      </c>
      <c r="U3" s="399" t="s">
        <v>88</v>
      </c>
      <c r="V3" s="399" t="s">
        <v>12</v>
      </c>
    </row>
    <row r="4" spans="1:23" s="391" customFormat="1" ht="18" customHeight="1">
      <c r="A4" s="400">
        <v>1</v>
      </c>
      <c r="B4" s="400">
        <v>2</v>
      </c>
      <c r="C4" s="400">
        <v>3</v>
      </c>
      <c r="D4" s="400">
        <v>4</v>
      </c>
      <c r="E4" s="400">
        <v>5</v>
      </c>
      <c r="F4" s="400">
        <v>6</v>
      </c>
      <c r="G4" s="400">
        <v>7</v>
      </c>
      <c r="H4" s="400">
        <v>8</v>
      </c>
      <c r="I4" s="400">
        <v>9</v>
      </c>
      <c r="J4" s="400">
        <v>10</v>
      </c>
      <c r="K4" s="400">
        <v>2</v>
      </c>
      <c r="L4" s="400">
        <v>3</v>
      </c>
      <c r="M4" s="400">
        <v>4</v>
      </c>
      <c r="N4" s="400">
        <v>5</v>
      </c>
      <c r="O4" s="400">
        <v>6</v>
      </c>
      <c r="P4" s="400">
        <v>7</v>
      </c>
      <c r="Q4" s="400">
        <v>8</v>
      </c>
      <c r="R4" s="400">
        <v>9</v>
      </c>
      <c r="S4" s="400">
        <v>10</v>
      </c>
      <c r="T4" s="400">
        <v>11</v>
      </c>
      <c r="U4" s="400">
        <v>12</v>
      </c>
      <c r="V4" s="400">
        <v>13</v>
      </c>
      <c r="W4" s="119"/>
    </row>
    <row r="5" spans="1:23" ht="53.25" customHeight="1">
      <c r="A5" s="656" t="s">
        <v>123</v>
      </c>
      <c r="B5" s="392">
        <v>9430</v>
      </c>
      <c r="C5" s="392">
        <v>3578</v>
      </c>
      <c r="D5" s="392">
        <v>13008</v>
      </c>
      <c r="E5" s="392">
        <v>1002</v>
      </c>
      <c r="F5" s="392">
        <v>297</v>
      </c>
      <c r="G5" s="392">
        <v>1299</v>
      </c>
      <c r="H5" s="392">
        <v>523</v>
      </c>
      <c r="I5" s="392">
        <v>342</v>
      </c>
      <c r="J5" s="392">
        <v>865</v>
      </c>
      <c r="K5" s="392">
        <v>1478</v>
      </c>
      <c r="L5" s="392">
        <v>478</v>
      </c>
      <c r="M5" s="392">
        <v>1956</v>
      </c>
      <c r="N5" s="392">
        <v>116</v>
      </c>
      <c r="O5" s="392">
        <v>16</v>
      </c>
      <c r="P5" s="392">
        <v>132</v>
      </c>
      <c r="Q5" s="392">
        <v>1967</v>
      </c>
      <c r="R5" s="392">
        <v>620</v>
      </c>
      <c r="S5" s="392">
        <v>2587</v>
      </c>
      <c r="T5" s="392">
        <v>589</v>
      </c>
      <c r="U5" s="392">
        <v>474</v>
      </c>
      <c r="V5" s="392">
        <v>1063</v>
      </c>
      <c r="W5" s="742">
        <f>D5+D6+D8+D9+D10+D11+D12</f>
        <v>137698</v>
      </c>
    </row>
    <row r="6" spans="1:23" ht="53.25" customHeight="1">
      <c r="A6" s="656" t="s">
        <v>124</v>
      </c>
      <c r="B6" s="392">
        <v>111</v>
      </c>
      <c r="C6" s="392">
        <v>86</v>
      </c>
      <c r="D6" s="392">
        <v>197</v>
      </c>
      <c r="E6" s="392">
        <v>15</v>
      </c>
      <c r="F6" s="392">
        <v>7</v>
      </c>
      <c r="G6" s="392">
        <v>22</v>
      </c>
      <c r="H6" s="392">
        <v>6</v>
      </c>
      <c r="I6" s="392">
        <v>2</v>
      </c>
      <c r="J6" s="392">
        <v>8</v>
      </c>
      <c r="K6" s="392">
        <v>12</v>
      </c>
      <c r="L6" s="392">
        <v>2</v>
      </c>
      <c r="M6" s="392">
        <v>14</v>
      </c>
      <c r="N6" s="392">
        <v>0</v>
      </c>
      <c r="O6" s="392">
        <v>0</v>
      </c>
      <c r="P6" s="392">
        <v>0</v>
      </c>
      <c r="Q6" s="392">
        <v>5</v>
      </c>
      <c r="R6" s="392">
        <v>1</v>
      </c>
      <c r="S6" s="392">
        <v>6</v>
      </c>
      <c r="T6" s="392">
        <v>7</v>
      </c>
      <c r="U6" s="392">
        <v>8</v>
      </c>
      <c r="V6" s="392">
        <v>15</v>
      </c>
    </row>
    <row r="7" spans="1:23" ht="53.25" customHeight="1">
      <c r="A7" s="656" t="s">
        <v>125</v>
      </c>
      <c r="B7" s="392">
        <v>13771</v>
      </c>
      <c r="C7" s="392">
        <v>3511</v>
      </c>
      <c r="D7" s="392">
        <v>17282</v>
      </c>
      <c r="E7" s="392">
        <v>930</v>
      </c>
      <c r="F7" s="392">
        <v>234</v>
      </c>
      <c r="G7" s="392">
        <v>1164</v>
      </c>
      <c r="H7" s="392">
        <v>195</v>
      </c>
      <c r="I7" s="392">
        <v>76</v>
      </c>
      <c r="J7" s="392">
        <v>271</v>
      </c>
      <c r="K7" s="392">
        <v>1793</v>
      </c>
      <c r="L7" s="392">
        <v>401</v>
      </c>
      <c r="M7" s="392">
        <v>2194</v>
      </c>
      <c r="N7" s="392">
        <v>48</v>
      </c>
      <c r="O7" s="392">
        <v>10</v>
      </c>
      <c r="P7" s="392">
        <v>58</v>
      </c>
      <c r="Q7" s="392">
        <v>404</v>
      </c>
      <c r="R7" s="392">
        <v>89</v>
      </c>
      <c r="S7" s="392">
        <v>493</v>
      </c>
      <c r="T7" s="392">
        <v>636</v>
      </c>
      <c r="U7" s="392">
        <v>216</v>
      </c>
      <c r="V7" s="392">
        <v>852</v>
      </c>
    </row>
    <row r="8" spans="1:23" ht="53.25" customHeight="1">
      <c r="A8" s="656" t="s">
        <v>126</v>
      </c>
      <c r="B8" s="392">
        <v>35167</v>
      </c>
      <c r="C8" s="392">
        <v>20311</v>
      </c>
      <c r="D8" s="392">
        <v>55478</v>
      </c>
      <c r="E8" s="392">
        <v>4703</v>
      </c>
      <c r="F8" s="392">
        <v>2023</v>
      </c>
      <c r="G8" s="392">
        <v>6726</v>
      </c>
      <c r="H8" s="392">
        <v>1145</v>
      </c>
      <c r="I8" s="392">
        <v>556</v>
      </c>
      <c r="J8" s="392">
        <v>1701</v>
      </c>
      <c r="K8" s="392">
        <v>9256</v>
      </c>
      <c r="L8" s="392">
        <v>4900</v>
      </c>
      <c r="M8" s="392">
        <v>14156</v>
      </c>
      <c r="N8" s="392">
        <v>168</v>
      </c>
      <c r="O8" s="392">
        <v>54</v>
      </c>
      <c r="P8" s="392">
        <v>222</v>
      </c>
      <c r="Q8" s="392">
        <v>2287</v>
      </c>
      <c r="R8" s="392">
        <v>1095</v>
      </c>
      <c r="S8" s="392">
        <v>3382</v>
      </c>
      <c r="T8" s="392">
        <v>2139</v>
      </c>
      <c r="U8" s="392">
        <v>2065</v>
      </c>
      <c r="V8" s="392">
        <v>4204</v>
      </c>
      <c r="W8" s="742">
        <f>D8+D9+D12</f>
        <v>57400</v>
      </c>
    </row>
    <row r="9" spans="1:23" ht="53.25" customHeight="1">
      <c r="A9" s="656" t="s">
        <v>127</v>
      </c>
      <c r="B9" s="392">
        <v>416</v>
      </c>
      <c r="C9" s="392">
        <v>208</v>
      </c>
      <c r="D9" s="392">
        <v>624</v>
      </c>
      <c r="E9" s="392">
        <v>59</v>
      </c>
      <c r="F9" s="392">
        <v>19</v>
      </c>
      <c r="G9" s="392">
        <v>78</v>
      </c>
      <c r="H9" s="392">
        <v>10</v>
      </c>
      <c r="I9" s="392">
        <v>4</v>
      </c>
      <c r="J9" s="392">
        <v>14</v>
      </c>
      <c r="K9" s="392">
        <v>101</v>
      </c>
      <c r="L9" s="392">
        <v>59</v>
      </c>
      <c r="M9" s="392">
        <v>160</v>
      </c>
      <c r="N9" s="392">
        <v>3</v>
      </c>
      <c r="O9" s="392">
        <v>0</v>
      </c>
      <c r="P9" s="392">
        <v>3</v>
      </c>
      <c r="Q9" s="392">
        <v>18</v>
      </c>
      <c r="R9" s="392">
        <v>5</v>
      </c>
      <c r="S9" s="392">
        <v>23</v>
      </c>
      <c r="T9" s="392">
        <v>13</v>
      </c>
      <c r="U9" s="392">
        <v>3</v>
      </c>
      <c r="V9" s="392">
        <v>16</v>
      </c>
      <c r="W9" s="742">
        <f>D10+D11</f>
        <v>67093</v>
      </c>
    </row>
    <row r="10" spans="1:23" ht="53.25" customHeight="1">
      <c r="A10" s="656" t="s">
        <v>128</v>
      </c>
      <c r="B10" s="392">
        <v>40002</v>
      </c>
      <c r="C10" s="392">
        <v>27042</v>
      </c>
      <c r="D10" s="392">
        <v>67044</v>
      </c>
      <c r="E10" s="392">
        <v>1307</v>
      </c>
      <c r="F10" s="392">
        <v>700</v>
      </c>
      <c r="G10" s="392">
        <v>2007</v>
      </c>
      <c r="H10" s="392">
        <v>549</v>
      </c>
      <c r="I10" s="392">
        <v>638</v>
      </c>
      <c r="J10" s="392">
        <v>1187</v>
      </c>
      <c r="K10" s="392">
        <v>5663</v>
      </c>
      <c r="L10" s="392">
        <v>3123</v>
      </c>
      <c r="M10" s="392">
        <v>8786</v>
      </c>
      <c r="N10" s="392">
        <v>49</v>
      </c>
      <c r="O10" s="392">
        <v>19</v>
      </c>
      <c r="P10" s="392">
        <v>68</v>
      </c>
      <c r="Q10" s="392">
        <v>2269</v>
      </c>
      <c r="R10" s="392">
        <v>1014</v>
      </c>
      <c r="S10" s="392">
        <v>3283</v>
      </c>
      <c r="T10" s="392">
        <v>2701</v>
      </c>
      <c r="U10" s="392">
        <v>3045</v>
      </c>
      <c r="V10" s="392">
        <v>5746</v>
      </c>
    </row>
    <row r="11" spans="1:23" ht="53.25" customHeight="1">
      <c r="A11" s="656" t="s">
        <v>136</v>
      </c>
      <c r="B11" s="392">
        <v>25</v>
      </c>
      <c r="C11" s="392">
        <v>24</v>
      </c>
      <c r="D11" s="392">
        <v>49</v>
      </c>
      <c r="E11" s="392">
        <v>0</v>
      </c>
      <c r="F11" s="392">
        <v>0</v>
      </c>
      <c r="G11" s="392">
        <v>0</v>
      </c>
      <c r="H11" s="392">
        <v>17</v>
      </c>
      <c r="I11" s="392">
        <v>15</v>
      </c>
      <c r="J11" s="392">
        <v>32</v>
      </c>
      <c r="K11" s="392">
        <v>0</v>
      </c>
      <c r="L11" s="392">
        <v>0</v>
      </c>
      <c r="M11" s="392">
        <v>0</v>
      </c>
      <c r="N11" s="392">
        <v>0</v>
      </c>
      <c r="O11" s="392">
        <v>0</v>
      </c>
      <c r="P11" s="392">
        <v>0</v>
      </c>
      <c r="Q11" s="392">
        <v>0</v>
      </c>
      <c r="R11" s="392">
        <v>0</v>
      </c>
      <c r="S11" s="392">
        <v>0</v>
      </c>
      <c r="T11" s="392">
        <v>15</v>
      </c>
      <c r="U11" s="392">
        <v>15</v>
      </c>
      <c r="V11" s="392">
        <v>30</v>
      </c>
    </row>
    <row r="12" spans="1:23" ht="53.25" customHeight="1">
      <c r="A12" s="656" t="s">
        <v>129</v>
      </c>
      <c r="B12" s="392">
        <v>888</v>
      </c>
      <c r="C12" s="392">
        <v>410</v>
      </c>
      <c r="D12" s="392">
        <v>1298</v>
      </c>
      <c r="E12" s="392">
        <v>66</v>
      </c>
      <c r="F12" s="392">
        <v>36</v>
      </c>
      <c r="G12" s="392">
        <v>102</v>
      </c>
      <c r="H12" s="392">
        <v>11</v>
      </c>
      <c r="I12" s="392">
        <v>4</v>
      </c>
      <c r="J12" s="392">
        <v>15</v>
      </c>
      <c r="K12" s="392">
        <v>184</v>
      </c>
      <c r="L12" s="392">
        <v>86</v>
      </c>
      <c r="M12" s="392">
        <v>270</v>
      </c>
      <c r="N12" s="392">
        <v>1</v>
      </c>
      <c r="O12" s="392">
        <v>1</v>
      </c>
      <c r="P12" s="392">
        <v>2</v>
      </c>
      <c r="Q12" s="392">
        <v>169</v>
      </c>
      <c r="R12" s="392">
        <v>45</v>
      </c>
      <c r="S12" s="392">
        <v>214</v>
      </c>
      <c r="T12" s="392">
        <v>14</v>
      </c>
      <c r="U12" s="392">
        <v>11</v>
      </c>
      <c r="V12" s="392">
        <v>25</v>
      </c>
    </row>
    <row r="13" spans="1:23" ht="53.25" customHeight="1">
      <c r="A13" s="656" t="s">
        <v>130</v>
      </c>
      <c r="B13" s="392">
        <v>3559</v>
      </c>
      <c r="C13" s="392">
        <v>1020</v>
      </c>
      <c r="D13" s="392">
        <v>4579</v>
      </c>
      <c r="E13" s="392">
        <v>226</v>
      </c>
      <c r="F13" s="392">
        <v>52</v>
      </c>
      <c r="G13" s="392">
        <v>278</v>
      </c>
      <c r="H13" s="392">
        <v>104</v>
      </c>
      <c r="I13" s="392">
        <v>24</v>
      </c>
      <c r="J13" s="392">
        <v>128</v>
      </c>
      <c r="K13" s="392">
        <v>329</v>
      </c>
      <c r="L13" s="392">
        <v>106</v>
      </c>
      <c r="M13" s="392">
        <v>435</v>
      </c>
      <c r="N13" s="392">
        <v>17</v>
      </c>
      <c r="O13" s="392">
        <v>3</v>
      </c>
      <c r="P13" s="392">
        <v>20</v>
      </c>
      <c r="Q13" s="392">
        <v>58</v>
      </c>
      <c r="R13" s="392">
        <v>19</v>
      </c>
      <c r="S13" s="392">
        <v>77</v>
      </c>
      <c r="T13" s="392">
        <v>406</v>
      </c>
      <c r="U13" s="392">
        <v>99</v>
      </c>
      <c r="V13" s="392">
        <v>505</v>
      </c>
    </row>
    <row r="14" spans="1:23" ht="53.25" customHeight="1">
      <c r="A14" s="656" t="s">
        <v>131</v>
      </c>
      <c r="B14" s="392">
        <v>1179</v>
      </c>
      <c r="C14" s="392">
        <v>1170</v>
      </c>
      <c r="D14" s="392">
        <v>2349</v>
      </c>
      <c r="E14" s="392">
        <v>106</v>
      </c>
      <c r="F14" s="392">
        <v>76</v>
      </c>
      <c r="G14" s="392">
        <v>182</v>
      </c>
      <c r="H14" s="392">
        <v>36</v>
      </c>
      <c r="I14" s="392">
        <v>20</v>
      </c>
      <c r="J14" s="392">
        <v>56</v>
      </c>
      <c r="K14" s="392">
        <v>176</v>
      </c>
      <c r="L14" s="392">
        <v>367</v>
      </c>
      <c r="M14" s="392">
        <v>543</v>
      </c>
      <c r="N14" s="392">
        <v>6</v>
      </c>
      <c r="O14" s="392">
        <v>6</v>
      </c>
      <c r="P14" s="392">
        <v>12</v>
      </c>
      <c r="Q14" s="392">
        <v>197</v>
      </c>
      <c r="R14" s="392">
        <v>134</v>
      </c>
      <c r="S14" s="392">
        <v>331</v>
      </c>
      <c r="T14" s="392">
        <v>182</v>
      </c>
      <c r="U14" s="392">
        <v>151</v>
      </c>
      <c r="V14" s="392">
        <v>333</v>
      </c>
    </row>
    <row r="15" spans="1:23" ht="53.25" customHeight="1">
      <c r="A15" s="656" t="s">
        <v>132</v>
      </c>
      <c r="B15" s="392">
        <v>30303</v>
      </c>
      <c r="C15" s="392">
        <v>22119</v>
      </c>
      <c r="D15" s="392">
        <v>52422</v>
      </c>
      <c r="E15" s="392">
        <v>1295</v>
      </c>
      <c r="F15" s="392">
        <v>876</v>
      </c>
      <c r="G15" s="392">
        <v>2171</v>
      </c>
      <c r="H15" s="392">
        <v>120</v>
      </c>
      <c r="I15" s="392">
        <v>117</v>
      </c>
      <c r="J15" s="392">
        <v>237</v>
      </c>
      <c r="K15" s="392">
        <v>10216</v>
      </c>
      <c r="L15" s="392">
        <v>7626</v>
      </c>
      <c r="M15" s="392">
        <v>17842</v>
      </c>
      <c r="N15" s="392">
        <v>36</v>
      </c>
      <c r="O15" s="392">
        <v>18</v>
      </c>
      <c r="P15" s="392">
        <v>54</v>
      </c>
      <c r="Q15" s="392">
        <v>982</v>
      </c>
      <c r="R15" s="392">
        <v>522</v>
      </c>
      <c r="S15" s="392">
        <v>1504</v>
      </c>
      <c r="T15" s="392">
        <v>2191</v>
      </c>
      <c r="U15" s="392">
        <v>2508</v>
      </c>
      <c r="V15" s="392">
        <v>4699</v>
      </c>
    </row>
    <row r="16" spans="1:23" s="401" customFormat="1" ht="53.25" customHeight="1">
      <c r="A16" s="683" t="s">
        <v>60</v>
      </c>
      <c r="B16" s="684">
        <f>SUM(B5:B15)</f>
        <v>134851</v>
      </c>
      <c r="C16" s="684">
        <f t="shared" ref="C16:V16" si="0">SUM(C5:C15)</f>
        <v>79479</v>
      </c>
      <c r="D16" s="684">
        <f t="shared" si="0"/>
        <v>214330</v>
      </c>
      <c r="E16" s="684">
        <f t="shared" si="0"/>
        <v>9709</v>
      </c>
      <c r="F16" s="684">
        <f t="shared" si="0"/>
        <v>4320</v>
      </c>
      <c r="G16" s="684">
        <f t="shared" si="0"/>
        <v>14029</v>
      </c>
      <c r="H16" s="684">
        <f t="shared" si="0"/>
        <v>2716</v>
      </c>
      <c r="I16" s="684">
        <f t="shared" si="0"/>
        <v>1798</v>
      </c>
      <c r="J16" s="684">
        <f t="shared" si="0"/>
        <v>4514</v>
      </c>
      <c r="K16" s="684">
        <f t="shared" si="0"/>
        <v>29208</v>
      </c>
      <c r="L16" s="684">
        <f t="shared" si="0"/>
        <v>17148</v>
      </c>
      <c r="M16" s="684">
        <f t="shared" si="0"/>
        <v>46356</v>
      </c>
      <c r="N16" s="684">
        <f t="shared" si="0"/>
        <v>444</v>
      </c>
      <c r="O16" s="684">
        <f t="shared" si="0"/>
        <v>127</v>
      </c>
      <c r="P16" s="684">
        <f t="shared" si="0"/>
        <v>571</v>
      </c>
      <c r="Q16" s="684">
        <f t="shared" si="0"/>
        <v>8356</v>
      </c>
      <c r="R16" s="684">
        <f t="shared" si="0"/>
        <v>3544</v>
      </c>
      <c r="S16" s="684">
        <f t="shared" si="0"/>
        <v>11900</v>
      </c>
      <c r="T16" s="684">
        <f t="shared" si="0"/>
        <v>8893</v>
      </c>
      <c r="U16" s="684">
        <f t="shared" si="0"/>
        <v>8595</v>
      </c>
      <c r="V16" s="684">
        <f t="shared" si="0"/>
        <v>17488</v>
      </c>
    </row>
    <row r="17" spans="1:22" s="390" customFormat="1" ht="53.25" customHeight="1">
      <c r="A17" s="682" t="s">
        <v>754</v>
      </c>
      <c r="B17" s="939" t="s">
        <v>821</v>
      </c>
      <c r="C17" s="939"/>
      <c r="D17" s="939"/>
      <c r="E17" s="939"/>
      <c r="F17" s="939"/>
      <c r="G17" s="939"/>
      <c r="H17" s="939"/>
      <c r="I17" s="939"/>
      <c r="J17" s="939"/>
      <c r="K17" s="939" t="str">
        <f>B17</f>
        <v>Social Group-wise Number of Teachers in various types of Universities (Based on actual Response)
(b) Affiliated and Constituent Colleges</v>
      </c>
      <c r="L17" s="939"/>
      <c r="M17" s="939"/>
      <c r="N17" s="939"/>
      <c r="O17" s="939"/>
      <c r="P17" s="939"/>
      <c r="Q17" s="939"/>
      <c r="R17" s="939"/>
      <c r="S17" s="939"/>
      <c r="T17" s="939"/>
      <c r="U17" s="939"/>
      <c r="V17" s="939"/>
    </row>
    <row r="18" spans="1:22" ht="53.25" customHeight="1">
      <c r="A18" s="685" t="s">
        <v>123</v>
      </c>
      <c r="B18" s="686">
        <v>15438</v>
      </c>
      <c r="C18" s="686">
        <v>16872</v>
      </c>
      <c r="D18" s="686">
        <v>32310</v>
      </c>
      <c r="E18" s="686">
        <v>1522</v>
      </c>
      <c r="F18" s="686">
        <v>1104</v>
      </c>
      <c r="G18" s="686">
        <v>2626</v>
      </c>
      <c r="H18" s="686">
        <v>3020</v>
      </c>
      <c r="I18" s="686">
        <v>3972</v>
      </c>
      <c r="J18" s="686">
        <v>6992</v>
      </c>
      <c r="K18" s="686">
        <v>3365</v>
      </c>
      <c r="L18" s="686">
        <v>2814</v>
      </c>
      <c r="M18" s="686">
        <v>6179</v>
      </c>
      <c r="N18" s="686">
        <v>151</v>
      </c>
      <c r="O18" s="686">
        <v>63</v>
      </c>
      <c r="P18" s="686">
        <v>214</v>
      </c>
      <c r="Q18" s="686">
        <v>862</v>
      </c>
      <c r="R18" s="686">
        <v>433</v>
      </c>
      <c r="S18" s="686">
        <v>1295</v>
      </c>
      <c r="T18" s="686">
        <v>3157</v>
      </c>
      <c r="U18" s="686">
        <v>4543</v>
      </c>
      <c r="V18" s="686">
        <v>7700</v>
      </c>
    </row>
    <row r="19" spans="1:22" ht="53.25" customHeight="1">
      <c r="A19" s="656" t="s">
        <v>126</v>
      </c>
      <c r="B19" s="402">
        <v>622449</v>
      </c>
      <c r="C19" s="402">
        <v>476121</v>
      </c>
      <c r="D19" s="402">
        <v>1098570</v>
      </c>
      <c r="E19" s="402">
        <v>63996</v>
      </c>
      <c r="F19" s="402">
        <v>36615</v>
      </c>
      <c r="G19" s="402">
        <v>100611</v>
      </c>
      <c r="H19" s="402">
        <v>13427</v>
      </c>
      <c r="I19" s="402">
        <v>7493</v>
      </c>
      <c r="J19" s="402">
        <v>20920</v>
      </c>
      <c r="K19" s="402">
        <v>216718</v>
      </c>
      <c r="L19" s="402">
        <v>155340</v>
      </c>
      <c r="M19" s="402">
        <v>372058</v>
      </c>
      <c r="N19" s="402">
        <v>2494</v>
      </c>
      <c r="O19" s="402">
        <v>920</v>
      </c>
      <c r="P19" s="402">
        <v>3414</v>
      </c>
      <c r="Q19" s="402">
        <v>37862</v>
      </c>
      <c r="R19" s="402">
        <v>23779</v>
      </c>
      <c r="S19" s="402">
        <v>61641</v>
      </c>
      <c r="T19" s="402">
        <v>34528</v>
      </c>
      <c r="U19" s="402">
        <v>57657</v>
      </c>
      <c r="V19" s="402">
        <v>92185</v>
      </c>
    </row>
    <row r="20" spans="1:22" s="401" customFormat="1" ht="53.25" customHeight="1">
      <c r="A20" s="657" t="s">
        <v>60</v>
      </c>
      <c r="B20" s="487">
        <f>B18+B19</f>
        <v>637887</v>
      </c>
      <c r="C20" s="487">
        <f t="shared" ref="C20:V20" si="1">C18+C19</f>
        <v>492993</v>
      </c>
      <c r="D20" s="487">
        <f t="shared" si="1"/>
        <v>1130880</v>
      </c>
      <c r="E20" s="487">
        <f t="shared" si="1"/>
        <v>65518</v>
      </c>
      <c r="F20" s="487">
        <f t="shared" si="1"/>
        <v>37719</v>
      </c>
      <c r="G20" s="487">
        <f t="shared" si="1"/>
        <v>103237</v>
      </c>
      <c r="H20" s="487">
        <f t="shared" si="1"/>
        <v>16447</v>
      </c>
      <c r="I20" s="487">
        <f t="shared" si="1"/>
        <v>11465</v>
      </c>
      <c r="J20" s="487">
        <f t="shared" si="1"/>
        <v>27912</v>
      </c>
      <c r="K20" s="487">
        <f t="shared" si="1"/>
        <v>220083</v>
      </c>
      <c r="L20" s="487">
        <f t="shared" si="1"/>
        <v>158154</v>
      </c>
      <c r="M20" s="487">
        <f t="shared" si="1"/>
        <v>378237</v>
      </c>
      <c r="N20" s="487">
        <f t="shared" si="1"/>
        <v>2645</v>
      </c>
      <c r="O20" s="487">
        <f t="shared" si="1"/>
        <v>983</v>
      </c>
      <c r="P20" s="487">
        <f t="shared" si="1"/>
        <v>3628</v>
      </c>
      <c r="Q20" s="487">
        <f t="shared" si="1"/>
        <v>38724</v>
      </c>
      <c r="R20" s="487">
        <f t="shared" si="1"/>
        <v>24212</v>
      </c>
      <c r="S20" s="487">
        <f t="shared" si="1"/>
        <v>62936</v>
      </c>
      <c r="T20" s="487">
        <f t="shared" si="1"/>
        <v>37685</v>
      </c>
      <c r="U20" s="487">
        <f t="shared" si="1"/>
        <v>62200</v>
      </c>
      <c r="V20" s="487">
        <f t="shared" si="1"/>
        <v>99885</v>
      </c>
    </row>
  </sheetData>
  <mergeCells count="12">
    <mergeCell ref="B17:J17"/>
    <mergeCell ref="K17:V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</mergeCells>
  <printOptions horizontalCentered="1"/>
  <pageMargins left="0.31496062992126" right="0.511811023622047" top="0.43307086614173201" bottom="0.511811023622047" header="0.27559055118110198" footer="0.23622047244094499"/>
  <pageSetup paperSize="9" scale="76" firstPageNumber="2" pageOrder="overThenDown" orientation="portrait" useFirstPageNumber="1" r:id="rId1"/>
  <headerFooter alignWithMargins="0">
    <oddFooter>&amp;L     AISHE 2019-20&amp;CT-30</oddFooter>
  </headerFooter>
  <colBreaks count="1" manualBreakCount="1">
    <brk id="10" max="18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>
    <tabColor rgb="FF00B050"/>
  </sheetPr>
  <dimension ref="A1:N42"/>
  <sheetViews>
    <sheetView view="pageBreakPreview" topLeftCell="B28" zoomScaleSheetLayoutView="100" workbookViewId="0">
      <selection activeCell="N42" sqref="N42"/>
    </sheetView>
  </sheetViews>
  <sheetFormatPr defaultColWidth="9.140625" defaultRowHeight="15"/>
  <cols>
    <col min="1" max="1" width="5.42578125" style="403" customWidth="1"/>
    <col min="2" max="2" width="27.140625" style="411" customWidth="1"/>
    <col min="3" max="3" width="8.28515625" style="403" customWidth="1"/>
    <col min="4" max="4" width="9.85546875" style="403" customWidth="1"/>
    <col min="5" max="5" width="9.5703125" style="403" customWidth="1"/>
    <col min="6" max="6" width="8.28515625" style="403" customWidth="1"/>
    <col min="7" max="7" width="8.85546875" style="403" customWidth="1"/>
    <col min="8" max="8" width="9.7109375" style="403" customWidth="1"/>
    <col min="9" max="9" width="7.85546875" style="403" customWidth="1"/>
    <col min="10" max="10" width="8.42578125" style="403" customWidth="1"/>
    <col min="11" max="11" width="9.140625" style="403" customWidth="1"/>
    <col min="12" max="12" width="8" style="403" customWidth="1"/>
    <col min="13" max="13" width="9.7109375" style="403" customWidth="1"/>
    <col min="14" max="14" width="9.140625" style="403" customWidth="1"/>
    <col min="15" max="16384" width="9.140625" style="403"/>
  </cols>
  <sheetData>
    <row r="1" spans="1:14" ht="27" customHeight="1">
      <c r="A1" s="730"/>
      <c r="B1" s="731" t="s">
        <v>918</v>
      </c>
      <c r="C1" s="908" t="s">
        <v>919</v>
      </c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</row>
    <row r="2" spans="1:14" ht="20.45" customHeight="1">
      <c r="A2" s="945" t="s">
        <v>165</v>
      </c>
      <c r="B2" s="947" t="s">
        <v>713</v>
      </c>
      <c r="C2" s="944" t="s">
        <v>741</v>
      </c>
      <c r="D2" s="944"/>
      <c r="E2" s="944"/>
      <c r="F2" s="944" t="s">
        <v>742</v>
      </c>
      <c r="G2" s="944"/>
      <c r="H2" s="944"/>
      <c r="I2" s="944" t="s">
        <v>743</v>
      </c>
      <c r="J2" s="944"/>
      <c r="K2" s="944"/>
      <c r="L2" s="944" t="s">
        <v>744</v>
      </c>
      <c r="M2" s="944"/>
      <c r="N2" s="944"/>
    </row>
    <row r="3" spans="1:14" ht="25.5">
      <c r="A3" s="945"/>
      <c r="B3" s="947"/>
      <c r="C3" s="488" t="s">
        <v>177</v>
      </c>
      <c r="D3" s="488" t="s">
        <v>745</v>
      </c>
      <c r="E3" s="488" t="s">
        <v>746</v>
      </c>
      <c r="F3" s="488" t="s">
        <v>177</v>
      </c>
      <c r="G3" s="488" t="s">
        <v>745</v>
      </c>
      <c r="H3" s="488" t="s">
        <v>746</v>
      </c>
      <c r="I3" s="488" t="s">
        <v>177</v>
      </c>
      <c r="J3" s="488" t="s">
        <v>745</v>
      </c>
      <c r="K3" s="488" t="s">
        <v>746</v>
      </c>
      <c r="L3" s="488" t="s">
        <v>177</v>
      </c>
      <c r="M3" s="488" t="s">
        <v>745</v>
      </c>
      <c r="N3" s="488" t="s">
        <v>746</v>
      </c>
    </row>
    <row r="4" spans="1:14" ht="12.75">
      <c r="A4" s="404">
        <v>1</v>
      </c>
      <c r="B4" s="405">
        <v>2</v>
      </c>
      <c r="C4" s="404">
        <v>3</v>
      </c>
      <c r="D4" s="405">
        <v>4</v>
      </c>
      <c r="E4" s="404">
        <v>5</v>
      </c>
      <c r="F4" s="405">
        <v>6</v>
      </c>
      <c r="G4" s="404">
        <v>7</v>
      </c>
      <c r="H4" s="405">
        <v>8</v>
      </c>
      <c r="I4" s="404">
        <v>9</v>
      </c>
      <c r="J4" s="405">
        <v>10</v>
      </c>
      <c r="K4" s="404">
        <v>11</v>
      </c>
      <c r="L4" s="405">
        <v>12</v>
      </c>
      <c r="M4" s="404">
        <v>13</v>
      </c>
      <c r="N4" s="405">
        <v>14</v>
      </c>
    </row>
    <row r="5" spans="1:14" s="409" customFormat="1" ht="31.5">
      <c r="A5" s="406">
        <v>1</v>
      </c>
      <c r="B5" s="407" t="s">
        <v>154</v>
      </c>
      <c r="C5" s="408">
        <v>10</v>
      </c>
      <c r="D5" s="408">
        <v>951</v>
      </c>
      <c r="E5" s="408">
        <v>736</v>
      </c>
      <c r="F5" s="408">
        <v>9</v>
      </c>
      <c r="G5" s="408">
        <v>886</v>
      </c>
      <c r="H5" s="408">
        <v>1104</v>
      </c>
      <c r="I5" s="408">
        <v>0</v>
      </c>
      <c r="J5" s="408">
        <v>0</v>
      </c>
      <c r="K5" s="408">
        <v>0</v>
      </c>
      <c r="L5" s="408">
        <v>19</v>
      </c>
      <c r="M5" s="408">
        <v>1837</v>
      </c>
      <c r="N5" s="408">
        <v>1840</v>
      </c>
    </row>
    <row r="6" spans="1:14" ht="25.5" customHeight="1">
      <c r="A6" s="406">
        <v>2</v>
      </c>
      <c r="B6" s="407" t="s">
        <v>15</v>
      </c>
      <c r="C6" s="408">
        <v>861</v>
      </c>
      <c r="D6" s="408">
        <v>218235</v>
      </c>
      <c r="E6" s="408">
        <v>159086</v>
      </c>
      <c r="F6" s="408">
        <v>1216</v>
      </c>
      <c r="G6" s="408">
        <v>265143</v>
      </c>
      <c r="H6" s="408">
        <v>195985</v>
      </c>
      <c r="I6" s="408">
        <v>29</v>
      </c>
      <c r="J6" s="408">
        <v>6344</v>
      </c>
      <c r="K6" s="408">
        <v>3823</v>
      </c>
      <c r="L6" s="408">
        <v>2106</v>
      </c>
      <c r="M6" s="408">
        <v>489722</v>
      </c>
      <c r="N6" s="408">
        <v>358894</v>
      </c>
    </row>
    <row r="7" spans="1:14" ht="25.5" customHeight="1">
      <c r="A7" s="406">
        <v>3</v>
      </c>
      <c r="B7" s="407" t="s">
        <v>16</v>
      </c>
      <c r="C7" s="408">
        <v>58</v>
      </c>
      <c r="D7" s="408">
        <v>5111</v>
      </c>
      <c r="E7" s="408">
        <v>4136</v>
      </c>
      <c r="F7" s="408">
        <v>54</v>
      </c>
      <c r="G7" s="408">
        <v>4330</v>
      </c>
      <c r="H7" s="408">
        <v>3544</v>
      </c>
      <c r="I7" s="408">
        <v>2</v>
      </c>
      <c r="J7" s="408">
        <v>133</v>
      </c>
      <c r="K7" s="408">
        <v>106</v>
      </c>
      <c r="L7" s="408">
        <v>114</v>
      </c>
      <c r="M7" s="408">
        <v>9574</v>
      </c>
      <c r="N7" s="408">
        <v>7786</v>
      </c>
    </row>
    <row r="8" spans="1:14" ht="25.5" customHeight="1">
      <c r="A8" s="406">
        <v>4</v>
      </c>
      <c r="B8" s="407" t="s">
        <v>17</v>
      </c>
      <c r="C8" s="408">
        <v>337</v>
      </c>
      <c r="D8" s="408">
        <v>36247</v>
      </c>
      <c r="E8" s="408">
        <v>27909</v>
      </c>
      <c r="F8" s="408">
        <v>520</v>
      </c>
      <c r="G8" s="408">
        <v>41009</v>
      </c>
      <c r="H8" s="408">
        <v>31489</v>
      </c>
      <c r="I8" s="408">
        <v>13</v>
      </c>
      <c r="J8" s="408">
        <v>727</v>
      </c>
      <c r="K8" s="408">
        <v>725</v>
      </c>
      <c r="L8" s="408">
        <v>870</v>
      </c>
      <c r="M8" s="408">
        <v>77983</v>
      </c>
      <c r="N8" s="408">
        <v>60123</v>
      </c>
    </row>
    <row r="9" spans="1:14" s="409" customFormat="1" ht="25.5" customHeight="1">
      <c r="A9" s="406">
        <v>5</v>
      </c>
      <c r="B9" s="407" t="s">
        <v>18</v>
      </c>
      <c r="C9" s="408">
        <v>458</v>
      </c>
      <c r="D9" s="408">
        <v>49760</v>
      </c>
      <c r="E9" s="408">
        <v>30881</v>
      </c>
      <c r="F9" s="408">
        <v>453</v>
      </c>
      <c r="G9" s="408">
        <v>38848</v>
      </c>
      <c r="H9" s="408">
        <v>21322</v>
      </c>
      <c r="I9" s="408">
        <v>26</v>
      </c>
      <c r="J9" s="408">
        <v>2445</v>
      </c>
      <c r="K9" s="408">
        <v>1842</v>
      </c>
      <c r="L9" s="408">
        <v>937</v>
      </c>
      <c r="M9" s="408">
        <v>91053</v>
      </c>
      <c r="N9" s="408">
        <v>54045</v>
      </c>
    </row>
    <row r="10" spans="1:14" ht="25.5" customHeight="1">
      <c r="A10" s="406">
        <v>6</v>
      </c>
      <c r="B10" s="407" t="s">
        <v>19</v>
      </c>
      <c r="C10" s="408">
        <v>32</v>
      </c>
      <c r="D10" s="408">
        <v>6816</v>
      </c>
      <c r="E10" s="408">
        <v>6428</v>
      </c>
      <c r="F10" s="408">
        <v>54</v>
      </c>
      <c r="G10" s="408">
        <v>9942</v>
      </c>
      <c r="H10" s="408">
        <v>9594</v>
      </c>
      <c r="I10" s="408">
        <v>10</v>
      </c>
      <c r="J10" s="408">
        <v>1134</v>
      </c>
      <c r="K10" s="408">
        <v>1134</v>
      </c>
      <c r="L10" s="408">
        <v>96</v>
      </c>
      <c r="M10" s="408">
        <v>17892</v>
      </c>
      <c r="N10" s="408">
        <v>17156</v>
      </c>
    </row>
    <row r="11" spans="1:14" ht="25.5" customHeight="1">
      <c r="A11" s="406">
        <v>7</v>
      </c>
      <c r="B11" s="407" t="s">
        <v>20</v>
      </c>
      <c r="C11" s="408">
        <v>333</v>
      </c>
      <c r="D11" s="408">
        <v>33547</v>
      </c>
      <c r="E11" s="408">
        <v>20340</v>
      </c>
      <c r="F11" s="408">
        <v>467</v>
      </c>
      <c r="G11" s="408">
        <v>51261</v>
      </c>
      <c r="H11" s="408">
        <v>30369</v>
      </c>
      <c r="I11" s="408">
        <v>7</v>
      </c>
      <c r="J11" s="408">
        <v>292</v>
      </c>
      <c r="K11" s="408">
        <v>177</v>
      </c>
      <c r="L11" s="408">
        <v>807</v>
      </c>
      <c r="M11" s="408">
        <v>85100</v>
      </c>
      <c r="N11" s="408">
        <v>50886</v>
      </c>
    </row>
    <row r="12" spans="1:14" ht="25.5" customHeight="1">
      <c r="A12" s="406">
        <v>8</v>
      </c>
      <c r="B12" s="407" t="s">
        <v>155</v>
      </c>
      <c r="C12" s="408">
        <v>6</v>
      </c>
      <c r="D12" s="408">
        <v>871</v>
      </c>
      <c r="E12" s="408">
        <v>260</v>
      </c>
      <c r="F12" s="408">
        <v>6</v>
      </c>
      <c r="G12" s="408">
        <v>806</v>
      </c>
      <c r="H12" s="408">
        <v>390</v>
      </c>
      <c r="I12" s="408">
        <v>0</v>
      </c>
      <c r="J12" s="408">
        <v>0</v>
      </c>
      <c r="K12" s="408">
        <v>0</v>
      </c>
      <c r="L12" s="408">
        <v>12</v>
      </c>
      <c r="M12" s="408">
        <v>1677</v>
      </c>
      <c r="N12" s="408">
        <v>650</v>
      </c>
    </row>
    <row r="13" spans="1:14" ht="25.5" customHeight="1">
      <c r="A13" s="406">
        <v>9</v>
      </c>
      <c r="B13" s="407" t="s">
        <v>156</v>
      </c>
      <c r="C13" s="408">
        <v>4</v>
      </c>
      <c r="D13" s="408">
        <v>330</v>
      </c>
      <c r="E13" s="408">
        <v>255</v>
      </c>
      <c r="F13" s="408">
        <v>4</v>
      </c>
      <c r="G13" s="408">
        <v>608</v>
      </c>
      <c r="H13" s="408">
        <v>340</v>
      </c>
      <c r="I13" s="408">
        <v>0</v>
      </c>
      <c r="J13" s="408">
        <v>0</v>
      </c>
      <c r="K13" s="408">
        <v>0</v>
      </c>
      <c r="L13" s="408">
        <v>8</v>
      </c>
      <c r="M13" s="408">
        <v>938</v>
      </c>
      <c r="N13" s="408">
        <v>595</v>
      </c>
    </row>
    <row r="14" spans="1:14" ht="25.5" customHeight="1">
      <c r="A14" s="406">
        <v>10</v>
      </c>
      <c r="B14" s="407" t="s">
        <v>23</v>
      </c>
      <c r="C14" s="408">
        <v>138</v>
      </c>
      <c r="D14" s="408">
        <v>25042</v>
      </c>
      <c r="E14" s="408">
        <v>24047</v>
      </c>
      <c r="F14" s="408">
        <v>165</v>
      </c>
      <c r="G14" s="408">
        <v>27903</v>
      </c>
      <c r="H14" s="408">
        <v>24422</v>
      </c>
      <c r="I14" s="408">
        <v>30</v>
      </c>
      <c r="J14" s="408">
        <v>3433</v>
      </c>
      <c r="K14" s="408">
        <v>3081</v>
      </c>
      <c r="L14" s="408">
        <v>333</v>
      </c>
      <c r="M14" s="408">
        <v>56378</v>
      </c>
      <c r="N14" s="408">
        <v>51550</v>
      </c>
    </row>
    <row r="15" spans="1:14" ht="25.5" customHeight="1">
      <c r="A15" s="406">
        <v>11</v>
      </c>
      <c r="B15" s="407" t="s">
        <v>24</v>
      </c>
      <c r="C15" s="408">
        <v>31</v>
      </c>
      <c r="D15" s="408">
        <v>2967</v>
      </c>
      <c r="E15" s="408">
        <v>1940</v>
      </c>
      <c r="F15" s="408">
        <v>28</v>
      </c>
      <c r="G15" s="408">
        <v>2059</v>
      </c>
      <c r="H15" s="408">
        <v>1301</v>
      </c>
      <c r="I15" s="408">
        <v>7</v>
      </c>
      <c r="J15" s="408">
        <v>379</v>
      </c>
      <c r="K15" s="408">
        <v>351</v>
      </c>
      <c r="L15" s="408">
        <v>66</v>
      </c>
      <c r="M15" s="408">
        <v>5405</v>
      </c>
      <c r="N15" s="408">
        <v>3592</v>
      </c>
    </row>
    <row r="16" spans="1:14" ht="25.5" customHeight="1">
      <c r="A16" s="406">
        <v>12</v>
      </c>
      <c r="B16" s="407" t="s">
        <v>25</v>
      </c>
      <c r="C16" s="408">
        <v>1570</v>
      </c>
      <c r="D16" s="408">
        <v>249083</v>
      </c>
      <c r="E16" s="408">
        <v>110680</v>
      </c>
      <c r="F16" s="408">
        <v>1669</v>
      </c>
      <c r="G16" s="408">
        <v>272584</v>
      </c>
      <c r="H16" s="408">
        <v>114286</v>
      </c>
      <c r="I16" s="408">
        <v>103</v>
      </c>
      <c r="J16" s="408">
        <v>15610</v>
      </c>
      <c r="K16" s="408">
        <v>7670</v>
      </c>
      <c r="L16" s="408">
        <v>3343</v>
      </c>
      <c r="M16" s="408">
        <v>537277</v>
      </c>
      <c r="N16" s="408">
        <v>232636</v>
      </c>
    </row>
    <row r="17" spans="1:14" ht="25.5" customHeight="1">
      <c r="A17" s="406">
        <v>13</v>
      </c>
      <c r="B17" s="407" t="s">
        <v>26</v>
      </c>
      <c r="C17" s="408">
        <v>509</v>
      </c>
      <c r="D17" s="408">
        <v>95472</v>
      </c>
      <c r="E17" s="408">
        <v>53664</v>
      </c>
      <c r="F17" s="408">
        <v>585</v>
      </c>
      <c r="G17" s="408">
        <v>93868</v>
      </c>
      <c r="H17" s="408">
        <v>50161</v>
      </c>
      <c r="I17" s="408">
        <v>28</v>
      </c>
      <c r="J17" s="408">
        <v>5338</v>
      </c>
      <c r="K17" s="408">
        <v>3947</v>
      </c>
      <c r="L17" s="408">
        <v>1122</v>
      </c>
      <c r="M17" s="408">
        <v>194678</v>
      </c>
      <c r="N17" s="408">
        <v>107772</v>
      </c>
    </row>
    <row r="18" spans="1:14" ht="25.5" customHeight="1">
      <c r="A18" s="406">
        <v>14</v>
      </c>
      <c r="B18" s="407" t="s">
        <v>27</v>
      </c>
      <c r="C18" s="408">
        <v>198</v>
      </c>
      <c r="D18" s="408">
        <v>26830</v>
      </c>
      <c r="E18" s="408">
        <v>13398</v>
      </c>
      <c r="F18" s="408">
        <v>335</v>
      </c>
      <c r="G18" s="408">
        <v>35896</v>
      </c>
      <c r="H18" s="408">
        <v>22803</v>
      </c>
      <c r="I18" s="408">
        <v>12</v>
      </c>
      <c r="J18" s="408">
        <v>957</v>
      </c>
      <c r="K18" s="408">
        <v>425</v>
      </c>
      <c r="L18" s="408">
        <v>545</v>
      </c>
      <c r="M18" s="408">
        <v>63683</v>
      </c>
      <c r="N18" s="408">
        <v>36626</v>
      </c>
    </row>
    <row r="19" spans="1:14" ht="25.5" customHeight="1">
      <c r="A19" s="406">
        <v>15</v>
      </c>
      <c r="B19" s="407" t="s">
        <v>57</v>
      </c>
      <c r="C19" s="408">
        <v>208</v>
      </c>
      <c r="D19" s="408">
        <v>22387</v>
      </c>
      <c r="E19" s="408">
        <v>11990</v>
      </c>
      <c r="F19" s="408">
        <v>239</v>
      </c>
      <c r="G19" s="408">
        <v>23583</v>
      </c>
      <c r="H19" s="408">
        <v>10469</v>
      </c>
      <c r="I19" s="408">
        <v>15</v>
      </c>
      <c r="J19" s="408">
        <v>1207</v>
      </c>
      <c r="K19" s="408">
        <v>540</v>
      </c>
      <c r="L19" s="408">
        <v>462</v>
      </c>
      <c r="M19" s="408">
        <v>47177</v>
      </c>
      <c r="N19" s="408">
        <v>22999</v>
      </c>
    </row>
    <row r="20" spans="1:14" ht="25.5" customHeight="1">
      <c r="A20" s="406">
        <v>16</v>
      </c>
      <c r="B20" s="407" t="s">
        <v>29</v>
      </c>
      <c r="C20" s="408">
        <v>316</v>
      </c>
      <c r="D20" s="408">
        <v>49380</v>
      </c>
      <c r="E20" s="408">
        <v>36290</v>
      </c>
      <c r="F20" s="408">
        <v>241</v>
      </c>
      <c r="G20" s="408">
        <v>32223</v>
      </c>
      <c r="H20" s="408">
        <v>20778</v>
      </c>
      <c r="I20" s="408">
        <v>15</v>
      </c>
      <c r="J20" s="408">
        <v>877</v>
      </c>
      <c r="K20" s="408">
        <v>486</v>
      </c>
      <c r="L20" s="408">
        <v>572</v>
      </c>
      <c r="M20" s="408">
        <v>82480</v>
      </c>
      <c r="N20" s="408">
        <v>57554</v>
      </c>
    </row>
    <row r="21" spans="1:14" ht="25.5" customHeight="1">
      <c r="A21" s="406">
        <v>17</v>
      </c>
      <c r="B21" s="407" t="s">
        <v>30</v>
      </c>
      <c r="C21" s="408">
        <v>2701</v>
      </c>
      <c r="D21" s="408">
        <v>437418</v>
      </c>
      <c r="E21" s="408">
        <v>239471</v>
      </c>
      <c r="F21" s="408">
        <v>3094</v>
      </c>
      <c r="G21" s="408">
        <v>519212</v>
      </c>
      <c r="H21" s="408">
        <v>286231</v>
      </c>
      <c r="I21" s="408">
        <v>106</v>
      </c>
      <c r="J21" s="408">
        <v>12401</v>
      </c>
      <c r="K21" s="408">
        <v>7677</v>
      </c>
      <c r="L21" s="408">
        <v>5901</v>
      </c>
      <c r="M21" s="408">
        <v>969031</v>
      </c>
      <c r="N21" s="408">
        <v>533379</v>
      </c>
    </row>
    <row r="22" spans="1:14" ht="25.5" customHeight="1">
      <c r="A22" s="406">
        <v>18</v>
      </c>
      <c r="B22" s="407" t="s">
        <v>31</v>
      </c>
      <c r="C22" s="408">
        <v>753</v>
      </c>
      <c r="D22" s="408">
        <v>91513</v>
      </c>
      <c r="E22" s="408">
        <v>56874</v>
      </c>
      <c r="F22" s="408">
        <v>1348</v>
      </c>
      <c r="G22" s="408">
        <v>186686</v>
      </c>
      <c r="H22" s="408">
        <v>121747</v>
      </c>
      <c r="I22" s="408">
        <v>43</v>
      </c>
      <c r="J22" s="408">
        <v>3817</v>
      </c>
      <c r="K22" s="408">
        <v>2840</v>
      </c>
      <c r="L22" s="408">
        <v>2144</v>
      </c>
      <c r="M22" s="408">
        <v>282016</v>
      </c>
      <c r="N22" s="408">
        <v>181461</v>
      </c>
    </row>
    <row r="23" spans="1:14" ht="25.5" customHeight="1">
      <c r="A23" s="406">
        <v>19</v>
      </c>
      <c r="B23" s="407" t="s">
        <v>761</v>
      </c>
      <c r="C23" s="408">
        <v>6</v>
      </c>
      <c r="D23" s="408">
        <v>339</v>
      </c>
      <c r="E23" s="408">
        <v>266</v>
      </c>
      <c r="F23" s="408">
        <v>4</v>
      </c>
      <c r="G23" s="408">
        <v>184</v>
      </c>
      <c r="H23" s="408">
        <v>153</v>
      </c>
      <c r="I23" s="408">
        <v>1</v>
      </c>
      <c r="J23" s="408">
        <v>50</v>
      </c>
      <c r="K23" s="408">
        <v>40</v>
      </c>
      <c r="L23" s="408">
        <v>11</v>
      </c>
      <c r="M23" s="408">
        <v>573</v>
      </c>
      <c r="N23" s="408">
        <v>459</v>
      </c>
    </row>
    <row r="24" spans="1:14" s="409" customFormat="1" ht="25.5" customHeight="1">
      <c r="A24" s="406">
        <v>20</v>
      </c>
      <c r="B24" s="407" t="s">
        <v>32</v>
      </c>
      <c r="C24" s="408">
        <v>3</v>
      </c>
      <c r="D24" s="408">
        <v>245</v>
      </c>
      <c r="E24" s="408">
        <v>64</v>
      </c>
      <c r="F24" s="408">
        <v>3</v>
      </c>
      <c r="G24" s="408">
        <v>228</v>
      </c>
      <c r="H24" s="408">
        <v>193</v>
      </c>
      <c r="I24" s="408">
        <v>0</v>
      </c>
      <c r="J24" s="408">
        <v>0</v>
      </c>
      <c r="K24" s="408">
        <v>0</v>
      </c>
      <c r="L24" s="408">
        <v>6</v>
      </c>
      <c r="M24" s="408">
        <v>473</v>
      </c>
      <c r="N24" s="408">
        <v>257</v>
      </c>
    </row>
    <row r="25" spans="1:14" ht="25.5" customHeight="1">
      <c r="A25" s="406">
        <v>21</v>
      </c>
      <c r="B25" s="407" t="s">
        <v>33</v>
      </c>
      <c r="C25" s="408">
        <v>618</v>
      </c>
      <c r="D25" s="408">
        <v>75798</v>
      </c>
      <c r="E25" s="408">
        <v>48421</v>
      </c>
      <c r="F25" s="408">
        <v>612</v>
      </c>
      <c r="G25" s="408">
        <v>74616</v>
      </c>
      <c r="H25" s="408">
        <v>45763</v>
      </c>
      <c r="I25" s="408">
        <v>30</v>
      </c>
      <c r="J25" s="408">
        <v>4674</v>
      </c>
      <c r="K25" s="408">
        <v>2467</v>
      </c>
      <c r="L25" s="408">
        <v>1260</v>
      </c>
      <c r="M25" s="408">
        <v>155088</v>
      </c>
      <c r="N25" s="408">
        <v>96651</v>
      </c>
    </row>
    <row r="26" spans="1:14" ht="25.5" customHeight="1">
      <c r="A26" s="406">
        <v>22</v>
      </c>
      <c r="B26" s="407" t="s">
        <v>34</v>
      </c>
      <c r="C26" s="408">
        <v>2466</v>
      </c>
      <c r="D26" s="408">
        <v>324514</v>
      </c>
      <c r="E26" s="408">
        <v>178347</v>
      </c>
      <c r="F26" s="408">
        <v>3339</v>
      </c>
      <c r="G26" s="408">
        <v>375292</v>
      </c>
      <c r="H26" s="408">
        <v>200273</v>
      </c>
      <c r="I26" s="408">
        <v>164</v>
      </c>
      <c r="J26" s="408">
        <v>18680</v>
      </c>
      <c r="K26" s="408">
        <v>13324</v>
      </c>
      <c r="L26" s="408">
        <v>5970</v>
      </c>
      <c r="M26" s="408">
        <v>718486</v>
      </c>
      <c r="N26" s="408">
        <v>391944</v>
      </c>
    </row>
    <row r="27" spans="1:14" ht="25.5" customHeight="1">
      <c r="A27" s="406">
        <v>23</v>
      </c>
      <c r="B27" s="407" t="s">
        <v>35</v>
      </c>
      <c r="C27" s="408">
        <v>114</v>
      </c>
      <c r="D27" s="408">
        <v>6122</v>
      </c>
      <c r="E27" s="408">
        <v>5604</v>
      </c>
      <c r="F27" s="408">
        <v>161</v>
      </c>
      <c r="G27" s="408">
        <v>9927</v>
      </c>
      <c r="H27" s="408">
        <v>8356</v>
      </c>
      <c r="I27" s="408">
        <v>7</v>
      </c>
      <c r="J27" s="408">
        <v>315</v>
      </c>
      <c r="K27" s="408">
        <v>263</v>
      </c>
      <c r="L27" s="408">
        <v>282</v>
      </c>
      <c r="M27" s="408">
        <v>16364</v>
      </c>
      <c r="N27" s="408">
        <v>14223</v>
      </c>
    </row>
    <row r="28" spans="1:14" ht="25.5" customHeight="1">
      <c r="A28" s="406">
        <v>24</v>
      </c>
      <c r="B28" s="407" t="s">
        <v>36</v>
      </c>
      <c r="C28" s="408">
        <v>64</v>
      </c>
      <c r="D28" s="408">
        <v>5300</v>
      </c>
      <c r="E28" s="408">
        <v>4872</v>
      </c>
      <c r="F28" s="408">
        <v>76</v>
      </c>
      <c r="G28" s="408">
        <v>5523</v>
      </c>
      <c r="H28" s="408">
        <v>4967</v>
      </c>
      <c r="I28" s="408">
        <v>3</v>
      </c>
      <c r="J28" s="408">
        <v>106</v>
      </c>
      <c r="K28" s="408">
        <v>100</v>
      </c>
      <c r="L28" s="408">
        <v>143</v>
      </c>
      <c r="M28" s="408">
        <v>10929</v>
      </c>
      <c r="N28" s="408">
        <v>9939</v>
      </c>
    </row>
    <row r="29" spans="1:14" ht="25.5" customHeight="1">
      <c r="A29" s="406">
        <v>25</v>
      </c>
      <c r="B29" s="407" t="s">
        <v>37</v>
      </c>
      <c r="C29" s="408">
        <v>43</v>
      </c>
      <c r="D29" s="408">
        <v>2383</v>
      </c>
      <c r="E29" s="408">
        <v>1971</v>
      </c>
      <c r="F29" s="408">
        <v>53</v>
      </c>
      <c r="G29" s="408">
        <v>2884</v>
      </c>
      <c r="H29" s="408">
        <v>2292</v>
      </c>
      <c r="I29" s="408">
        <v>0</v>
      </c>
      <c r="J29" s="408">
        <v>0</v>
      </c>
      <c r="K29" s="408">
        <v>0</v>
      </c>
      <c r="L29" s="408">
        <v>96</v>
      </c>
      <c r="M29" s="408">
        <v>5267</v>
      </c>
      <c r="N29" s="408">
        <v>4263</v>
      </c>
    </row>
    <row r="30" spans="1:14" ht="25.5" customHeight="1">
      <c r="A30" s="406">
        <v>26</v>
      </c>
      <c r="B30" s="407" t="s">
        <v>38</v>
      </c>
      <c r="C30" s="408">
        <v>90</v>
      </c>
      <c r="D30" s="408">
        <v>5327</v>
      </c>
      <c r="E30" s="408">
        <v>3780</v>
      </c>
      <c r="F30" s="408">
        <v>82</v>
      </c>
      <c r="G30" s="408">
        <v>5316</v>
      </c>
      <c r="H30" s="408">
        <v>4075</v>
      </c>
      <c r="I30" s="408">
        <v>1</v>
      </c>
      <c r="J30" s="408">
        <v>27</v>
      </c>
      <c r="K30" s="408">
        <v>16</v>
      </c>
      <c r="L30" s="408">
        <v>173</v>
      </c>
      <c r="M30" s="408">
        <v>10670</v>
      </c>
      <c r="N30" s="408">
        <v>7871</v>
      </c>
    </row>
    <row r="31" spans="1:14" ht="25.5" customHeight="1">
      <c r="A31" s="406">
        <v>27</v>
      </c>
      <c r="B31" s="407" t="s">
        <v>39</v>
      </c>
      <c r="C31" s="408">
        <v>1082</v>
      </c>
      <c r="D31" s="408">
        <v>152479</v>
      </c>
      <c r="E31" s="408">
        <v>114861</v>
      </c>
      <c r="F31" s="408">
        <v>1231</v>
      </c>
      <c r="G31" s="408">
        <v>135795</v>
      </c>
      <c r="H31" s="408">
        <v>101903</v>
      </c>
      <c r="I31" s="408">
        <v>30</v>
      </c>
      <c r="J31" s="408">
        <v>4055</v>
      </c>
      <c r="K31" s="408">
        <v>1584</v>
      </c>
      <c r="L31" s="408">
        <v>2343</v>
      </c>
      <c r="M31" s="408">
        <v>292329</v>
      </c>
      <c r="N31" s="408">
        <v>218348</v>
      </c>
    </row>
    <row r="32" spans="1:14" ht="25.5" customHeight="1">
      <c r="A32" s="406">
        <v>28</v>
      </c>
      <c r="B32" s="407" t="s">
        <v>40</v>
      </c>
      <c r="C32" s="408">
        <v>78</v>
      </c>
      <c r="D32" s="408">
        <v>14366</v>
      </c>
      <c r="E32" s="408">
        <v>9952</v>
      </c>
      <c r="F32" s="408">
        <v>72</v>
      </c>
      <c r="G32" s="408">
        <v>12585</v>
      </c>
      <c r="H32" s="408">
        <v>9276</v>
      </c>
      <c r="I32" s="408">
        <v>5</v>
      </c>
      <c r="J32" s="408">
        <v>616</v>
      </c>
      <c r="K32" s="408">
        <v>465</v>
      </c>
      <c r="L32" s="408">
        <v>155</v>
      </c>
      <c r="M32" s="408">
        <v>27567</v>
      </c>
      <c r="N32" s="408">
        <v>19693</v>
      </c>
    </row>
    <row r="33" spans="1:14" s="409" customFormat="1" ht="25.5" customHeight="1">
      <c r="A33" s="406">
        <v>29</v>
      </c>
      <c r="B33" s="407" t="s">
        <v>41</v>
      </c>
      <c r="C33" s="408">
        <v>699</v>
      </c>
      <c r="D33" s="408">
        <v>153514</v>
      </c>
      <c r="E33" s="408">
        <v>84511</v>
      </c>
      <c r="F33" s="408">
        <v>891</v>
      </c>
      <c r="G33" s="408">
        <v>147953</v>
      </c>
      <c r="H33" s="408">
        <v>68151</v>
      </c>
      <c r="I33" s="408">
        <v>31</v>
      </c>
      <c r="J33" s="408">
        <v>4900</v>
      </c>
      <c r="K33" s="408">
        <v>3320</v>
      </c>
      <c r="L33" s="408">
        <v>1621</v>
      </c>
      <c r="M33" s="408">
        <v>306367</v>
      </c>
      <c r="N33" s="408">
        <v>155982</v>
      </c>
    </row>
    <row r="34" spans="1:14" ht="25.5" customHeight="1">
      <c r="A34" s="406">
        <v>30</v>
      </c>
      <c r="B34" s="407" t="s">
        <v>42</v>
      </c>
      <c r="C34" s="408">
        <v>952</v>
      </c>
      <c r="D34" s="408">
        <v>123895</v>
      </c>
      <c r="E34" s="408">
        <v>68944</v>
      </c>
      <c r="F34" s="408">
        <v>998</v>
      </c>
      <c r="G34" s="408">
        <v>119810</v>
      </c>
      <c r="H34" s="408">
        <v>62139</v>
      </c>
      <c r="I34" s="408">
        <v>42</v>
      </c>
      <c r="J34" s="408">
        <v>5091</v>
      </c>
      <c r="K34" s="408">
        <v>2983</v>
      </c>
      <c r="L34" s="408">
        <v>1992</v>
      </c>
      <c r="M34" s="408">
        <v>248796</v>
      </c>
      <c r="N34" s="408">
        <v>134066</v>
      </c>
    </row>
    <row r="35" spans="1:14" ht="25.5" customHeight="1">
      <c r="A35" s="406">
        <v>31</v>
      </c>
      <c r="B35" s="407" t="s">
        <v>43</v>
      </c>
      <c r="C35" s="408">
        <v>32</v>
      </c>
      <c r="D35" s="408">
        <v>5088</v>
      </c>
      <c r="E35" s="408">
        <v>3330</v>
      </c>
      <c r="F35" s="408">
        <v>33</v>
      </c>
      <c r="G35" s="408">
        <v>3302</v>
      </c>
      <c r="H35" s="408">
        <v>2196</v>
      </c>
      <c r="I35" s="408">
        <v>1</v>
      </c>
      <c r="J35" s="408">
        <v>15</v>
      </c>
      <c r="K35" s="408">
        <v>10</v>
      </c>
      <c r="L35" s="408">
        <v>66</v>
      </c>
      <c r="M35" s="408">
        <v>8405</v>
      </c>
      <c r="N35" s="408">
        <v>5536</v>
      </c>
    </row>
    <row r="36" spans="1:14" ht="25.5" customHeight="1">
      <c r="A36" s="406">
        <v>32</v>
      </c>
      <c r="B36" s="407" t="s">
        <v>44</v>
      </c>
      <c r="C36" s="408">
        <v>2413</v>
      </c>
      <c r="D36" s="408">
        <v>591017</v>
      </c>
      <c r="E36" s="408">
        <v>326288</v>
      </c>
      <c r="F36" s="408">
        <v>2761</v>
      </c>
      <c r="G36" s="408">
        <v>574474</v>
      </c>
      <c r="H36" s="408">
        <v>300080</v>
      </c>
      <c r="I36" s="408">
        <v>61</v>
      </c>
      <c r="J36" s="408">
        <v>9790</v>
      </c>
      <c r="K36" s="408">
        <v>5922</v>
      </c>
      <c r="L36" s="408">
        <v>5235</v>
      </c>
      <c r="M36" s="408">
        <v>1175281</v>
      </c>
      <c r="N36" s="408">
        <v>632290</v>
      </c>
    </row>
    <row r="37" spans="1:14" ht="25.5" customHeight="1">
      <c r="A37" s="406">
        <v>33</v>
      </c>
      <c r="B37" s="407" t="s">
        <v>134</v>
      </c>
      <c r="C37" s="408">
        <v>527</v>
      </c>
      <c r="D37" s="408">
        <v>107525</v>
      </c>
      <c r="E37" s="408">
        <v>74494</v>
      </c>
      <c r="F37" s="408">
        <v>723</v>
      </c>
      <c r="G37" s="408">
        <v>172089</v>
      </c>
      <c r="H37" s="408">
        <v>122819</v>
      </c>
      <c r="I37" s="408">
        <v>31</v>
      </c>
      <c r="J37" s="408">
        <v>3892</v>
      </c>
      <c r="K37" s="408">
        <v>3082</v>
      </c>
      <c r="L37" s="408">
        <v>1281</v>
      </c>
      <c r="M37" s="408">
        <v>283506</v>
      </c>
      <c r="N37" s="408">
        <v>200395</v>
      </c>
    </row>
    <row r="38" spans="1:14" ht="25.5" customHeight="1">
      <c r="A38" s="406">
        <v>34</v>
      </c>
      <c r="B38" s="407" t="s">
        <v>45</v>
      </c>
      <c r="C38" s="408">
        <v>36</v>
      </c>
      <c r="D38" s="408">
        <v>5662</v>
      </c>
      <c r="E38" s="408">
        <v>4158</v>
      </c>
      <c r="F38" s="408">
        <v>35</v>
      </c>
      <c r="G38" s="408">
        <v>3536</v>
      </c>
      <c r="H38" s="408">
        <v>2548</v>
      </c>
      <c r="I38" s="408">
        <v>4</v>
      </c>
      <c r="J38" s="408">
        <v>340</v>
      </c>
      <c r="K38" s="408">
        <v>265</v>
      </c>
      <c r="L38" s="408">
        <v>75</v>
      </c>
      <c r="M38" s="408">
        <v>9538</v>
      </c>
      <c r="N38" s="408">
        <v>6971</v>
      </c>
    </row>
    <row r="39" spans="1:14" ht="25.5" customHeight="1">
      <c r="A39" s="406">
        <v>35</v>
      </c>
      <c r="B39" s="407" t="s">
        <v>47</v>
      </c>
      <c r="C39" s="408">
        <v>1911</v>
      </c>
      <c r="D39" s="408">
        <v>286816</v>
      </c>
      <c r="E39" s="408">
        <v>174218</v>
      </c>
      <c r="F39" s="408">
        <v>1629</v>
      </c>
      <c r="G39" s="408">
        <v>201557</v>
      </c>
      <c r="H39" s="408">
        <v>117026</v>
      </c>
      <c r="I39" s="408">
        <v>93</v>
      </c>
      <c r="J39" s="408">
        <v>9558</v>
      </c>
      <c r="K39" s="408">
        <v>6232</v>
      </c>
      <c r="L39" s="408">
        <v>3633</v>
      </c>
      <c r="M39" s="408">
        <v>497931</v>
      </c>
      <c r="N39" s="408">
        <v>297476</v>
      </c>
    </row>
    <row r="40" spans="1:14" ht="25.5" customHeight="1">
      <c r="A40" s="406">
        <v>36</v>
      </c>
      <c r="B40" s="407" t="s">
        <v>46</v>
      </c>
      <c r="C40" s="408">
        <v>363</v>
      </c>
      <c r="D40" s="408">
        <v>54994</v>
      </c>
      <c r="E40" s="408">
        <v>34545</v>
      </c>
      <c r="F40" s="408">
        <v>309</v>
      </c>
      <c r="G40" s="408">
        <v>44446</v>
      </c>
      <c r="H40" s="408">
        <v>26960</v>
      </c>
      <c r="I40" s="408">
        <v>17</v>
      </c>
      <c r="J40" s="408">
        <v>2125</v>
      </c>
      <c r="K40" s="408">
        <v>1595</v>
      </c>
      <c r="L40" s="408">
        <v>689</v>
      </c>
      <c r="M40" s="408">
        <v>101565</v>
      </c>
      <c r="N40" s="408">
        <v>63100</v>
      </c>
    </row>
    <row r="41" spans="1:14" ht="25.5" customHeight="1">
      <c r="A41" s="406">
        <v>37</v>
      </c>
      <c r="B41" s="407" t="s">
        <v>48</v>
      </c>
      <c r="C41" s="408">
        <v>1095</v>
      </c>
      <c r="D41" s="408">
        <v>115461</v>
      </c>
      <c r="E41" s="408">
        <v>81296</v>
      </c>
      <c r="F41" s="408">
        <v>1110</v>
      </c>
      <c r="G41" s="408">
        <v>90791</v>
      </c>
      <c r="H41" s="408">
        <v>60359</v>
      </c>
      <c r="I41" s="408">
        <v>54</v>
      </c>
      <c r="J41" s="408">
        <v>5866</v>
      </c>
      <c r="K41" s="408">
        <v>5018</v>
      </c>
      <c r="L41" s="408">
        <v>2259</v>
      </c>
      <c r="M41" s="408">
        <v>212118</v>
      </c>
      <c r="N41" s="408">
        <v>146673</v>
      </c>
    </row>
    <row r="42" spans="1:14" ht="22.9" customHeight="1">
      <c r="A42" s="946" t="s">
        <v>49</v>
      </c>
      <c r="B42" s="946"/>
      <c r="C42" s="410">
        <f>SUM(C5:C41)</f>
        <v>21115</v>
      </c>
      <c r="D42" s="410">
        <f t="shared" ref="D42:N42" si="0">SUM(D5:D41)</f>
        <v>3382805</v>
      </c>
      <c r="E42" s="410">
        <f t="shared" si="0"/>
        <v>2018307</v>
      </c>
      <c r="F42" s="410">
        <f t="shared" si="0"/>
        <v>24609</v>
      </c>
      <c r="G42" s="410">
        <f t="shared" si="0"/>
        <v>3587155</v>
      </c>
      <c r="H42" s="410">
        <f t="shared" si="0"/>
        <v>2085864</v>
      </c>
      <c r="I42" s="410">
        <f t="shared" si="0"/>
        <v>1021</v>
      </c>
      <c r="J42" s="410">
        <f t="shared" si="0"/>
        <v>125194</v>
      </c>
      <c r="K42" s="410">
        <f t="shared" si="0"/>
        <v>81510</v>
      </c>
      <c r="L42" s="410">
        <f t="shared" si="0"/>
        <v>46747</v>
      </c>
      <c r="M42" s="410">
        <f t="shared" si="0"/>
        <v>7095154</v>
      </c>
      <c r="N42" s="410">
        <f t="shared" si="0"/>
        <v>4185681</v>
      </c>
    </row>
  </sheetData>
  <mergeCells count="8">
    <mergeCell ref="C1:N1"/>
    <mergeCell ref="L2:N2"/>
    <mergeCell ref="A2:A3"/>
    <mergeCell ref="A42:B42"/>
    <mergeCell ref="B2:B3"/>
    <mergeCell ref="C2:E2"/>
    <mergeCell ref="F2:H2"/>
    <mergeCell ref="I2:K2"/>
  </mergeCells>
  <pageMargins left="0.4" right="0.4" top="0.5" bottom="0.4" header="0.31496062992126" footer="0.196850393700787"/>
  <pageSetup paperSize="9" scale="68" firstPageNumber="93" orientation="portrait" useFirstPageNumber="1" r:id="rId1"/>
  <headerFooter>
    <oddFooter>&amp;L     AISHE 2019-20&amp;CT-31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>
    <tabColor rgb="FF00B050"/>
  </sheetPr>
  <dimension ref="A1:M20"/>
  <sheetViews>
    <sheetView view="pageBreakPreview" topLeftCell="A13" zoomScaleSheetLayoutView="100" workbookViewId="0">
      <selection activeCell="B17" sqref="B17:M17"/>
    </sheetView>
  </sheetViews>
  <sheetFormatPr defaultColWidth="9.140625" defaultRowHeight="14.25"/>
  <cols>
    <col min="1" max="1" width="19.85546875" style="412" customWidth="1"/>
    <col min="2" max="3" width="9.140625" style="412"/>
    <col min="4" max="4" width="9.7109375" style="412" customWidth="1"/>
    <col min="5" max="5" width="8.85546875" style="412" customWidth="1"/>
    <col min="6" max="6" width="9" style="412" customWidth="1"/>
    <col min="7" max="7" width="10.140625" style="412" customWidth="1"/>
    <col min="8" max="8" width="9.140625" style="412"/>
    <col min="9" max="9" width="8.42578125" style="412" customWidth="1"/>
    <col min="10" max="10" width="9.7109375" style="412" customWidth="1"/>
    <col min="11" max="12" width="9.140625" style="412"/>
    <col min="13" max="13" width="9.85546875" style="412" customWidth="1"/>
    <col min="14" max="16384" width="9.140625" style="412"/>
  </cols>
  <sheetData>
    <row r="1" spans="1:13" s="414" customFormat="1" ht="52.5" customHeight="1">
      <c r="A1" s="150" t="s">
        <v>747</v>
      </c>
      <c r="B1" s="779" t="s">
        <v>864</v>
      </c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</row>
    <row r="2" spans="1:13" ht="22.15" customHeight="1">
      <c r="A2" s="948" t="s">
        <v>122</v>
      </c>
      <c r="B2" s="949" t="s">
        <v>759</v>
      </c>
      <c r="C2" s="950"/>
      <c r="D2" s="951"/>
      <c r="E2" s="949" t="s">
        <v>742</v>
      </c>
      <c r="F2" s="950"/>
      <c r="G2" s="951"/>
      <c r="H2" s="949" t="s">
        <v>743</v>
      </c>
      <c r="I2" s="950"/>
      <c r="J2" s="951"/>
      <c r="K2" s="949" t="s">
        <v>744</v>
      </c>
      <c r="L2" s="950"/>
      <c r="M2" s="951"/>
    </row>
    <row r="3" spans="1:13" ht="22.15" customHeight="1">
      <c r="A3" s="948"/>
      <c r="B3" s="413" t="s">
        <v>177</v>
      </c>
      <c r="C3" s="413" t="s">
        <v>745</v>
      </c>
      <c r="D3" s="413" t="s">
        <v>746</v>
      </c>
      <c r="E3" s="413" t="s">
        <v>177</v>
      </c>
      <c r="F3" s="413" t="s">
        <v>745</v>
      </c>
      <c r="G3" s="413" t="s">
        <v>746</v>
      </c>
      <c r="H3" s="413" t="s">
        <v>177</v>
      </c>
      <c r="I3" s="413" t="s">
        <v>745</v>
      </c>
      <c r="J3" s="413" t="s">
        <v>746</v>
      </c>
      <c r="K3" s="413" t="s">
        <v>177</v>
      </c>
      <c r="L3" s="413" t="s">
        <v>745</v>
      </c>
      <c r="M3" s="413" t="s">
        <v>746</v>
      </c>
    </row>
    <row r="4" spans="1:13">
      <c r="A4" s="199">
        <v>1</v>
      </c>
      <c r="B4" s="383">
        <v>2</v>
      </c>
      <c r="C4" s="199">
        <v>3</v>
      </c>
      <c r="D4" s="383">
        <v>4</v>
      </c>
      <c r="E4" s="199">
        <v>5</v>
      </c>
      <c r="F4" s="383">
        <v>6</v>
      </c>
      <c r="G4" s="199">
        <v>7</v>
      </c>
      <c r="H4" s="383">
        <v>8</v>
      </c>
      <c r="I4" s="199">
        <v>9</v>
      </c>
      <c r="J4" s="383">
        <v>10</v>
      </c>
      <c r="K4" s="199">
        <v>11</v>
      </c>
      <c r="L4" s="383">
        <v>12</v>
      </c>
      <c r="M4" s="199">
        <v>13</v>
      </c>
    </row>
    <row r="5" spans="1:13" ht="63" customHeight="1">
      <c r="A5" s="489" t="s">
        <v>123</v>
      </c>
      <c r="B5" s="385">
        <v>279</v>
      </c>
      <c r="C5" s="385">
        <v>55695</v>
      </c>
      <c r="D5" s="385">
        <v>53380</v>
      </c>
      <c r="E5" s="385">
        <v>242</v>
      </c>
      <c r="F5" s="385">
        <v>40081</v>
      </c>
      <c r="G5" s="385">
        <v>39892</v>
      </c>
      <c r="H5" s="385">
        <v>19</v>
      </c>
      <c r="I5" s="385">
        <v>2990</v>
      </c>
      <c r="J5" s="385">
        <v>2911</v>
      </c>
      <c r="K5" s="385">
        <v>540</v>
      </c>
      <c r="L5" s="385">
        <v>98766</v>
      </c>
      <c r="M5" s="385">
        <v>96183</v>
      </c>
    </row>
    <row r="6" spans="1:13" ht="63" customHeight="1">
      <c r="A6" s="489" t="s">
        <v>124</v>
      </c>
      <c r="B6" s="385">
        <v>0</v>
      </c>
      <c r="C6" s="385">
        <v>0</v>
      </c>
      <c r="D6" s="385">
        <v>0</v>
      </c>
      <c r="E6" s="385">
        <v>0</v>
      </c>
      <c r="F6" s="385">
        <v>0</v>
      </c>
      <c r="G6" s="385">
        <v>0</v>
      </c>
      <c r="H6" s="385">
        <v>0</v>
      </c>
      <c r="I6" s="385">
        <v>0</v>
      </c>
      <c r="J6" s="385">
        <v>0</v>
      </c>
      <c r="K6" s="385">
        <v>0</v>
      </c>
      <c r="L6" s="385">
        <v>0</v>
      </c>
      <c r="M6" s="385">
        <v>0</v>
      </c>
    </row>
    <row r="7" spans="1:13" ht="63" customHeight="1">
      <c r="A7" s="489" t="s">
        <v>125</v>
      </c>
      <c r="B7" s="385">
        <v>658</v>
      </c>
      <c r="C7" s="385">
        <v>175956</v>
      </c>
      <c r="D7" s="385">
        <v>160036</v>
      </c>
      <c r="E7" s="385">
        <v>278</v>
      </c>
      <c r="F7" s="385">
        <v>55583</v>
      </c>
      <c r="G7" s="385">
        <v>48524</v>
      </c>
      <c r="H7" s="385">
        <v>95</v>
      </c>
      <c r="I7" s="385">
        <v>15200</v>
      </c>
      <c r="J7" s="385">
        <v>13644</v>
      </c>
      <c r="K7" s="385">
        <v>1031</v>
      </c>
      <c r="L7" s="385">
        <v>246739</v>
      </c>
      <c r="M7" s="385">
        <v>222204</v>
      </c>
    </row>
    <row r="8" spans="1:13" ht="63" customHeight="1">
      <c r="A8" s="489" t="s">
        <v>126</v>
      </c>
      <c r="B8" s="385">
        <v>1318</v>
      </c>
      <c r="C8" s="385">
        <v>214180</v>
      </c>
      <c r="D8" s="385">
        <v>181861</v>
      </c>
      <c r="E8" s="385">
        <v>1151</v>
      </c>
      <c r="F8" s="385">
        <v>198540</v>
      </c>
      <c r="G8" s="385">
        <v>180184</v>
      </c>
      <c r="H8" s="385">
        <v>54</v>
      </c>
      <c r="I8" s="385">
        <v>4867</v>
      </c>
      <c r="J8" s="385">
        <v>3450</v>
      </c>
      <c r="K8" s="385">
        <v>2523</v>
      </c>
      <c r="L8" s="385">
        <v>417587</v>
      </c>
      <c r="M8" s="385">
        <v>365495</v>
      </c>
    </row>
    <row r="9" spans="1:13" ht="63" customHeight="1">
      <c r="A9" s="489" t="s">
        <v>127</v>
      </c>
      <c r="B9" s="385">
        <v>1</v>
      </c>
      <c r="C9" s="385">
        <v>200</v>
      </c>
      <c r="D9" s="385">
        <v>0</v>
      </c>
      <c r="E9" s="385">
        <v>1</v>
      </c>
      <c r="F9" s="385">
        <v>150</v>
      </c>
      <c r="G9" s="385">
        <v>0</v>
      </c>
      <c r="H9" s="385">
        <v>0</v>
      </c>
      <c r="I9" s="385">
        <v>0</v>
      </c>
      <c r="J9" s="385">
        <v>0</v>
      </c>
      <c r="K9" s="385">
        <v>2</v>
      </c>
      <c r="L9" s="385">
        <v>350</v>
      </c>
      <c r="M9" s="385">
        <v>0</v>
      </c>
    </row>
    <row r="10" spans="1:13" ht="63" customHeight="1">
      <c r="A10" s="489" t="s">
        <v>128</v>
      </c>
      <c r="B10" s="385">
        <v>916</v>
      </c>
      <c r="C10" s="385">
        <v>271709</v>
      </c>
      <c r="D10" s="385">
        <v>157413</v>
      </c>
      <c r="E10" s="385">
        <v>770</v>
      </c>
      <c r="F10" s="385">
        <v>179665</v>
      </c>
      <c r="G10" s="385">
        <v>109227</v>
      </c>
      <c r="H10" s="385">
        <v>31</v>
      </c>
      <c r="I10" s="385">
        <v>5851</v>
      </c>
      <c r="J10" s="385">
        <v>3933</v>
      </c>
      <c r="K10" s="385">
        <v>1717</v>
      </c>
      <c r="L10" s="385">
        <v>457225</v>
      </c>
      <c r="M10" s="385">
        <v>270573</v>
      </c>
    </row>
    <row r="11" spans="1:13" ht="63" customHeight="1">
      <c r="A11" s="489" t="s">
        <v>129</v>
      </c>
      <c r="B11" s="385">
        <v>10</v>
      </c>
      <c r="C11" s="385">
        <v>731</v>
      </c>
      <c r="D11" s="385">
        <v>696</v>
      </c>
      <c r="E11" s="385">
        <v>12</v>
      </c>
      <c r="F11" s="385">
        <v>1734</v>
      </c>
      <c r="G11" s="385">
        <v>1842</v>
      </c>
      <c r="H11" s="385">
        <v>12</v>
      </c>
      <c r="I11" s="385">
        <v>929</v>
      </c>
      <c r="J11" s="385">
        <v>853</v>
      </c>
      <c r="K11" s="385">
        <v>34</v>
      </c>
      <c r="L11" s="385">
        <v>3394</v>
      </c>
      <c r="M11" s="385">
        <v>3391</v>
      </c>
    </row>
    <row r="12" spans="1:13" ht="63" customHeight="1">
      <c r="A12" s="489" t="s">
        <v>130</v>
      </c>
      <c r="B12" s="385">
        <v>126</v>
      </c>
      <c r="C12" s="385">
        <v>19545</v>
      </c>
      <c r="D12" s="385">
        <v>18448</v>
      </c>
      <c r="E12" s="385">
        <v>67</v>
      </c>
      <c r="F12" s="385">
        <v>8091</v>
      </c>
      <c r="G12" s="385">
        <v>7992</v>
      </c>
      <c r="H12" s="385">
        <v>52</v>
      </c>
      <c r="I12" s="385">
        <v>4019</v>
      </c>
      <c r="J12" s="385">
        <v>3019</v>
      </c>
      <c r="K12" s="385">
        <v>245</v>
      </c>
      <c r="L12" s="385">
        <v>31655</v>
      </c>
      <c r="M12" s="385">
        <v>29459</v>
      </c>
    </row>
    <row r="13" spans="1:13" ht="63" customHeight="1">
      <c r="A13" s="489" t="s">
        <v>131</v>
      </c>
      <c r="B13" s="385">
        <v>37</v>
      </c>
      <c r="C13" s="385">
        <v>5329</v>
      </c>
      <c r="D13" s="385">
        <v>5153</v>
      </c>
      <c r="E13" s="385">
        <v>38</v>
      </c>
      <c r="F13" s="385">
        <v>8469</v>
      </c>
      <c r="G13" s="385">
        <v>8264</v>
      </c>
      <c r="H13" s="385">
        <v>3</v>
      </c>
      <c r="I13" s="385">
        <v>125</v>
      </c>
      <c r="J13" s="385">
        <v>91</v>
      </c>
      <c r="K13" s="385">
        <v>78</v>
      </c>
      <c r="L13" s="385">
        <v>13923</v>
      </c>
      <c r="M13" s="385">
        <v>13508</v>
      </c>
    </row>
    <row r="14" spans="1:13" ht="63" customHeight="1">
      <c r="A14" s="489" t="s">
        <v>132</v>
      </c>
      <c r="B14" s="385">
        <v>622</v>
      </c>
      <c r="C14" s="385">
        <v>237801</v>
      </c>
      <c r="D14" s="385">
        <v>180057</v>
      </c>
      <c r="E14" s="385">
        <v>615</v>
      </c>
      <c r="F14" s="385">
        <v>200622</v>
      </c>
      <c r="G14" s="385">
        <v>137296</v>
      </c>
      <c r="H14" s="385">
        <v>27</v>
      </c>
      <c r="I14" s="385">
        <v>4837</v>
      </c>
      <c r="J14" s="385">
        <v>2936</v>
      </c>
      <c r="K14" s="385">
        <v>1264</v>
      </c>
      <c r="L14" s="385">
        <v>443260</v>
      </c>
      <c r="M14" s="385">
        <v>320289</v>
      </c>
    </row>
    <row r="15" spans="1:13" ht="63" customHeight="1">
      <c r="A15" s="489" t="s">
        <v>136</v>
      </c>
      <c r="B15" s="385">
        <v>0</v>
      </c>
      <c r="C15" s="385">
        <v>0</v>
      </c>
      <c r="D15" s="385">
        <v>0</v>
      </c>
      <c r="E15" s="385">
        <v>0</v>
      </c>
      <c r="F15" s="385">
        <v>0</v>
      </c>
      <c r="G15" s="385">
        <v>0</v>
      </c>
      <c r="H15" s="385">
        <v>1</v>
      </c>
      <c r="I15" s="385">
        <v>75</v>
      </c>
      <c r="J15" s="385">
        <v>48</v>
      </c>
      <c r="K15" s="385">
        <v>1</v>
      </c>
      <c r="L15" s="385">
        <v>75</v>
      </c>
      <c r="M15" s="385">
        <v>48</v>
      </c>
    </row>
    <row r="16" spans="1:13" ht="63" customHeight="1">
      <c r="A16" s="415" t="s">
        <v>49</v>
      </c>
      <c r="B16" s="416">
        <f>SUM(B5:B15)</f>
        <v>3967</v>
      </c>
      <c r="C16" s="416">
        <f t="shared" ref="C16:M16" si="0">SUM(C5:C15)</f>
        <v>981146</v>
      </c>
      <c r="D16" s="416">
        <f t="shared" si="0"/>
        <v>757044</v>
      </c>
      <c r="E16" s="416">
        <f t="shared" si="0"/>
        <v>3174</v>
      </c>
      <c r="F16" s="416">
        <f t="shared" si="0"/>
        <v>692935</v>
      </c>
      <c r="G16" s="416">
        <f t="shared" si="0"/>
        <v>533221</v>
      </c>
      <c r="H16" s="416">
        <f t="shared" si="0"/>
        <v>294</v>
      </c>
      <c r="I16" s="416">
        <f t="shared" si="0"/>
        <v>38893</v>
      </c>
      <c r="J16" s="416">
        <f t="shared" si="0"/>
        <v>30885</v>
      </c>
      <c r="K16" s="416">
        <f t="shared" si="0"/>
        <v>7435</v>
      </c>
      <c r="L16" s="416">
        <f t="shared" si="0"/>
        <v>1712974</v>
      </c>
      <c r="M16" s="416">
        <f t="shared" si="0"/>
        <v>1321150</v>
      </c>
    </row>
    <row r="17" spans="1:13" s="414" customFormat="1" ht="51" customHeight="1">
      <c r="A17" s="150" t="s">
        <v>747</v>
      </c>
      <c r="B17" s="779" t="s">
        <v>865</v>
      </c>
      <c r="C17" s="779"/>
      <c r="D17" s="779"/>
      <c r="E17" s="779"/>
      <c r="F17" s="779"/>
      <c r="G17" s="779"/>
      <c r="H17" s="779"/>
      <c r="I17" s="779"/>
      <c r="J17" s="779"/>
      <c r="K17" s="779"/>
      <c r="L17" s="779"/>
      <c r="M17" s="779"/>
    </row>
    <row r="18" spans="1:13" ht="63" customHeight="1">
      <c r="A18" s="489" t="s">
        <v>123</v>
      </c>
      <c r="B18" s="387">
        <v>388</v>
      </c>
      <c r="C18" s="387">
        <v>36752</v>
      </c>
      <c r="D18" s="387">
        <v>25530</v>
      </c>
      <c r="E18" s="387">
        <v>469</v>
      </c>
      <c r="F18" s="387">
        <v>41130</v>
      </c>
      <c r="G18" s="387">
        <v>29733</v>
      </c>
      <c r="H18" s="387">
        <v>18</v>
      </c>
      <c r="I18" s="387">
        <v>1539</v>
      </c>
      <c r="J18" s="387">
        <v>1273</v>
      </c>
      <c r="K18" s="387">
        <v>875</v>
      </c>
      <c r="L18" s="387">
        <v>79421</v>
      </c>
      <c r="M18" s="387">
        <v>56536</v>
      </c>
    </row>
    <row r="19" spans="1:13" ht="63" customHeight="1">
      <c r="A19" s="489" t="s">
        <v>126</v>
      </c>
      <c r="B19" s="387">
        <v>13205</v>
      </c>
      <c r="C19" s="387">
        <v>1946395</v>
      </c>
      <c r="D19" s="387">
        <v>1041003</v>
      </c>
      <c r="E19" s="387">
        <v>15745</v>
      </c>
      <c r="F19" s="387">
        <v>2299281</v>
      </c>
      <c r="G19" s="387">
        <v>1247640</v>
      </c>
      <c r="H19" s="387">
        <v>594</v>
      </c>
      <c r="I19" s="387">
        <v>71896</v>
      </c>
      <c r="J19" s="387">
        <v>40999</v>
      </c>
      <c r="K19" s="387">
        <v>29544</v>
      </c>
      <c r="L19" s="387">
        <v>4317572</v>
      </c>
      <c r="M19" s="387">
        <v>2329642</v>
      </c>
    </row>
    <row r="20" spans="1:13" ht="63" customHeight="1">
      <c r="A20" s="415" t="s">
        <v>60</v>
      </c>
      <c r="B20" s="417">
        <v>13593</v>
      </c>
      <c r="C20" s="417">
        <v>1983147</v>
      </c>
      <c r="D20" s="417">
        <v>1066533</v>
      </c>
      <c r="E20" s="417">
        <v>16214</v>
      </c>
      <c r="F20" s="417">
        <v>2340411</v>
      </c>
      <c r="G20" s="417">
        <v>1277373</v>
      </c>
      <c r="H20" s="417">
        <v>612</v>
      </c>
      <c r="I20" s="417">
        <v>73435</v>
      </c>
      <c r="J20" s="417">
        <v>42272</v>
      </c>
      <c r="K20" s="417">
        <v>30419</v>
      </c>
      <c r="L20" s="417">
        <v>4396993</v>
      </c>
      <c r="M20" s="417">
        <v>2386178</v>
      </c>
    </row>
  </sheetData>
  <mergeCells count="7">
    <mergeCell ref="B17:M17"/>
    <mergeCell ref="B1:M1"/>
    <mergeCell ref="A2:A3"/>
    <mergeCell ref="B2:D2"/>
    <mergeCell ref="E2:G2"/>
    <mergeCell ref="H2:J2"/>
    <mergeCell ref="K2:M2"/>
  </mergeCells>
  <pageMargins left="0.5" right="0.5" top="0.5" bottom="0.5" header="0.31496062992126" footer="0.31496062992126"/>
  <pageSetup paperSize="9" scale="68" orientation="portrait" r:id="rId1"/>
  <headerFooter>
    <oddFooter>&amp;L     AISHE 2019-20&amp;CT-32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>
    <tabColor rgb="FF00B050"/>
  </sheetPr>
  <dimension ref="A1:AC42"/>
  <sheetViews>
    <sheetView view="pageBreakPreview" zoomScale="90" zoomScaleSheetLayoutView="90" workbookViewId="0">
      <pane xSplit="2" ySplit="3" topLeftCell="Q4" activePane="bottomRight" state="frozen"/>
      <selection activeCell="B4" sqref="B4"/>
      <selection pane="topRight" activeCell="B4" sqref="B4"/>
      <selection pane="bottomLeft" activeCell="B4" sqref="B4"/>
      <selection pane="bottomRight" activeCell="A43" sqref="A43:XFD103"/>
    </sheetView>
  </sheetViews>
  <sheetFormatPr defaultColWidth="9.140625" defaultRowHeight="15"/>
  <cols>
    <col min="1" max="1" width="5.140625" style="149" customWidth="1"/>
    <col min="2" max="2" width="25.85546875" style="149" customWidth="1"/>
    <col min="3" max="3" width="7.7109375" style="149" customWidth="1"/>
    <col min="4" max="4" width="8.5703125" style="149" customWidth="1"/>
    <col min="5" max="5" width="8.140625" style="149" customWidth="1"/>
    <col min="6" max="6" width="7.28515625" style="149" customWidth="1"/>
    <col min="7" max="7" width="8.5703125" style="149" customWidth="1"/>
    <col min="8" max="8" width="7.7109375" style="149" customWidth="1"/>
    <col min="9" max="10" width="9.28515625" style="149" customWidth="1"/>
    <col min="11" max="11" width="9.85546875" style="149" customWidth="1"/>
    <col min="12" max="12" width="10" style="149" customWidth="1"/>
    <col min="13" max="13" width="9.85546875" style="149" customWidth="1"/>
    <col min="14" max="14" width="10.140625" style="149" customWidth="1"/>
    <col min="15" max="15" width="7.7109375" style="149" customWidth="1"/>
    <col min="16" max="16" width="8.42578125" style="149" customWidth="1"/>
    <col min="17" max="19" width="8.7109375" style="149" customWidth="1"/>
    <col min="20" max="20" width="8.85546875" style="149" customWidth="1"/>
    <col min="21" max="21" width="7.28515625" style="149" customWidth="1"/>
    <col min="22" max="22" width="8.42578125" style="149" customWidth="1"/>
    <col min="23" max="23" width="7.5703125" style="149" customWidth="1"/>
    <col min="24" max="24" width="7.85546875" style="149" customWidth="1"/>
    <col min="25" max="25" width="8.7109375" style="149" customWidth="1"/>
    <col min="26" max="26" width="7.5703125" style="149" customWidth="1"/>
    <col min="27" max="27" width="9.85546875" style="149" customWidth="1"/>
    <col min="28" max="28" width="10" style="149" customWidth="1"/>
    <col min="29" max="29" width="10.28515625" style="149" customWidth="1"/>
    <col min="30" max="16384" width="9.140625" style="149"/>
  </cols>
  <sheetData>
    <row r="1" spans="1:29" ht="36.6" customHeight="1">
      <c r="B1" s="150" t="s">
        <v>178</v>
      </c>
      <c r="C1" s="779" t="s">
        <v>822</v>
      </c>
      <c r="D1" s="779"/>
      <c r="E1" s="779"/>
      <c r="F1" s="779"/>
      <c r="G1" s="779"/>
      <c r="H1" s="779"/>
      <c r="I1" s="779"/>
      <c r="J1" s="779"/>
      <c r="K1" s="779"/>
      <c r="L1" s="779" t="str">
        <f>C1</f>
        <v>State-wise Out-turn/Pass-Out at various levels
(Based on actual Response)</v>
      </c>
      <c r="M1" s="779"/>
      <c r="N1" s="779"/>
      <c r="O1" s="779"/>
      <c r="P1" s="779"/>
      <c r="Q1" s="779"/>
      <c r="R1" s="779"/>
      <c r="S1" s="779"/>
      <c r="T1" s="779"/>
      <c r="U1" s="779" t="str">
        <f>C1</f>
        <v>State-wise Out-turn/Pass-Out at various levels
(Based on actual Response)</v>
      </c>
      <c r="V1" s="779"/>
      <c r="W1" s="779"/>
      <c r="X1" s="779"/>
      <c r="Y1" s="779"/>
      <c r="Z1" s="779"/>
      <c r="AA1" s="779"/>
      <c r="AB1" s="779"/>
      <c r="AC1" s="779"/>
    </row>
    <row r="2" spans="1:29" s="418" customFormat="1" ht="31.5" customHeight="1">
      <c r="A2" s="954" t="s">
        <v>165</v>
      </c>
      <c r="B2" s="936" t="s">
        <v>713</v>
      </c>
      <c r="C2" s="956" t="s">
        <v>89</v>
      </c>
      <c r="D2" s="957"/>
      <c r="E2" s="958"/>
      <c r="F2" s="956" t="s">
        <v>90</v>
      </c>
      <c r="G2" s="957"/>
      <c r="H2" s="958"/>
      <c r="I2" s="956" t="s">
        <v>85</v>
      </c>
      <c r="J2" s="957"/>
      <c r="K2" s="958"/>
      <c r="L2" s="956" t="s">
        <v>86</v>
      </c>
      <c r="M2" s="957"/>
      <c r="N2" s="958"/>
      <c r="O2" s="956" t="s">
        <v>91</v>
      </c>
      <c r="P2" s="957"/>
      <c r="Q2" s="958"/>
      <c r="R2" s="956" t="s">
        <v>92</v>
      </c>
      <c r="S2" s="957"/>
      <c r="T2" s="958"/>
      <c r="U2" s="956" t="s">
        <v>93</v>
      </c>
      <c r="V2" s="957"/>
      <c r="W2" s="958"/>
      <c r="X2" s="956" t="s">
        <v>94</v>
      </c>
      <c r="Y2" s="957"/>
      <c r="Z2" s="958"/>
      <c r="AA2" s="956" t="s">
        <v>60</v>
      </c>
      <c r="AB2" s="957"/>
      <c r="AC2" s="958"/>
    </row>
    <row r="3" spans="1:29" s="419" customFormat="1" ht="24.75" customHeight="1">
      <c r="A3" s="955"/>
      <c r="B3" s="936"/>
      <c r="C3" s="371" t="s">
        <v>87</v>
      </c>
      <c r="D3" s="371" t="s">
        <v>88</v>
      </c>
      <c r="E3" s="371" t="s">
        <v>12</v>
      </c>
      <c r="F3" s="371" t="s">
        <v>87</v>
      </c>
      <c r="G3" s="371" t="s">
        <v>88</v>
      </c>
      <c r="H3" s="371" t="s">
        <v>12</v>
      </c>
      <c r="I3" s="371" t="s">
        <v>87</v>
      </c>
      <c r="J3" s="371" t="s">
        <v>88</v>
      </c>
      <c r="K3" s="371" t="s">
        <v>12</v>
      </c>
      <c r="L3" s="371" t="s">
        <v>87</v>
      </c>
      <c r="M3" s="371" t="s">
        <v>88</v>
      </c>
      <c r="N3" s="371" t="s">
        <v>12</v>
      </c>
      <c r="O3" s="371" t="s">
        <v>87</v>
      </c>
      <c r="P3" s="371" t="s">
        <v>88</v>
      </c>
      <c r="Q3" s="371" t="s">
        <v>12</v>
      </c>
      <c r="R3" s="371" t="s">
        <v>87</v>
      </c>
      <c r="S3" s="371" t="s">
        <v>88</v>
      </c>
      <c r="T3" s="371" t="s">
        <v>12</v>
      </c>
      <c r="U3" s="371" t="s">
        <v>87</v>
      </c>
      <c r="V3" s="371" t="s">
        <v>88</v>
      </c>
      <c r="W3" s="371" t="s">
        <v>12</v>
      </c>
      <c r="X3" s="371" t="s">
        <v>87</v>
      </c>
      <c r="Y3" s="371" t="s">
        <v>88</v>
      </c>
      <c r="Z3" s="371" t="s">
        <v>12</v>
      </c>
      <c r="AA3" s="371" t="s">
        <v>87</v>
      </c>
      <c r="AB3" s="371" t="s">
        <v>88</v>
      </c>
      <c r="AC3" s="371" t="s">
        <v>12</v>
      </c>
    </row>
    <row r="4" spans="1:29" s="203" customFormat="1" ht="15" customHeight="1">
      <c r="A4" s="164">
        <v>1</v>
      </c>
      <c r="B4" s="164">
        <v>2</v>
      </c>
      <c r="C4" s="164">
        <v>3</v>
      </c>
      <c r="D4" s="164">
        <v>4</v>
      </c>
      <c r="E4" s="164">
        <v>5</v>
      </c>
      <c r="F4" s="164">
        <v>6</v>
      </c>
      <c r="G4" s="164">
        <v>7</v>
      </c>
      <c r="H4" s="164">
        <v>8</v>
      </c>
      <c r="I4" s="164">
        <v>9</v>
      </c>
      <c r="J4" s="164">
        <v>10</v>
      </c>
      <c r="K4" s="164">
        <v>11</v>
      </c>
      <c r="L4" s="164">
        <v>12</v>
      </c>
      <c r="M4" s="164">
        <v>13</v>
      </c>
      <c r="N4" s="164">
        <v>14</v>
      </c>
      <c r="O4" s="164">
        <v>15</v>
      </c>
      <c r="P4" s="164">
        <v>16</v>
      </c>
      <c r="Q4" s="164">
        <v>17</v>
      </c>
      <c r="R4" s="164">
        <v>18</v>
      </c>
      <c r="S4" s="164">
        <v>19</v>
      </c>
      <c r="T4" s="164">
        <v>20</v>
      </c>
      <c r="U4" s="164">
        <v>21</v>
      </c>
      <c r="V4" s="164">
        <v>22</v>
      </c>
      <c r="W4" s="164">
        <v>23</v>
      </c>
      <c r="X4" s="164">
        <v>24</v>
      </c>
      <c r="Y4" s="164">
        <v>25</v>
      </c>
      <c r="Z4" s="164">
        <v>26</v>
      </c>
      <c r="AA4" s="164">
        <v>27</v>
      </c>
      <c r="AB4" s="164">
        <v>28</v>
      </c>
      <c r="AC4" s="164">
        <v>29</v>
      </c>
    </row>
    <row r="5" spans="1:29" s="203" customFormat="1" ht="30.75" customHeight="1">
      <c r="A5" s="420">
        <v>1</v>
      </c>
      <c r="B5" s="374" t="s">
        <v>154</v>
      </c>
      <c r="C5" s="421">
        <v>4</v>
      </c>
      <c r="D5" s="421">
        <v>4</v>
      </c>
      <c r="E5" s="421">
        <v>8</v>
      </c>
      <c r="F5" s="421">
        <v>0</v>
      </c>
      <c r="G5" s="421">
        <v>0</v>
      </c>
      <c r="H5" s="421">
        <v>0</v>
      </c>
      <c r="I5" s="421">
        <v>28</v>
      </c>
      <c r="J5" s="421">
        <v>124</v>
      </c>
      <c r="K5" s="421">
        <v>152</v>
      </c>
      <c r="L5" s="421">
        <v>488</v>
      </c>
      <c r="M5" s="421">
        <v>730</v>
      </c>
      <c r="N5" s="421">
        <v>1218</v>
      </c>
      <c r="O5" s="421">
        <v>0</v>
      </c>
      <c r="P5" s="421">
        <v>0</v>
      </c>
      <c r="Q5" s="421">
        <v>0</v>
      </c>
      <c r="R5" s="421">
        <v>106</v>
      </c>
      <c r="S5" s="421">
        <v>90</v>
      </c>
      <c r="T5" s="421">
        <v>196</v>
      </c>
      <c r="U5" s="421">
        <v>34</v>
      </c>
      <c r="V5" s="421">
        <v>36</v>
      </c>
      <c r="W5" s="421">
        <v>70</v>
      </c>
      <c r="X5" s="421">
        <v>68</v>
      </c>
      <c r="Y5" s="421">
        <v>43</v>
      </c>
      <c r="Z5" s="421">
        <v>111</v>
      </c>
      <c r="AA5" s="421">
        <v>728</v>
      </c>
      <c r="AB5" s="421">
        <v>1027</v>
      </c>
      <c r="AC5" s="658">
        <v>1755</v>
      </c>
    </row>
    <row r="6" spans="1:29" s="203" customFormat="1" ht="21.75" customHeight="1">
      <c r="A6" s="420">
        <v>2</v>
      </c>
      <c r="B6" s="422" t="s">
        <v>15</v>
      </c>
      <c r="C6" s="421">
        <v>1094</v>
      </c>
      <c r="D6" s="421">
        <v>797</v>
      </c>
      <c r="E6" s="421">
        <v>1891</v>
      </c>
      <c r="F6" s="421">
        <v>77</v>
      </c>
      <c r="G6" s="421">
        <v>47</v>
      </c>
      <c r="H6" s="421">
        <v>124</v>
      </c>
      <c r="I6" s="421">
        <v>43615</v>
      </c>
      <c r="J6" s="421">
        <v>44544</v>
      </c>
      <c r="K6" s="421">
        <v>88159</v>
      </c>
      <c r="L6" s="421">
        <v>135304</v>
      </c>
      <c r="M6" s="421">
        <v>141968</v>
      </c>
      <c r="N6" s="421">
        <v>277272</v>
      </c>
      <c r="O6" s="421">
        <v>421</v>
      </c>
      <c r="P6" s="421">
        <v>326</v>
      </c>
      <c r="Q6" s="421">
        <v>747</v>
      </c>
      <c r="R6" s="421">
        <v>22321</v>
      </c>
      <c r="S6" s="421">
        <v>22194</v>
      </c>
      <c r="T6" s="421">
        <v>44515</v>
      </c>
      <c r="U6" s="421">
        <v>2828</v>
      </c>
      <c r="V6" s="421">
        <v>5059</v>
      </c>
      <c r="W6" s="421">
        <v>7887</v>
      </c>
      <c r="X6" s="421">
        <v>840</v>
      </c>
      <c r="Y6" s="421">
        <v>433</v>
      </c>
      <c r="Z6" s="421">
        <v>1273</v>
      </c>
      <c r="AA6" s="421">
        <v>206500</v>
      </c>
      <c r="AB6" s="421">
        <v>215368</v>
      </c>
      <c r="AC6" s="658">
        <v>421868</v>
      </c>
    </row>
    <row r="7" spans="1:29" s="203" customFormat="1" ht="21.75" customHeight="1">
      <c r="A7" s="420">
        <v>3</v>
      </c>
      <c r="B7" s="422" t="s">
        <v>16</v>
      </c>
      <c r="C7" s="421">
        <v>56</v>
      </c>
      <c r="D7" s="421">
        <v>49</v>
      </c>
      <c r="E7" s="421">
        <v>105</v>
      </c>
      <c r="F7" s="421">
        <v>44</v>
      </c>
      <c r="G7" s="421">
        <v>46</v>
      </c>
      <c r="H7" s="421">
        <v>90</v>
      </c>
      <c r="I7" s="421">
        <v>1273</v>
      </c>
      <c r="J7" s="421">
        <v>1326</v>
      </c>
      <c r="K7" s="421">
        <v>2599</v>
      </c>
      <c r="L7" s="421">
        <v>3946</v>
      </c>
      <c r="M7" s="421">
        <v>4639</v>
      </c>
      <c r="N7" s="421">
        <v>8585</v>
      </c>
      <c r="O7" s="421">
        <v>90</v>
      </c>
      <c r="P7" s="421">
        <v>104</v>
      </c>
      <c r="Q7" s="421">
        <v>194</v>
      </c>
      <c r="R7" s="421">
        <v>325</v>
      </c>
      <c r="S7" s="421">
        <v>149</v>
      </c>
      <c r="T7" s="421">
        <v>474</v>
      </c>
      <c r="U7" s="421">
        <v>101</v>
      </c>
      <c r="V7" s="421">
        <v>35</v>
      </c>
      <c r="W7" s="421">
        <v>136</v>
      </c>
      <c r="X7" s="421">
        <v>67</v>
      </c>
      <c r="Y7" s="421">
        <v>16</v>
      </c>
      <c r="Z7" s="421">
        <v>83</v>
      </c>
      <c r="AA7" s="421">
        <v>5902</v>
      </c>
      <c r="AB7" s="421">
        <v>6364</v>
      </c>
      <c r="AC7" s="658">
        <v>12266</v>
      </c>
    </row>
    <row r="8" spans="1:29" s="203" customFormat="1" ht="21.75" customHeight="1">
      <c r="A8" s="420">
        <v>4</v>
      </c>
      <c r="B8" s="422" t="s">
        <v>17</v>
      </c>
      <c r="C8" s="421">
        <v>2517</v>
      </c>
      <c r="D8" s="421">
        <v>1221</v>
      </c>
      <c r="E8" s="421">
        <v>3738</v>
      </c>
      <c r="F8" s="421">
        <v>108</v>
      </c>
      <c r="G8" s="421">
        <v>164</v>
      </c>
      <c r="H8" s="421">
        <v>272</v>
      </c>
      <c r="I8" s="421">
        <v>5932</v>
      </c>
      <c r="J8" s="421">
        <v>8722</v>
      </c>
      <c r="K8" s="421">
        <v>14654</v>
      </c>
      <c r="L8" s="421">
        <v>41036</v>
      </c>
      <c r="M8" s="421">
        <v>48260</v>
      </c>
      <c r="N8" s="421">
        <v>89296</v>
      </c>
      <c r="O8" s="421">
        <v>566</v>
      </c>
      <c r="P8" s="421">
        <v>722</v>
      </c>
      <c r="Q8" s="421">
        <v>1288</v>
      </c>
      <c r="R8" s="421">
        <v>2405</v>
      </c>
      <c r="S8" s="421">
        <v>2688</v>
      </c>
      <c r="T8" s="421">
        <v>5093</v>
      </c>
      <c r="U8" s="421">
        <v>510</v>
      </c>
      <c r="V8" s="421">
        <v>605</v>
      </c>
      <c r="W8" s="421">
        <v>1115</v>
      </c>
      <c r="X8" s="421">
        <v>219</v>
      </c>
      <c r="Y8" s="421">
        <v>244</v>
      </c>
      <c r="Z8" s="421">
        <v>463</v>
      </c>
      <c r="AA8" s="421">
        <v>53293</v>
      </c>
      <c r="AB8" s="421">
        <v>62626</v>
      </c>
      <c r="AC8" s="658">
        <v>115919</v>
      </c>
    </row>
    <row r="9" spans="1:29" s="203" customFormat="1" ht="21.75" customHeight="1">
      <c r="A9" s="420">
        <v>5</v>
      </c>
      <c r="B9" s="422" t="s">
        <v>18</v>
      </c>
      <c r="C9" s="421">
        <v>398</v>
      </c>
      <c r="D9" s="421">
        <v>217</v>
      </c>
      <c r="E9" s="421">
        <v>615</v>
      </c>
      <c r="F9" s="421">
        <v>0</v>
      </c>
      <c r="G9" s="421">
        <v>0</v>
      </c>
      <c r="H9" s="421">
        <v>0</v>
      </c>
      <c r="I9" s="421">
        <v>20184</v>
      </c>
      <c r="J9" s="421">
        <v>17629</v>
      </c>
      <c r="K9" s="421">
        <v>37813</v>
      </c>
      <c r="L9" s="421">
        <v>195236</v>
      </c>
      <c r="M9" s="421">
        <v>143902</v>
      </c>
      <c r="N9" s="421">
        <v>339138</v>
      </c>
      <c r="O9" s="421">
        <v>479</v>
      </c>
      <c r="P9" s="421">
        <v>244</v>
      </c>
      <c r="Q9" s="421">
        <v>723</v>
      </c>
      <c r="R9" s="421">
        <v>11412</v>
      </c>
      <c r="S9" s="421">
        <v>7592</v>
      </c>
      <c r="T9" s="421">
        <v>19004</v>
      </c>
      <c r="U9" s="421">
        <v>1287</v>
      </c>
      <c r="V9" s="421">
        <v>754</v>
      </c>
      <c r="W9" s="421">
        <v>2041</v>
      </c>
      <c r="X9" s="421">
        <v>380</v>
      </c>
      <c r="Y9" s="421">
        <v>209</v>
      </c>
      <c r="Z9" s="421">
        <v>589</v>
      </c>
      <c r="AA9" s="421">
        <v>229376</v>
      </c>
      <c r="AB9" s="421">
        <v>170547</v>
      </c>
      <c r="AC9" s="658">
        <v>399923</v>
      </c>
    </row>
    <row r="10" spans="1:29" s="203" customFormat="1" ht="21.75" customHeight="1">
      <c r="A10" s="420">
        <v>6</v>
      </c>
      <c r="B10" s="422" t="s">
        <v>19</v>
      </c>
      <c r="C10" s="421">
        <v>261</v>
      </c>
      <c r="D10" s="421">
        <v>309</v>
      </c>
      <c r="E10" s="421">
        <v>570</v>
      </c>
      <c r="F10" s="421">
        <v>23</v>
      </c>
      <c r="G10" s="421">
        <v>27</v>
      </c>
      <c r="H10" s="421">
        <v>50</v>
      </c>
      <c r="I10" s="421">
        <v>2071</v>
      </c>
      <c r="J10" s="421">
        <v>4613</v>
      </c>
      <c r="K10" s="421">
        <v>6684</v>
      </c>
      <c r="L10" s="421">
        <v>6501</v>
      </c>
      <c r="M10" s="421">
        <v>8146</v>
      </c>
      <c r="N10" s="421">
        <v>14647</v>
      </c>
      <c r="O10" s="421">
        <v>249</v>
      </c>
      <c r="P10" s="421">
        <v>476</v>
      </c>
      <c r="Q10" s="421">
        <v>725</v>
      </c>
      <c r="R10" s="421">
        <v>547</v>
      </c>
      <c r="S10" s="421">
        <v>502</v>
      </c>
      <c r="T10" s="421">
        <v>1049</v>
      </c>
      <c r="U10" s="421">
        <v>150</v>
      </c>
      <c r="V10" s="421">
        <v>180</v>
      </c>
      <c r="W10" s="421">
        <v>330</v>
      </c>
      <c r="X10" s="421">
        <v>199</v>
      </c>
      <c r="Y10" s="421">
        <v>183</v>
      </c>
      <c r="Z10" s="421">
        <v>382</v>
      </c>
      <c r="AA10" s="421">
        <v>10001</v>
      </c>
      <c r="AB10" s="421">
        <v>14436</v>
      </c>
      <c r="AC10" s="658">
        <v>24437</v>
      </c>
    </row>
    <row r="11" spans="1:29" s="203" customFormat="1" ht="21.75" customHeight="1">
      <c r="A11" s="420">
        <v>7</v>
      </c>
      <c r="B11" s="422" t="s">
        <v>20</v>
      </c>
      <c r="C11" s="421">
        <v>203</v>
      </c>
      <c r="D11" s="421">
        <v>155</v>
      </c>
      <c r="E11" s="421">
        <v>358</v>
      </c>
      <c r="F11" s="421">
        <v>119</v>
      </c>
      <c r="G11" s="421">
        <v>83</v>
      </c>
      <c r="H11" s="421">
        <v>202</v>
      </c>
      <c r="I11" s="421">
        <v>10441</v>
      </c>
      <c r="J11" s="421">
        <v>14603</v>
      </c>
      <c r="K11" s="421">
        <v>25044</v>
      </c>
      <c r="L11" s="421">
        <v>41386</v>
      </c>
      <c r="M11" s="421">
        <v>55997</v>
      </c>
      <c r="N11" s="421">
        <v>97383</v>
      </c>
      <c r="O11" s="421">
        <v>11240</v>
      </c>
      <c r="P11" s="421">
        <v>12562</v>
      </c>
      <c r="Q11" s="421">
        <v>23802</v>
      </c>
      <c r="R11" s="421">
        <v>21060</v>
      </c>
      <c r="S11" s="421">
        <v>17575</v>
      </c>
      <c r="T11" s="421">
        <v>38635</v>
      </c>
      <c r="U11" s="421">
        <v>101</v>
      </c>
      <c r="V11" s="421">
        <v>160</v>
      </c>
      <c r="W11" s="421">
        <v>261</v>
      </c>
      <c r="X11" s="421">
        <v>323</v>
      </c>
      <c r="Y11" s="421">
        <v>339</v>
      </c>
      <c r="Z11" s="421">
        <v>662</v>
      </c>
      <c r="AA11" s="421">
        <v>84873</v>
      </c>
      <c r="AB11" s="421">
        <v>101474</v>
      </c>
      <c r="AC11" s="658">
        <v>186347</v>
      </c>
    </row>
    <row r="12" spans="1:29" s="203" customFormat="1" ht="21.75" customHeight="1">
      <c r="A12" s="420">
        <v>8</v>
      </c>
      <c r="B12" s="422" t="s">
        <v>155</v>
      </c>
      <c r="C12" s="421">
        <v>0</v>
      </c>
      <c r="D12" s="421">
        <v>0</v>
      </c>
      <c r="E12" s="421">
        <v>0</v>
      </c>
      <c r="F12" s="421">
        <v>0</v>
      </c>
      <c r="G12" s="421">
        <v>0</v>
      </c>
      <c r="H12" s="421">
        <v>0</v>
      </c>
      <c r="I12" s="421">
        <v>53</v>
      </c>
      <c r="J12" s="421">
        <v>102</v>
      </c>
      <c r="K12" s="421">
        <v>155</v>
      </c>
      <c r="L12" s="421">
        <v>394</v>
      </c>
      <c r="M12" s="421">
        <v>591</v>
      </c>
      <c r="N12" s="421">
        <v>985</v>
      </c>
      <c r="O12" s="421">
        <v>0</v>
      </c>
      <c r="P12" s="421">
        <v>0</v>
      </c>
      <c r="Q12" s="421">
        <v>0</v>
      </c>
      <c r="R12" s="421">
        <v>109</v>
      </c>
      <c r="S12" s="421">
        <v>13</v>
      </c>
      <c r="T12" s="421">
        <v>122</v>
      </c>
      <c r="U12" s="421">
        <v>0</v>
      </c>
      <c r="V12" s="421">
        <v>0</v>
      </c>
      <c r="W12" s="421">
        <v>0</v>
      </c>
      <c r="X12" s="421">
        <v>0</v>
      </c>
      <c r="Y12" s="421">
        <v>0</v>
      </c>
      <c r="Z12" s="421">
        <v>0</v>
      </c>
      <c r="AA12" s="421">
        <v>556</v>
      </c>
      <c r="AB12" s="421">
        <v>706</v>
      </c>
      <c r="AC12" s="658">
        <v>1262</v>
      </c>
    </row>
    <row r="13" spans="1:29" s="203" customFormat="1" ht="21.75" customHeight="1">
      <c r="A13" s="420">
        <v>9</v>
      </c>
      <c r="B13" s="422" t="s">
        <v>156</v>
      </c>
      <c r="C13" s="421">
        <v>0</v>
      </c>
      <c r="D13" s="421">
        <v>0</v>
      </c>
      <c r="E13" s="421">
        <v>0</v>
      </c>
      <c r="F13" s="421">
        <v>0</v>
      </c>
      <c r="G13" s="421">
        <v>0</v>
      </c>
      <c r="H13" s="421">
        <v>0</v>
      </c>
      <c r="I13" s="421">
        <v>0</v>
      </c>
      <c r="J13" s="421">
        <v>0</v>
      </c>
      <c r="K13" s="421">
        <v>0</v>
      </c>
      <c r="L13" s="421">
        <v>73</v>
      </c>
      <c r="M13" s="421">
        <v>219</v>
      </c>
      <c r="N13" s="421">
        <v>292</v>
      </c>
      <c r="O13" s="421">
        <v>0</v>
      </c>
      <c r="P13" s="421">
        <v>0</v>
      </c>
      <c r="Q13" s="421">
        <v>0</v>
      </c>
      <c r="R13" s="421">
        <v>138</v>
      </c>
      <c r="S13" s="421">
        <v>30</v>
      </c>
      <c r="T13" s="421">
        <v>168</v>
      </c>
      <c r="U13" s="421">
        <v>0</v>
      </c>
      <c r="V13" s="421">
        <v>0</v>
      </c>
      <c r="W13" s="421">
        <v>0</v>
      </c>
      <c r="X13" s="421">
        <v>0</v>
      </c>
      <c r="Y13" s="421">
        <v>0</v>
      </c>
      <c r="Z13" s="421">
        <v>0</v>
      </c>
      <c r="AA13" s="421">
        <v>211</v>
      </c>
      <c r="AB13" s="421">
        <v>249</v>
      </c>
      <c r="AC13" s="658">
        <v>460</v>
      </c>
    </row>
    <row r="14" spans="1:29" s="203" customFormat="1" ht="21.75" customHeight="1">
      <c r="A14" s="420">
        <v>10</v>
      </c>
      <c r="B14" s="422" t="s">
        <v>23</v>
      </c>
      <c r="C14" s="421">
        <v>1410</v>
      </c>
      <c r="D14" s="421">
        <v>1134</v>
      </c>
      <c r="E14" s="421">
        <v>2544</v>
      </c>
      <c r="F14" s="421">
        <v>644</v>
      </c>
      <c r="G14" s="421">
        <v>658</v>
      </c>
      <c r="H14" s="421">
        <v>1302</v>
      </c>
      <c r="I14" s="421">
        <v>50474</v>
      </c>
      <c r="J14" s="421">
        <v>67948</v>
      </c>
      <c r="K14" s="421">
        <v>118422</v>
      </c>
      <c r="L14" s="421">
        <v>137719</v>
      </c>
      <c r="M14" s="421">
        <v>125691</v>
      </c>
      <c r="N14" s="421">
        <v>263410</v>
      </c>
      <c r="O14" s="421">
        <v>14743</v>
      </c>
      <c r="P14" s="421">
        <v>19411</v>
      </c>
      <c r="Q14" s="421">
        <v>34154</v>
      </c>
      <c r="R14" s="421">
        <v>9115</v>
      </c>
      <c r="S14" s="421">
        <v>8770</v>
      </c>
      <c r="T14" s="421">
        <v>17885</v>
      </c>
      <c r="U14" s="421">
        <v>831</v>
      </c>
      <c r="V14" s="421">
        <v>919</v>
      </c>
      <c r="W14" s="421">
        <v>1750</v>
      </c>
      <c r="X14" s="421">
        <v>413</v>
      </c>
      <c r="Y14" s="421">
        <v>155</v>
      </c>
      <c r="Z14" s="421">
        <v>568</v>
      </c>
      <c r="AA14" s="421">
        <v>215349</v>
      </c>
      <c r="AB14" s="421">
        <v>224686</v>
      </c>
      <c r="AC14" s="658">
        <v>440035</v>
      </c>
    </row>
    <row r="15" spans="1:29" s="203" customFormat="1" ht="21.75" customHeight="1">
      <c r="A15" s="420">
        <v>11</v>
      </c>
      <c r="B15" s="422" t="s">
        <v>24</v>
      </c>
      <c r="C15" s="421">
        <v>43</v>
      </c>
      <c r="D15" s="421">
        <v>53</v>
      </c>
      <c r="E15" s="421">
        <v>96</v>
      </c>
      <c r="F15" s="421">
        <v>0</v>
      </c>
      <c r="G15" s="421">
        <v>0</v>
      </c>
      <c r="H15" s="421">
        <v>0</v>
      </c>
      <c r="I15" s="421">
        <v>631</v>
      </c>
      <c r="J15" s="421">
        <v>1066</v>
      </c>
      <c r="K15" s="421">
        <v>1697</v>
      </c>
      <c r="L15" s="421">
        <v>3291</v>
      </c>
      <c r="M15" s="421">
        <v>5068</v>
      </c>
      <c r="N15" s="421">
        <v>8359</v>
      </c>
      <c r="O15" s="421">
        <v>32</v>
      </c>
      <c r="P15" s="421">
        <v>39</v>
      </c>
      <c r="Q15" s="421">
        <v>71</v>
      </c>
      <c r="R15" s="421">
        <v>1156</v>
      </c>
      <c r="S15" s="421">
        <v>328</v>
      </c>
      <c r="T15" s="421">
        <v>1484</v>
      </c>
      <c r="U15" s="421">
        <v>16</v>
      </c>
      <c r="V15" s="421">
        <v>4</v>
      </c>
      <c r="W15" s="421">
        <v>20</v>
      </c>
      <c r="X15" s="421">
        <v>32</v>
      </c>
      <c r="Y15" s="421">
        <v>51</v>
      </c>
      <c r="Z15" s="421">
        <v>83</v>
      </c>
      <c r="AA15" s="421">
        <v>5201</v>
      </c>
      <c r="AB15" s="421">
        <v>6609</v>
      </c>
      <c r="AC15" s="658">
        <v>11810</v>
      </c>
    </row>
    <row r="16" spans="1:29" s="203" customFormat="1" ht="21.75" customHeight="1">
      <c r="A16" s="420">
        <v>12</v>
      </c>
      <c r="B16" s="422" t="s">
        <v>25</v>
      </c>
      <c r="C16" s="421">
        <v>838</v>
      </c>
      <c r="D16" s="421">
        <v>529</v>
      </c>
      <c r="E16" s="421">
        <v>1367</v>
      </c>
      <c r="F16" s="421">
        <v>191</v>
      </c>
      <c r="G16" s="421">
        <v>236</v>
      </c>
      <c r="H16" s="421">
        <v>427</v>
      </c>
      <c r="I16" s="421">
        <v>22582</v>
      </c>
      <c r="J16" s="421">
        <v>33764</v>
      </c>
      <c r="K16" s="421">
        <v>56346</v>
      </c>
      <c r="L16" s="421">
        <v>132665</v>
      </c>
      <c r="M16" s="421">
        <v>125538</v>
      </c>
      <c r="N16" s="421">
        <v>258203</v>
      </c>
      <c r="O16" s="421">
        <v>1741</v>
      </c>
      <c r="P16" s="421">
        <v>1940</v>
      </c>
      <c r="Q16" s="421">
        <v>3681</v>
      </c>
      <c r="R16" s="421">
        <v>19283</v>
      </c>
      <c r="S16" s="421">
        <v>12487</v>
      </c>
      <c r="T16" s="421">
        <v>31770</v>
      </c>
      <c r="U16" s="421">
        <v>3522</v>
      </c>
      <c r="V16" s="421">
        <v>5555</v>
      </c>
      <c r="W16" s="421">
        <v>9077</v>
      </c>
      <c r="X16" s="421">
        <v>1260</v>
      </c>
      <c r="Y16" s="421">
        <v>1365</v>
      </c>
      <c r="Z16" s="421">
        <v>2625</v>
      </c>
      <c r="AA16" s="421">
        <v>182082</v>
      </c>
      <c r="AB16" s="421">
        <v>181414</v>
      </c>
      <c r="AC16" s="658">
        <v>363496</v>
      </c>
    </row>
    <row r="17" spans="1:29" s="203" customFormat="1" ht="21.75" customHeight="1">
      <c r="A17" s="420">
        <v>13</v>
      </c>
      <c r="B17" s="422" t="s">
        <v>26</v>
      </c>
      <c r="C17" s="421">
        <v>366</v>
      </c>
      <c r="D17" s="421">
        <v>471</v>
      </c>
      <c r="E17" s="421">
        <v>837</v>
      </c>
      <c r="F17" s="421">
        <v>96</v>
      </c>
      <c r="G17" s="421">
        <v>45</v>
      </c>
      <c r="H17" s="421">
        <v>141</v>
      </c>
      <c r="I17" s="421">
        <v>9479</v>
      </c>
      <c r="J17" s="421">
        <v>23386</v>
      </c>
      <c r="K17" s="421">
        <v>32865</v>
      </c>
      <c r="L17" s="421">
        <v>48902</v>
      </c>
      <c r="M17" s="421">
        <v>84884</v>
      </c>
      <c r="N17" s="421">
        <v>133786</v>
      </c>
      <c r="O17" s="421">
        <v>781</v>
      </c>
      <c r="P17" s="421">
        <v>958</v>
      </c>
      <c r="Q17" s="421">
        <v>1739</v>
      </c>
      <c r="R17" s="421">
        <v>9463</v>
      </c>
      <c r="S17" s="421">
        <v>7621</v>
      </c>
      <c r="T17" s="421">
        <v>17084</v>
      </c>
      <c r="U17" s="421">
        <v>1046</v>
      </c>
      <c r="V17" s="421">
        <v>1106</v>
      </c>
      <c r="W17" s="421">
        <v>2152</v>
      </c>
      <c r="X17" s="421">
        <v>994</v>
      </c>
      <c r="Y17" s="421">
        <v>1049</v>
      </c>
      <c r="Z17" s="421">
        <v>2043</v>
      </c>
      <c r="AA17" s="421">
        <v>71127</v>
      </c>
      <c r="AB17" s="421">
        <v>119520</v>
      </c>
      <c r="AC17" s="658">
        <v>190647</v>
      </c>
    </row>
    <row r="18" spans="1:29" s="203" customFormat="1" ht="21.75" customHeight="1">
      <c r="A18" s="420">
        <v>14</v>
      </c>
      <c r="B18" s="422" t="s">
        <v>27</v>
      </c>
      <c r="C18" s="421">
        <v>96</v>
      </c>
      <c r="D18" s="421">
        <v>109</v>
      </c>
      <c r="E18" s="421">
        <v>205</v>
      </c>
      <c r="F18" s="421">
        <v>40</v>
      </c>
      <c r="G18" s="421">
        <v>57</v>
      </c>
      <c r="H18" s="421">
        <v>97</v>
      </c>
      <c r="I18" s="421">
        <v>5798</v>
      </c>
      <c r="J18" s="421">
        <v>13481</v>
      </c>
      <c r="K18" s="421">
        <v>19279</v>
      </c>
      <c r="L18" s="421">
        <v>18491</v>
      </c>
      <c r="M18" s="421">
        <v>31037</v>
      </c>
      <c r="N18" s="421">
        <v>49528</v>
      </c>
      <c r="O18" s="421">
        <v>296</v>
      </c>
      <c r="P18" s="421">
        <v>459</v>
      </c>
      <c r="Q18" s="421">
        <v>755</v>
      </c>
      <c r="R18" s="421">
        <v>1791</v>
      </c>
      <c r="S18" s="421">
        <v>3135</v>
      </c>
      <c r="T18" s="421">
        <v>4926</v>
      </c>
      <c r="U18" s="421">
        <v>135</v>
      </c>
      <c r="V18" s="421">
        <v>216</v>
      </c>
      <c r="W18" s="421">
        <v>351</v>
      </c>
      <c r="X18" s="421">
        <v>102</v>
      </c>
      <c r="Y18" s="421">
        <v>59</v>
      </c>
      <c r="Z18" s="421">
        <v>161</v>
      </c>
      <c r="AA18" s="421">
        <v>26749</v>
      </c>
      <c r="AB18" s="421">
        <v>48553</v>
      </c>
      <c r="AC18" s="658">
        <v>75302</v>
      </c>
    </row>
    <row r="19" spans="1:29" s="203" customFormat="1" ht="21.75" customHeight="1">
      <c r="A19" s="420">
        <v>15</v>
      </c>
      <c r="B19" s="422" t="s">
        <v>57</v>
      </c>
      <c r="C19" s="421">
        <v>193</v>
      </c>
      <c r="D19" s="421">
        <v>229</v>
      </c>
      <c r="E19" s="421">
        <v>422</v>
      </c>
      <c r="F19" s="421">
        <v>41</v>
      </c>
      <c r="G19" s="421">
        <v>61</v>
      </c>
      <c r="H19" s="421">
        <v>102</v>
      </c>
      <c r="I19" s="421">
        <v>4582</v>
      </c>
      <c r="J19" s="421">
        <v>7411</v>
      </c>
      <c r="K19" s="421">
        <v>11993</v>
      </c>
      <c r="L19" s="421">
        <v>13699</v>
      </c>
      <c r="M19" s="421">
        <v>19143</v>
      </c>
      <c r="N19" s="421">
        <v>32842</v>
      </c>
      <c r="O19" s="421">
        <v>137</v>
      </c>
      <c r="P19" s="421">
        <v>119</v>
      </c>
      <c r="Q19" s="421">
        <v>256</v>
      </c>
      <c r="R19" s="421">
        <v>2948</v>
      </c>
      <c r="S19" s="421">
        <v>2705</v>
      </c>
      <c r="T19" s="421">
        <v>5653</v>
      </c>
      <c r="U19" s="421">
        <v>905</v>
      </c>
      <c r="V19" s="421">
        <v>926</v>
      </c>
      <c r="W19" s="421">
        <v>1831</v>
      </c>
      <c r="X19" s="421">
        <v>247</v>
      </c>
      <c r="Y19" s="421">
        <v>341</v>
      </c>
      <c r="Z19" s="421">
        <v>588</v>
      </c>
      <c r="AA19" s="421">
        <v>22752</v>
      </c>
      <c r="AB19" s="421">
        <v>30935</v>
      </c>
      <c r="AC19" s="658">
        <v>53687</v>
      </c>
    </row>
    <row r="20" spans="1:29" s="203" customFormat="1" ht="21.75" customHeight="1">
      <c r="A20" s="420">
        <v>16</v>
      </c>
      <c r="B20" s="422" t="s">
        <v>29</v>
      </c>
      <c r="C20" s="421">
        <v>306</v>
      </c>
      <c r="D20" s="421">
        <v>217</v>
      </c>
      <c r="E20" s="421">
        <v>523</v>
      </c>
      <c r="F20" s="421">
        <v>39</v>
      </c>
      <c r="G20" s="421">
        <v>57</v>
      </c>
      <c r="H20" s="421">
        <v>96</v>
      </c>
      <c r="I20" s="421">
        <v>8443</v>
      </c>
      <c r="J20" s="421">
        <v>15433</v>
      </c>
      <c r="K20" s="421">
        <v>23876</v>
      </c>
      <c r="L20" s="421">
        <v>62340</v>
      </c>
      <c r="M20" s="421">
        <v>75202</v>
      </c>
      <c r="N20" s="421">
        <v>137542</v>
      </c>
      <c r="O20" s="421">
        <v>724</v>
      </c>
      <c r="P20" s="421">
        <v>346</v>
      </c>
      <c r="Q20" s="421">
        <v>1070</v>
      </c>
      <c r="R20" s="421">
        <v>5486</v>
      </c>
      <c r="S20" s="421">
        <v>2461</v>
      </c>
      <c r="T20" s="421">
        <v>7947</v>
      </c>
      <c r="U20" s="421">
        <v>499</v>
      </c>
      <c r="V20" s="421">
        <v>628</v>
      </c>
      <c r="W20" s="421">
        <v>1127</v>
      </c>
      <c r="X20" s="421">
        <v>373</v>
      </c>
      <c r="Y20" s="421">
        <v>250</v>
      </c>
      <c r="Z20" s="421">
        <v>623</v>
      </c>
      <c r="AA20" s="421">
        <v>78210</v>
      </c>
      <c r="AB20" s="421">
        <v>94594</v>
      </c>
      <c r="AC20" s="658">
        <v>172804</v>
      </c>
    </row>
    <row r="21" spans="1:29" s="203" customFormat="1" ht="21.75" customHeight="1">
      <c r="A21" s="420">
        <v>17</v>
      </c>
      <c r="B21" s="422" t="s">
        <v>30</v>
      </c>
      <c r="C21" s="421">
        <v>1934</v>
      </c>
      <c r="D21" s="421">
        <v>1416</v>
      </c>
      <c r="E21" s="421">
        <v>3350</v>
      </c>
      <c r="F21" s="421">
        <v>56</v>
      </c>
      <c r="G21" s="421">
        <v>159</v>
      </c>
      <c r="H21" s="421">
        <v>215</v>
      </c>
      <c r="I21" s="421">
        <v>40556</v>
      </c>
      <c r="J21" s="421">
        <v>56093</v>
      </c>
      <c r="K21" s="421">
        <v>96649</v>
      </c>
      <c r="L21" s="421">
        <v>161064</v>
      </c>
      <c r="M21" s="421">
        <v>208204</v>
      </c>
      <c r="N21" s="421">
        <v>369268</v>
      </c>
      <c r="O21" s="421">
        <v>1600</v>
      </c>
      <c r="P21" s="421">
        <v>1527</v>
      </c>
      <c r="Q21" s="421">
        <v>3127</v>
      </c>
      <c r="R21" s="421">
        <v>24172</v>
      </c>
      <c r="S21" s="421">
        <v>22614</v>
      </c>
      <c r="T21" s="421">
        <v>46786</v>
      </c>
      <c r="U21" s="421">
        <v>554</v>
      </c>
      <c r="V21" s="421">
        <v>1040</v>
      </c>
      <c r="W21" s="421">
        <v>1594</v>
      </c>
      <c r="X21" s="421">
        <v>570</v>
      </c>
      <c r="Y21" s="421">
        <v>573</v>
      </c>
      <c r="Z21" s="421">
        <v>1143</v>
      </c>
      <c r="AA21" s="421">
        <v>230506</v>
      </c>
      <c r="AB21" s="421">
        <v>291626</v>
      </c>
      <c r="AC21" s="658">
        <v>522132</v>
      </c>
    </row>
    <row r="22" spans="1:29" s="203" customFormat="1" ht="21.75" customHeight="1">
      <c r="A22" s="420">
        <v>18</v>
      </c>
      <c r="B22" s="422" t="s">
        <v>31</v>
      </c>
      <c r="C22" s="421">
        <v>415</v>
      </c>
      <c r="D22" s="421">
        <v>681</v>
      </c>
      <c r="E22" s="421">
        <v>1096</v>
      </c>
      <c r="F22" s="421">
        <v>137</v>
      </c>
      <c r="G22" s="421">
        <v>493</v>
      </c>
      <c r="H22" s="421">
        <v>630</v>
      </c>
      <c r="I22" s="421">
        <v>9663</v>
      </c>
      <c r="J22" s="421">
        <v>29614</v>
      </c>
      <c r="K22" s="421">
        <v>39277</v>
      </c>
      <c r="L22" s="421">
        <v>56012</v>
      </c>
      <c r="M22" s="421">
        <v>109342</v>
      </c>
      <c r="N22" s="421">
        <v>165354</v>
      </c>
      <c r="O22" s="421">
        <v>333</v>
      </c>
      <c r="P22" s="421">
        <v>253</v>
      </c>
      <c r="Q22" s="421">
        <v>586</v>
      </c>
      <c r="R22" s="421">
        <v>5136</v>
      </c>
      <c r="S22" s="421">
        <v>9147</v>
      </c>
      <c r="T22" s="421">
        <v>14283</v>
      </c>
      <c r="U22" s="421">
        <v>520</v>
      </c>
      <c r="V22" s="421">
        <v>1717</v>
      </c>
      <c r="W22" s="421">
        <v>2237</v>
      </c>
      <c r="X22" s="421">
        <v>400</v>
      </c>
      <c r="Y22" s="421">
        <v>366</v>
      </c>
      <c r="Z22" s="421">
        <v>766</v>
      </c>
      <c r="AA22" s="421">
        <v>72616</v>
      </c>
      <c r="AB22" s="421">
        <v>151613</v>
      </c>
      <c r="AC22" s="658">
        <v>224229</v>
      </c>
    </row>
    <row r="23" spans="1:29" s="203" customFormat="1" ht="21.75" customHeight="1">
      <c r="A23" s="420">
        <v>19</v>
      </c>
      <c r="B23" s="422" t="s">
        <v>761</v>
      </c>
      <c r="C23" s="421">
        <v>0</v>
      </c>
      <c r="D23" s="421">
        <v>0</v>
      </c>
      <c r="E23" s="421">
        <v>0</v>
      </c>
      <c r="F23" s="421">
        <v>0</v>
      </c>
      <c r="G23" s="421">
        <v>0</v>
      </c>
      <c r="H23" s="421">
        <v>0</v>
      </c>
      <c r="I23" s="421">
        <v>13</v>
      </c>
      <c r="J23" s="421">
        <v>14</v>
      </c>
      <c r="K23" s="421">
        <v>27</v>
      </c>
      <c r="L23" s="421">
        <v>150</v>
      </c>
      <c r="M23" s="421">
        <v>293</v>
      </c>
      <c r="N23" s="421">
        <v>443</v>
      </c>
      <c r="O23" s="421">
        <v>0</v>
      </c>
      <c r="P23" s="421">
        <v>0</v>
      </c>
      <c r="Q23" s="421">
        <v>0</v>
      </c>
      <c r="R23" s="421">
        <v>43</v>
      </c>
      <c r="S23" s="421">
        <v>6</v>
      </c>
      <c r="T23" s="421">
        <v>49</v>
      </c>
      <c r="U23" s="421">
        <v>0</v>
      </c>
      <c r="V23" s="421">
        <v>0</v>
      </c>
      <c r="W23" s="421">
        <v>0</v>
      </c>
      <c r="X23" s="421">
        <v>0</v>
      </c>
      <c r="Y23" s="421">
        <v>0</v>
      </c>
      <c r="Z23" s="421">
        <v>0</v>
      </c>
      <c r="AA23" s="421">
        <v>206</v>
      </c>
      <c r="AB23" s="421">
        <v>313</v>
      </c>
      <c r="AC23" s="658">
        <v>519</v>
      </c>
    </row>
    <row r="24" spans="1:29" s="203" customFormat="1" ht="21.75" customHeight="1">
      <c r="A24" s="420">
        <v>20</v>
      </c>
      <c r="B24" s="422" t="s">
        <v>32</v>
      </c>
      <c r="C24" s="421">
        <v>0</v>
      </c>
      <c r="D24" s="421">
        <v>0</v>
      </c>
      <c r="E24" s="421">
        <v>0</v>
      </c>
      <c r="F24" s="421">
        <v>0</v>
      </c>
      <c r="G24" s="421">
        <v>0</v>
      </c>
      <c r="H24" s="421">
        <v>0</v>
      </c>
      <c r="I24" s="421">
        <v>1</v>
      </c>
      <c r="J24" s="421">
        <v>8</v>
      </c>
      <c r="K24" s="421">
        <v>9</v>
      </c>
      <c r="L24" s="421">
        <v>10</v>
      </c>
      <c r="M24" s="421">
        <v>110</v>
      </c>
      <c r="N24" s="421">
        <v>120</v>
      </c>
      <c r="O24" s="421">
        <v>0</v>
      </c>
      <c r="P24" s="421">
        <v>0</v>
      </c>
      <c r="Q24" s="421">
        <v>0</v>
      </c>
      <c r="R24" s="421">
        <v>0</v>
      </c>
      <c r="S24" s="421">
        <v>0</v>
      </c>
      <c r="T24" s="421">
        <v>0</v>
      </c>
      <c r="U24" s="421">
        <v>0</v>
      </c>
      <c r="V24" s="421">
        <v>0</v>
      </c>
      <c r="W24" s="421">
        <v>0</v>
      </c>
      <c r="X24" s="421">
        <v>0</v>
      </c>
      <c r="Y24" s="421">
        <v>0</v>
      </c>
      <c r="Z24" s="421">
        <v>0</v>
      </c>
      <c r="AA24" s="421">
        <v>11</v>
      </c>
      <c r="AB24" s="421">
        <v>118</v>
      </c>
      <c r="AC24" s="658">
        <v>129</v>
      </c>
    </row>
    <row r="25" spans="1:29" s="203" customFormat="1" ht="21.75" customHeight="1">
      <c r="A25" s="420">
        <v>21</v>
      </c>
      <c r="B25" s="422" t="s">
        <v>33</v>
      </c>
      <c r="C25" s="421">
        <v>643</v>
      </c>
      <c r="D25" s="421">
        <v>555</v>
      </c>
      <c r="E25" s="421">
        <v>1198</v>
      </c>
      <c r="F25" s="421">
        <v>460</v>
      </c>
      <c r="G25" s="421">
        <v>329</v>
      </c>
      <c r="H25" s="421">
        <v>789</v>
      </c>
      <c r="I25" s="421">
        <v>33326</v>
      </c>
      <c r="J25" s="421">
        <v>46760</v>
      </c>
      <c r="K25" s="421">
        <v>80086</v>
      </c>
      <c r="L25" s="421">
        <v>181511</v>
      </c>
      <c r="M25" s="421">
        <v>181589</v>
      </c>
      <c r="N25" s="421">
        <v>363100</v>
      </c>
      <c r="O25" s="421">
        <v>23402</v>
      </c>
      <c r="P25" s="421">
        <v>33402</v>
      </c>
      <c r="Q25" s="421">
        <v>56804</v>
      </c>
      <c r="R25" s="421">
        <v>45510</v>
      </c>
      <c r="S25" s="421">
        <v>35119</v>
      </c>
      <c r="T25" s="421">
        <v>80629</v>
      </c>
      <c r="U25" s="421">
        <v>891</v>
      </c>
      <c r="V25" s="421">
        <v>707</v>
      </c>
      <c r="W25" s="421">
        <v>1598</v>
      </c>
      <c r="X25" s="421">
        <v>969</v>
      </c>
      <c r="Y25" s="421">
        <v>805</v>
      </c>
      <c r="Z25" s="421">
        <v>1774</v>
      </c>
      <c r="AA25" s="421">
        <v>286712</v>
      </c>
      <c r="AB25" s="421">
        <v>299266</v>
      </c>
      <c r="AC25" s="658">
        <v>585978</v>
      </c>
    </row>
    <row r="26" spans="1:29" s="203" customFormat="1" ht="21.75" customHeight="1">
      <c r="A26" s="420">
        <v>22</v>
      </c>
      <c r="B26" s="422" t="s">
        <v>34</v>
      </c>
      <c r="C26" s="421">
        <v>1459</v>
      </c>
      <c r="D26" s="421">
        <v>1410</v>
      </c>
      <c r="E26" s="421">
        <v>2869</v>
      </c>
      <c r="F26" s="421">
        <v>266</v>
      </c>
      <c r="G26" s="421">
        <v>333</v>
      </c>
      <c r="H26" s="421">
        <v>599</v>
      </c>
      <c r="I26" s="421">
        <v>77080</v>
      </c>
      <c r="J26" s="421">
        <v>79591</v>
      </c>
      <c r="K26" s="421">
        <v>156671</v>
      </c>
      <c r="L26" s="421">
        <v>353269</v>
      </c>
      <c r="M26" s="421">
        <v>325549</v>
      </c>
      <c r="N26" s="421">
        <v>678818</v>
      </c>
      <c r="O26" s="421">
        <v>7355</v>
      </c>
      <c r="P26" s="421">
        <v>5435</v>
      </c>
      <c r="Q26" s="421">
        <v>12790</v>
      </c>
      <c r="R26" s="421">
        <v>59872</v>
      </c>
      <c r="S26" s="421">
        <v>54073</v>
      </c>
      <c r="T26" s="421">
        <v>113945</v>
      </c>
      <c r="U26" s="421">
        <v>5483</v>
      </c>
      <c r="V26" s="421">
        <v>4635</v>
      </c>
      <c r="W26" s="421">
        <v>10118</v>
      </c>
      <c r="X26" s="421">
        <v>1291</v>
      </c>
      <c r="Y26" s="421">
        <v>1232</v>
      </c>
      <c r="Z26" s="421">
        <v>2523</v>
      </c>
      <c r="AA26" s="421">
        <v>506075</v>
      </c>
      <c r="AB26" s="421">
        <v>472258</v>
      </c>
      <c r="AC26" s="658">
        <v>978333</v>
      </c>
    </row>
    <row r="27" spans="1:29" s="203" customFormat="1" ht="21.75" customHeight="1">
      <c r="A27" s="420">
        <v>23</v>
      </c>
      <c r="B27" s="422" t="s">
        <v>35</v>
      </c>
      <c r="C27" s="421">
        <v>50</v>
      </c>
      <c r="D27" s="421">
        <v>55</v>
      </c>
      <c r="E27" s="421">
        <v>105</v>
      </c>
      <c r="F27" s="421">
        <v>0</v>
      </c>
      <c r="G27" s="421">
        <v>2</v>
      </c>
      <c r="H27" s="421">
        <v>2</v>
      </c>
      <c r="I27" s="421">
        <v>757</v>
      </c>
      <c r="J27" s="421">
        <v>920</v>
      </c>
      <c r="K27" s="421">
        <v>1677</v>
      </c>
      <c r="L27" s="421">
        <v>10817</v>
      </c>
      <c r="M27" s="421">
        <v>11571</v>
      </c>
      <c r="N27" s="421">
        <v>22388</v>
      </c>
      <c r="O27" s="421">
        <v>169</v>
      </c>
      <c r="P27" s="421">
        <v>108</v>
      </c>
      <c r="Q27" s="421">
        <v>277</v>
      </c>
      <c r="R27" s="421">
        <v>451</v>
      </c>
      <c r="S27" s="421">
        <v>1103</v>
      </c>
      <c r="T27" s="421">
        <v>1554</v>
      </c>
      <c r="U27" s="421">
        <v>91</v>
      </c>
      <c r="V27" s="421">
        <v>149</v>
      </c>
      <c r="W27" s="421">
        <v>240</v>
      </c>
      <c r="X27" s="421">
        <v>0</v>
      </c>
      <c r="Y27" s="421">
        <v>0</v>
      </c>
      <c r="Z27" s="421">
        <v>0</v>
      </c>
      <c r="AA27" s="421">
        <v>12335</v>
      </c>
      <c r="AB27" s="421">
        <v>13908</v>
      </c>
      <c r="AC27" s="658">
        <v>26243</v>
      </c>
    </row>
    <row r="28" spans="1:29" s="203" customFormat="1" ht="21.75" customHeight="1">
      <c r="A28" s="420">
        <v>24</v>
      </c>
      <c r="B28" s="422" t="s">
        <v>36</v>
      </c>
      <c r="C28" s="421">
        <v>79</v>
      </c>
      <c r="D28" s="421">
        <v>97</v>
      </c>
      <c r="E28" s="421">
        <v>176</v>
      </c>
      <c r="F28" s="421">
        <v>12</v>
      </c>
      <c r="G28" s="421">
        <v>32</v>
      </c>
      <c r="H28" s="421">
        <v>44</v>
      </c>
      <c r="I28" s="421">
        <v>1448</v>
      </c>
      <c r="J28" s="421">
        <v>1689</v>
      </c>
      <c r="K28" s="421">
        <v>3137</v>
      </c>
      <c r="L28" s="421">
        <v>4423</v>
      </c>
      <c r="M28" s="421">
        <v>5366</v>
      </c>
      <c r="N28" s="421">
        <v>9789</v>
      </c>
      <c r="O28" s="421">
        <v>15</v>
      </c>
      <c r="P28" s="421">
        <v>8</v>
      </c>
      <c r="Q28" s="421">
        <v>23</v>
      </c>
      <c r="R28" s="421">
        <v>149</v>
      </c>
      <c r="S28" s="421">
        <v>535</v>
      </c>
      <c r="T28" s="421">
        <v>684</v>
      </c>
      <c r="U28" s="421">
        <v>0</v>
      </c>
      <c r="V28" s="421">
        <v>0</v>
      </c>
      <c r="W28" s="421">
        <v>0</v>
      </c>
      <c r="X28" s="421">
        <v>0</v>
      </c>
      <c r="Y28" s="421">
        <v>0</v>
      </c>
      <c r="Z28" s="421">
        <v>0</v>
      </c>
      <c r="AA28" s="421">
        <v>6126</v>
      </c>
      <c r="AB28" s="421">
        <v>7727</v>
      </c>
      <c r="AC28" s="658">
        <v>13853</v>
      </c>
    </row>
    <row r="29" spans="1:29" s="203" customFormat="1" ht="21.75" customHeight="1">
      <c r="A29" s="420">
        <v>25</v>
      </c>
      <c r="B29" s="422" t="s">
        <v>37</v>
      </c>
      <c r="C29" s="421">
        <v>31</v>
      </c>
      <c r="D29" s="421">
        <v>27</v>
      </c>
      <c r="E29" s="421">
        <v>58</v>
      </c>
      <c r="F29" s="421">
        <v>31</v>
      </c>
      <c r="G29" s="421">
        <v>35</v>
      </c>
      <c r="H29" s="421">
        <v>66</v>
      </c>
      <c r="I29" s="421">
        <v>510</v>
      </c>
      <c r="J29" s="421">
        <v>533</v>
      </c>
      <c r="K29" s="421">
        <v>1043</v>
      </c>
      <c r="L29" s="421">
        <v>1668</v>
      </c>
      <c r="M29" s="421">
        <v>1900</v>
      </c>
      <c r="N29" s="421">
        <v>3568</v>
      </c>
      <c r="O29" s="421">
        <v>0</v>
      </c>
      <c r="P29" s="421">
        <v>0</v>
      </c>
      <c r="Q29" s="421">
        <v>0</v>
      </c>
      <c r="R29" s="421">
        <v>284</v>
      </c>
      <c r="S29" s="421">
        <v>486</v>
      </c>
      <c r="T29" s="421">
        <v>770</v>
      </c>
      <c r="U29" s="421">
        <v>99</v>
      </c>
      <c r="V29" s="421">
        <v>55</v>
      </c>
      <c r="W29" s="421">
        <v>154</v>
      </c>
      <c r="X29" s="421">
        <v>10</v>
      </c>
      <c r="Y29" s="421">
        <v>12</v>
      </c>
      <c r="Z29" s="421">
        <v>22</v>
      </c>
      <c r="AA29" s="421">
        <v>2633</v>
      </c>
      <c r="AB29" s="421">
        <v>3048</v>
      </c>
      <c r="AC29" s="658">
        <v>5681</v>
      </c>
    </row>
    <row r="30" spans="1:29" s="203" customFormat="1" ht="21.75" customHeight="1">
      <c r="A30" s="420">
        <v>26</v>
      </c>
      <c r="B30" s="422" t="s">
        <v>38</v>
      </c>
      <c r="C30" s="421">
        <v>32</v>
      </c>
      <c r="D30" s="421">
        <v>25</v>
      </c>
      <c r="E30" s="421">
        <v>57</v>
      </c>
      <c r="F30" s="421">
        <v>3</v>
      </c>
      <c r="G30" s="421">
        <v>10</v>
      </c>
      <c r="H30" s="421">
        <v>13</v>
      </c>
      <c r="I30" s="421">
        <v>470</v>
      </c>
      <c r="J30" s="421">
        <v>771</v>
      </c>
      <c r="K30" s="421">
        <v>1241</v>
      </c>
      <c r="L30" s="421">
        <v>3737</v>
      </c>
      <c r="M30" s="421">
        <v>4421</v>
      </c>
      <c r="N30" s="421">
        <v>8158</v>
      </c>
      <c r="O30" s="421">
        <v>4</v>
      </c>
      <c r="P30" s="421">
        <v>27</v>
      </c>
      <c r="Q30" s="421">
        <v>31</v>
      </c>
      <c r="R30" s="421">
        <v>213</v>
      </c>
      <c r="S30" s="421">
        <v>304</v>
      </c>
      <c r="T30" s="421">
        <v>517</v>
      </c>
      <c r="U30" s="421">
        <v>19</v>
      </c>
      <c r="V30" s="421">
        <v>26</v>
      </c>
      <c r="W30" s="421">
        <v>45</v>
      </c>
      <c r="X30" s="421">
        <v>7</v>
      </c>
      <c r="Y30" s="421">
        <v>0</v>
      </c>
      <c r="Z30" s="421">
        <v>7</v>
      </c>
      <c r="AA30" s="421">
        <v>4485</v>
      </c>
      <c r="AB30" s="421">
        <v>5584</v>
      </c>
      <c r="AC30" s="658">
        <v>10069</v>
      </c>
    </row>
    <row r="31" spans="1:29" s="203" customFormat="1" ht="21.75" customHeight="1">
      <c r="A31" s="420">
        <v>27</v>
      </c>
      <c r="B31" s="422" t="s">
        <v>39</v>
      </c>
      <c r="C31" s="421">
        <v>522</v>
      </c>
      <c r="D31" s="421">
        <v>442</v>
      </c>
      <c r="E31" s="421">
        <v>964</v>
      </c>
      <c r="F31" s="421">
        <v>356</v>
      </c>
      <c r="G31" s="421">
        <v>577</v>
      </c>
      <c r="H31" s="421">
        <v>933</v>
      </c>
      <c r="I31" s="421">
        <v>12362</v>
      </c>
      <c r="J31" s="421">
        <v>12482</v>
      </c>
      <c r="K31" s="421">
        <v>24844</v>
      </c>
      <c r="L31" s="421">
        <v>81800</v>
      </c>
      <c r="M31" s="421">
        <v>83454</v>
      </c>
      <c r="N31" s="421">
        <v>165254</v>
      </c>
      <c r="O31" s="421">
        <v>446</v>
      </c>
      <c r="P31" s="421">
        <v>242</v>
      </c>
      <c r="Q31" s="421">
        <v>688</v>
      </c>
      <c r="R31" s="421">
        <v>21261</v>
      </c>
      <c r="S31" s="421">
        <v>10043</v>
      </c>
      <c r="T31" s="421">
        <v>31304</v>
      </c>
      <c r="U31" s="421">
        <v>1456</v>
      </c>
      <c r="V31" s="421">
        <v>2171</v>
      </c>
      <c r="W31" s="421">
        <v>3627</v>
      </c>
      <c r="X31" s="421">
        <v>578</v>
      </c>
      <c r="Y31" s="421">
        <v>476</v>
      </c>
      <c r="Z31" s="421">
        <v>1054</v>
      </c>
      <c r="AA31" s="421">
        <v>118781</v>
      </c>
      <c r="AB31" s="421">
        <v>109887</v>
      </c>
      <c r="AC31" s="658">
        <v>228668</v>
      </c>
    </row>
    <row r="32" spans="1:29" s="203" customFormat="1" ht="21.75" customHeight="1">
      <c r="A32" s="420">
        <v>28</v>
      </c>
      <c r="B32" s="422" t="s">
        <v>40</v>
      </c>
      <c r="C32" s="421">
        <v>61</v>
      </c>
      <c r="D32" s="421">
        <v>36</v>
      </c>
      <c r="E32" s="421">
        <v>97</v>
      </c>
      <c r="F32" s="421">
        <v>6</v>
      </c>
      <c r="G32" s="421">
        <v>49</v>
      </c>
      <c r="H32" s="421">
        <v>55</v>
      </c>
      <c r="I32" s="421">
        <v>3936</v>
      </c>
      <c r="J32" s="421">
        <v>2135</v>
      </c>
      <c r="K32" s="421">
        <v>6071</v>
      </c>
      <c r="L32" s="421">
        <v>3746</v>
      </c>
      <c r="M32" s="421">
        <v>6281</v>
      </c>
      <c r="N32" s="421">
        <v>10027</v>
      </c>
      <c r="O32" s="421">
        <v>94</v>
      </c>
      <c r="P32" s="421">
        <v>53</v>
      </c>
      <c r="Q32" s="421">
        <v>147</v>
      </c>
      <c r="R32" s="421">
        <v>467</v>
      </c>
      <c r="S32" s="421">
        <v>188</v>
      </c>
      <c r="T32" s="421">
        <v>655</v>
      </c>
      <c r="U32" s="421">
        <v>0</v>
      </c>
      <c r="V32" s="421">
        <v>0</v>
      </c>
      <c r="W32" s="421">
        <v>0</v>
      </c>
      <c r="X32" s="421">
        <v>49</v>
      </c>
      <c r="Y32" s="421">
        <v>68</v>
      </c>
      <c r="Z32" s="421">
        <v>117</v>
      </c>
      <c r="AA32" s="421">
        <v>8359</v>
      </c>
      <c r="AB32" s="421">
        <v>8810</v>
      </c>
      <c r="AC32" s="658">
        <v>17169</v>
      </c>
    </row>
    <row r="33" spans="1:29" s="203" customFormat="1" ht="21.75" customHeight="1">
      <c r="A33" s="420">
        <v>29</v>
      </c>
      <c r="B33" s="422" t="s">
        <v>41</v>
      </c>
      <c r="C33" s="421">
        <v>363</v>
      </c>
      <c r="D33" s="421">
        <v>383</v>
      </c>
      <c r="E33" s="421">
        <v>746</v>
      </c>
      <c r="F33" s="421">
        <v>74</v>
      </c>
      <c r="G33" s="421">
        <v>96</v>
      </c>
      <c r="H33" s="421">
        <v>170</v>
      </c>
      <c r="I33" s="421">
        <v>14002</v>
      </c>
      <c r="J33" s="421">
        <v>30157</v>
      </c>
      <c r="K33" s="421">
        <v>44159</v>
      </c>
      <c r="L33" s="421">
        <v>57679</v>
      </c>
      <c r="M33" s="421">
        <v>94084</v>
      </c>
      <c r="N33" s="421">
        <v>151763</v>
      </c>
      <c r="O33" s="421">
        <v>1149</v>
      </c>
      <c r="P33" s="421">
        <v>2487</v>
      </c>
      <c r="Q33" s="421">
        <v>3636</v>
      </c>
      <c r="R33" s="421">
        <v>15748</v>
      </c>
      <c r="S33" s="421">
        <v>14616</v>
      </c>
      <c r="T33" s="421">
        <v>30364</v>
      </c>
      <c r="U33" s="421">
        <v>250</v>
      </c>
      <c r="V33" s="421">
        <v>621</v>
      </c>
      <c r="W33" s="421">
        <v>871</v>
      </c>
      <c r="X33" s="421">
        <v>672</v>
      </c>
      <c r="Y33" s="421">
        <v>655</v>
      </c>
      <c r="Z33" s="421">
        <v>1327</v>
      </c>
      <c r="AA33" s="421">
        <v>89937</v>
      </c>
      <c r="AB33" s="421">
        <v>143099</v>
      </c>
      <c r="AC33" s="658">
        <v>233036</v>
      </c>
    </row>
    <row r="34" spans="1:29" s="203" customFormat="1" ht="21.75" customHeight="1">
      <c r="A34" s="420">
        <v>30</v>
      </c>
      <c r="B34" s="422" t="s">
        <v>42</v>
      </c>
      <c r="C34" s="421">
        <v>1060</v>
      </c>
      <c r="D34" s="421">
        <v>1087</v>
      </c>
      <c r="E34" s="421">
        <v>2147</v>
      </c>
      <c r="F34" s="421">
        <v>303</v>
      </c>
      <c r="G34" s="421">
        <v>264</v>
      </c>
      <c r="H34" s="421">
        <v>567</v>
      </c>
      <c r="I34" s="421">
        <v>43684</v>
      </c>
      <c r="J34" s="421">
        <v>52733</v>
      </c>
      <c r="K34" s="421">
        <v>96417</v>
      </c>
      <c r="L34" s="421">
        <v>233895</v>
      </c>
      <c r="M34" s="421">
        <v>275271</v>
      </c>
      <c r="N34" s="421">
        <v>509166</v>
      </c>
      <c r="O34" s="421">
        <v>3051</v>
      </c>
      <c r="P34" s="421">
        <v>2234</v>
      </c>
      <c r="Q34" s="421">
        <v>5285</v>
      </c>
      <c r="R34" s="421">
        <v>19048</v>
      </c>
      <c r="S34" s="421">
        <v>10127</v>
      </c>
      <c r="T34" s="421">
        <v>29175</v>
      </c>
      <c r="U34" s="421">
        <v>3235</v>
      </c>
      <c r="V34" s="421">
        <v>3519</v>
      </c>
      <c r="W34" s="421">
        <v>6754</v>
      </c>
      <c r="X34" s="421">
        <v>3709</v>
      </c>
      <c r="Y34" s="421">
        <v>3733</v>
      </c>
      <c r="Z34" s="421">
        <v>7442</v>
      </c>
      <c r="AA34" s="421">
        <v>307985</v>
      </c>
      <c r="AB34" s="421">
        <v>348968</v>
      </c>
      <c r="AC34" s="658">
        <v>656953</v>
      </c>
    </row>
    <row r="35" spans="1:29" s="203" customFormat="1" ht="21.75" customHeight="1">
      <c r="A35" s="420">
        <v>31</v>
      </c>
      <c r="B35" s="422" t="s">
        <v>43</v>
      </c>
      <c r="C35" s="421">
        <v>2</v>
      </c>
      <c r="D35" s="421">
        <v>0</v>
      </c>
      <c r="E35" s="421">
        <v>2</v>
      </c>
      <c r="F35" s="421">
        <v>0</v>
      </c>
      <c r="G35" s="421">
        <v>0</v>
      </c>
      <c r="H35" s="421">
        <v>0</v>
      </c>
      <c r="I35" s="421">
        <v>2032</v>
      </c>
      <c r="J35" s="421">
        <v>1596</v>
      </c>
      <c r="K35" s="421">
        <v>3628</v>
      </c>
      <c r="L35" s="421">
        <v>2246</v>
      </c>
      <c r="M35" s="421">
        <v>2424</v>
      </c>
      <c r="N35" s="421">
        <v>4670</v>
      </c>
      <c r="O35" s="421">
        <v>0</v>
      </c>
      <c r="P35" s="421">
        <v>0</v>
      </c>
      <c r="Q35" s="421">
        <v>0</v>
      </c>
      <c r="R35" s="421">
        <v>235</v>
      </c>
      <c r="S35" s="421">
        <v>261</v>
      </c>
      <c r="T35" s="421">
        <v>496</v>
      </c>
      <c r="U35" s="421">
        <v>37</v>
      </c>
      <c r="V35" s="421">
        <v>19</v>
      </c>
      <c r="W35" s="421">
        <v>56</v>
      </c>
      <c r="X35" s="421">
        <v>17</v>
      </c>
      <c r="Y35" s="421">
        <v>21</v>
      </c>
      <c r="Z35" s="421">
        <v>38</v>
      </c>
      <c r="AA35" s="421">
        <v>4569</v>
      </c>
      <c r="AB35" s="421">
        <v>4321</v>
      </c>
      <c r="AC35" s="658">
        <v>8890</v>
      </c>
    </row>
    <row r="36" spans="1:29" s="203" customFormat="1" ht="21.75" customHeight="1">
      <c r="A36" s="420">
        <v>32</v>
      </c>
      <c r="B36" s="422" t="s">
        <v>44</v>
      </c>
      <c r="C36" s="421">
        <v>2556</v>
      </c>
      <c r="D36" s="421">
        <v>2768</v>
      </c>
      <c r="E36" s="421">
        <v>5324</v>
      </c>
      <c r="F36" s="421">
        <v>2293</v>
      </c>
      <c r="G36" s="421">
        <v>7797</v>
      </c>
      <c r="H36" s="421">
        <v>10090</v>
      </c>
      <c r="I36" s="421">
        <v>75670</v>
      </c>
      <c r="J36" s="421">
        <v>125546</v>
      </c>
      <c r="K36" s="421">
        <v>201216</v>
      </c>
      <c r="L36" s="421">
        <v>228016</v>
      </c>
      <c r="M36" s="421">
        <v>352508</v>
      </c>
      <c r="N36" s="421">
        <v>580524</v>
      </c>
      <c r="O36" s="421">
        <v>6463</v>
      </c>
      <c r="P36" s="421">
        <v>4940</v>
      </c>
      <c r="Q36" s="421">
        <v>11403</v>
      </c>
      <c r="R36" s="421">
        <v>58820</v>
      </c>
      <c r="S36" s="421">
        <v>20964</v>
      </c>
      <c r="T36" s="421">
        <v>79784</v>
      </c>
      <c r="U36" s="421">
        <v>3537</v>
      </c>
      <c r="V36" s="421">
        <v>10044</v>
      </c>
      <c r="W36" s="421">
        <v>13581</v>
      </c>
      <c r="X36" s="421">
        <v>1431</v>
      </c>
      <c r="Y36" s="421">
        <v>1225</v>
      </c>
      <c r="Z36" s="421">
        <v>2656</v>
      </c>
      <c r="AA36" s="421">
        <v>378786</v>
      </c>
      <c r="AB36" s="421">
        <v>525792</v>
      </c>
      <c r="AC36" s="658">
        <v>904578</v>
      </c>
    </row>
    <row r="37" spans="1:29" s="203" customFormat="1" ht="21.75" customHeight="1">
      <c r="A37" s="420">
        <v>33</v>
      </c>
      <c r="B37" s="422" t="s">
        <v>134</v>
      </c>
      <c r="C37" s="421">
        <v>895</v>
      </c>
      <c r="D37" s="421">
        <v>450</v>
      </c>
      <c r="E37" s="421">
        <v>1345</v>
      </c>
      <c r="F37" s="421">
        <v>101</v>
      </c>
      <c r="G37" s="421">
        <v>75</v>
      </c>
      <c r="H37" s="421">
        <v>176</v>
      </c>
      <c r="I37" s="421">
        <v>26875</v>
      </c>
      <c r="J37" s="421">
        <v>35631</v>
      </c>
      <c r="K37" s="421">
        <v>62506</v>
      </c>
      <c r="L37" s="421">
        <v>89065</v>
      </c>
      <c r="M37" s="421">
        <v>119618</v>
      </c>
      <c r="N37" s="421">
        <v>208683</v>
      </c>
      <c r="O37" s="421">
        <v>1483</v>
      </c>
      <c r="P37" s="421">
        <v>1178</v>
      </c>
      <c r="Q37" s="421">
        <v>2661</v>
      </c>
      <c r="R37" s="421">
        <v>16261</v>
      </c>
      <c r="S37" s="421">
        <v>15867</v>
      </c>
      <c r="T37" s="421">
        <v>32128</v>
      </c>
      <c r="U37" s="421">
        <v>807</v>
      </c>
      <c r="V37" s="421">
        <v>201</v>
      </c>
      <c r="W37" s="421">
        <v>1008</v>
      </c>
      <c r="X37" s="421">
        <v>468</v>
      </c>
      <c r="Y37" s="421">
        <v>324</v>
      </c>
      <c r="Z37" s="421">
        <v>792</v>
      </c>
      <c r="AA37" s="421">
        <v>135955</v>
      </c>
      <c r="AB37" s="421">
        <v>173344</v>
      </c>
      <c r="AC37" s="658">
        <v>309299</v>
      </c>
    </row>
    <row r="38" spans="1:29" s="203" customFormat="1" ht="21.75" customHeight="1">
      <c r="A38" s="420">
        <v>34</v>
      </c>
      <c r="B38" s="422" t="s">
        <v>45</v>
      </c>
      <c r="C38" s="421">
        <v>28</v>
      </c>
      <c r="D38" s="421">
        <v>19</v>
      </c>
      <c r="E38" s="421">
        <v>47</v>
      </c>
      <c r="F38" s="421">
        <v>0</v>
      </c>
      <c r="G38" s="421">
        <v>0</v>
      </c>
      <c r="H38" s="421">
        <v>0</v>
      </c>
      <c r="I38" s="421">
        <v>685</v>
      </c>
      <c r="J38" s="421">
        <v>663</v>
      </c>
      <c r="K38" s="421">
        <v>1348</v>
      </c>
      <c r="L38" s="421">
        <v>8644</v>
      </c>
      <c r="M38" s="421">
        <v>7838</v>
      </c>
      <c r="N38" s="421">
        <v>16482</v>
      </c>
      <c r="O38" s="421">
        <v>39</v>
      </c>
      <c r="P38" s="421">
        <v>57</v>
      </c>
      <c r="Q38" s="421">
        <v>96</v>
      </c>
      <c r="R38" s="421">
        <v>602</v>
      </c>
      <c r="S38" s="421">
        <v>631</v>
      </c>
      <c r="T38" s="421">
        <v>1233</v>
      </c>
      <c r="U38" s="421">
        <v>74</v>
      </c>
      <c r="V38" s="421">
        <v>81</v>
      </c>
      <c r="W38" s="421">
        <v>155</v>
      </c>
      <c r="X38" s="421">
        <v>46</v>
      </c>
      <c r="Y38" s="421">
        <v>27</v>
      </c>
      <c r="Z38" s="421">
        <v>73</v>
      </c>
      <c r="AA38" s="421">
        <v>10118</v>
      </c>
      <c r="AB38" s="421">
        <v>9316</v>
      </c>
      <c r="AC38" s="658">
        <v>19434</v>
      </c>
    </row>
    <row r="39" spans="1:29" s="203" customFormat="1" ht="21.75" customHeight="1">
      <c r="A39" s="420">
        <v>35</v>
      </c>
      <c r="B39" s="422" t="s">
        <v>47</v>
      </c>
      <c r="C39" s="421">
        <v>1970</v>
      </c>
      <c r="D39" s="421">
        <v>1345</v>
      </c>
      <c r="E39" s="421">
        <v>3315</v>
      </c>
      <c r="F39" s="421">
        <v>86</v>
      </c>
      <c r="G39" s="421">
        <v>145</v>
      </c>
      <c r="H39" s="421">
        <v>231</v>
      </c>
      <c r="I39" s="421">
        <v>87683</v>
      </c>
      <c r="J39" s="421">
        <v>128114</v>
      </c>
      <c r="K39" s="421">
        <v>215797</v>
      </c>
      <c r="L39" s="421">
        <v>588435</v>
      </c>
      <c r="M39" s="421">
        <v>664558</v>
      </c>
      <c r="N39" s="421">
        <v>1252993</v>
      </c>
      <c r="O39" s="421">
        <v>11370</v>
      </c>
      <c r="P39" s="421">
        <v>8643</v>
      </c>
      <c r="Q39" s="421">
        <v>20013</v>
      </c>
      <c r="R39" s="421">
        <v>55311</v>
      </c>
      <c r="S39" s="421">
        <v>35353</v>
      </c>
      <c r="T39" s="421">
        <v>90664</v>
      </c>
      <c r="U39" s="421">
        <v>3296</v>
      </c>
      <c r="V39" s="421">
        <v>4598</v>
      </c>
      <c r="W39" s="421">
        <v>7894</v>
      </c>
      <c r="X39" s="421">
        <v>4425</v>
      </c>
      <c r="Y39" s="421">
        <v>2531</v>
      </c>
      <c r="Z39" s="421">
        <v>6956</v>
      </c>
      <c r="AA39" s="421">
        <v>752576</v>
      </c>
      <c r="AB39" s="421">
        <v>845287</v>
      </c>
      <c r="AC39" s="658">
        <v>1597863</v>
      </c>
    </row>
    <row r="40" spans="1:29" s="203" customFormat="1" ht="21.75" customHeight="1">
      <c r="A40" s="420">
        <v>36</v>
      </c>
      <c r="B40" s="422" t="s">
        <v>46</v>
      </c>
      <c r="C40" s="421">
        <v>533</v>
      </c>
      <c r="D40" s="421">
        <v>361</v>
      </c>
      <c r="E40" s="421">
        <v>894</v>
      </c>
      <c r="F40" s="421">
        <v>1</v>
      </c>
      <c r="G40" s="421">
        <v>0</v>
      </c>
      <c r="H40" s="421">
        <v>1</v>
      </c>
      <c r="I40" s="421">
        <v>14799</v>
      </c>
      <c r="J40" s="421">
        <v>22647</v>
      </c>
      <c r="K40" s="421">
        <v>37446</v>
      </c>
      <c r="L40" s="421">
        <v>46192</v>
      </c>
      <c r="M40" s="421">
        <v>68372</v>
      </c>
      <c r="N40" s="421">
        <v>114564</v>
      </c>
      <c r="O40" s="421">
        <v>585</v>
      </c>
      <c r="P40" s="421">
        <v>602</v>
      </c>
      <c r="Q40" s="421">
        <v>1187</v>
      </c>
      <c r="R40" s="421">
        <v>6222</v>
      </c>
      <c r="S40" s="421">
        <v>2789</v>
      </c>
      <c r="T40" s="421">
        <v>9011</v>
      </c>
      <c r="U40" s="421">
        <v>66</v>
      </c>
      <c r="V40" s="421">
        <v>29</v>
      </c>
      <c r="W40" s="421">
        <v>95</v>
      </c>
      <c r="X40" s="421">
        <v>309</v>
      </c>
      <c r="Y40" s="421">
        <v>220</v>
      </c>
      <c r="Z40" s="421">
        <v>529</v>
      </c>
      <c r="AA40" s="421">
        <v>68707</v>
      </c>
      <c r="AB40" s="421">
        <v>95020</v>
      </c>
      <c r="AC40" s="658">
        <v>163727</v>
      </c>
    </row>
    <row r="41" spans="1:29" s="203" customFormat="1" ht="21.75" customHeight="1">
      <c r="A41" s="420">
        <v>37</v>
      </c>
      <c r="B41" s="422" t="s">
        <v>48</v>
      </c>
      <c r="C41" s="421">
        <v>1159</v>
      </c>
      <c r="D41" s="421">
        <v>758</v>
      </c>
      <c r="E41" s="421">
        <v>1917</v>
      </c>
      <c r="F41" s="421">
        <v>411</v>
      </c>
      <c r="G41" s="421">
        <v>325</v>
      </c>
      <c r="H41" s="421">
        <v>736</v>
      </c>
      <c r="I41" s="421">
        <v>25552</v>
      </c>
      <c r="J41" s="421">
        <v>39165</v>
      </c>
      <c r="K41" s="421">
        <v>64717</v>
      </c>
      <c r="L41" s="421">
        <v>145201</v>
      </c>
      <c r="M41" s="421">
        <v>157252</v>
      </c>
      <c r="N41" s="421">
        <v>302453</v>
      </c>
      <c r="O41" s="421">
        <v>862</v>
      </c>
      <c r="P41" s="421">
        <v>787</v>
      </c>
      <c r="Q41" s="421">
        <v>1649</v>
      </c>
      <c r="R41" s="421">
        <v>32461</v>
      </c>
      <c r="S41" s="421">
        <v>14833</v>
      </c>
      <c r="T41" s="421">
        <v>47294</v>
      </c>
      <c r="U41" s="421">
        <v>1515</v>
      </c>
      <c r="V41" s="421">
        <v>1237</v>
      </c>
      <c r="W41" s="421">
        <v>2752</v>
      </c>
      <c r="X41" s="421">
        <v>1117</v>
      </c>
      <c r="Y41" s="421">
        <v>474</v>
      </c>
      <c r="Z41" s="421">
        <v>1591</v>
      </c>
      <c r="AA41" s="421">
        <v>208278</v>
      </c>
      <c r="AB41" s="421">
        <v>214831</v>
      </c>
      <c r="AC41" s="658">
        <v>423109</v>
      </c>
    </row>
    <row r="42" spans="1:29" s="205" customFormat="1" ht="26.25" customHeight="1">
      <c r="A42" s="952" t="s">
        <v>49</v>
      </c>
      <c r="B42" s="953"/>
      <c r="C42" s="422">
        <f>SUM(C5:C41)</f>
        <v>21577</v>
      </c>
      <c r="D42" s="422">
        <f t="shared" ref="D42:AC42" si="0">SUM(D5:D41)</f>
        <v>17409</v>
      </c>
      <c r="E42" s="422">
        <f t="shared" si="0"/>
        <v>38986</v>
      </c>
      <c r="F42" s="422">
        <f t="shared" si="0"/>
        <v>6018</v>
      </c>
      <c r="G42" s="422">
        <f t="shared" si="0"/>
        <v>12202</v>
      </c>
      <c r="H42" s="422">
        <f t="shared" si="0"/>
        <v>18220</v>
      </c>
      <c r="I42" s="422">
        <f t="shared" si="0"/>
        <v>656690</v>
      </c>
      <c r="J42" s="422">
        <f t="shared" si="0"/>
        <v>921014</v>
      </c>
      <c r="K42" s="422">
        <f t="shared" si="0"/>
        <v>1577704</v>
      </c>
      <c r="L42" s="422">
        <f t="shared" si="0"/>
        <v>3099051</v>
      </c>
      <c r="M42" s="422">
        <f t="shared" si="0"/>
        <v>3551020</v>
      </c>
      <c r="N42" s="422">
        <f t="shared" si="0"/>
        <v>6650071</v>
      </c>
      <c r="O42" s="422">
        <f t="shared" si="0"/>
        <v>89919</v>
      </c>
      <c r="P42" s="422">
        <f t="shared" si="0"/>
        <v>99689</v>
      </c>
      <c r="Q42" s="422">
        <f t="shared" si="0"/>
        <v>189608</v>
      </c>
      <c r="R42" s="422">
        <f t="shared" si="0"/>
        <v>469931</v>
      </c>
      <c r="S42" s="422">
        <f t="shared" si="0"/>
        <v>337399</v>
      </c>
      <c r="T42" s="422">
        <f t="shared" si="0"/>
        <v>807330</v>
      </c>
      <c r="U42" s="422">
        <f t="shared" si="0"/>
        <v>33895</v>
      </c>
      <c r="V42" s="422">
        <f t="shared" si="0"/>
        <v>47032</v>
      </c>
      <c r="W42" s="422">
        <f t="shared" si="0"/>
        <v>80927</v>
      </c>
      <c r="X42" s="422">
        <f t="shared" si="0"/>
        <v>21585</v>
      </c>
      <c r="Y42" s="422">
        <f t="shared" si="0"/>
        <v>17479</v>
      </c>
      <c r="Z42" s="422">
        <f t="shared" si="0"/>
        <v>39064</v>
      </c>
      <c r="AA42" s="422">
        <f t="shared" si="0"/>
        <v>4398666</v>
      </c>
      <c r="AB42" s="422">
        <f t="shared" si="0"/>
        <v>5003244</v>
      </c>
      <c r="AC42" s="422">
        <f t="shared" si="0"/>
        <v>9401910</v>
      </c>
    </row>
  </sheetData>
  <mergeCells count="15">
    <mergeCell ref="C1:K1"/>
    <mergeCell ref="L1:T1"/>
    <mergeCell ref="U1:AC1"/>
    <mergeCell ref="O2:Q2"/>
    <mergeCell ref="R2:T2"/>
    <mergeCell ref="U2:W2"/>
    <mergeCell ref="X2:Z2"/>
    <mergeCell ref="AA2:AC2"/>
    <mergeCell ref="I2:K2"/>
    <mergeCell ref="L2:N2"/>
    <mergeCell ref="A42:B42"/>
    <mergeCell ref="A2:A3"/>
    <mergeCell ref="B2:B3"/>
    <mergeCell ref="C2:E2"/>
    <mergeCell ref="F2:H2"/>
  </mergeCells>
  <printOptions horizontalCentered="1"/>
  <pageMargins left="0.5" right="0.3" top="0.4" bottom="0.4" header="0.196850393700787" footer="0.15748031496063"/>
  <pageSetup paperSize="9" scale="85" firstPageNumber="104" orientation="portrait" useFirstPageNumber="1" r:id="rId1"/>
  <headerFooter>
    <oddFooter>&amp;L     AISHE 2019-20&amp;CT-33</oddFooter>
  </headerFooter>
  <colBreaks count="2" manualBreakCount="2">
    <brk id="11" max="38" man="1"/>
    <brk id="20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>
    <tabColor rgb="FF00B050"/>
  </sheetPr>
  <dimension ref="A1:E197"/>
  <sheetViews>
    <sheetView view="pageBreakPreview" zoomScaleSheetLayoutView="100" workbookViewId="0">
      <selection activeCell="E196" sqref="E4:E196"/>
    </sheetView>
  </sheetViews>
  <sheetFormatPr defaultColWidth="9.140625" defaultRowHeight="14.25"/>
  <cols>
    <col min="1" max="1" width="7.5703125" style="80" customWidth="1"/>
    <col min="2" max="2" width="53.140625" style="226" customWidth="1"/>
    <col min="3" max="5" width="11.85546875" style="80" customWidth="1"/>
    <col min="6" max="16384" width="9.140625" style="80"/>
  </cols>
  <sheetData>
    <row r="1" spans="1:5" s="215" customFormat="1" ht="25.9" customHeight="1">
      <c r="A1" s="959" t="s">
        <v>823</v>
      </c>
      <c r="B1" s="959"/>
      <c r="C1" s="959"/>
      <c r="D1" s="959"/>
      <c r="E1" s="959"/>
    </row>
    <row r="2" spans="1:5" s="424" customFormat="1" ht="28.9" customHeight="1">
      <c r="A2" s="216" t="s">
        <v>165</v>
      </c>
      <c r="B2" s="216" t="s">
        <v>760</v>
      </c>
      <c r="C2" s="423" t="s">
        <v>87</v>
      </c>
      <c r="D2" s="423" t="s">
        <v>88</v>
      </c>
      <c r="E2" s="423" t="s">
        <v>12</v>
      </c>
    </row>
    <row r="3" spans="1:5" s="219" customFormat="1" ht="12">
      <c r="A3" s="218">
        <v>1</v>
      </c>
      <c r="B3" s="218">
        <v>2</v>
      </c>
      <c r="C3" s="218">
        <v>3</v>
      </c>
      <c r="D3" s="218">
        <v>4</v>
      </c>
      <c r="E3" s="218">
        <v>5</v>
      </c>
    </row>
    <row r="4" spans="1:5" ht="15" customHeight="1">
      <c r="A4" s="220">
        <v>1</v>
      </c>
      <c r="B4" s="425" t="s">
        <v>179</v>
      </c>
      <c r="C4" s="222">
        <v>20804</v>
      </c>
      <c r="D4" s="222">
        <v>17172</v>
      </c>
      <c r="E4" s="222">
        <v>37976</v>
      </c>
    </row>
    <row r="5" spans="1:5" ht="15" customHeight="1">
      <c r="A5" s="220">
        <v>2</v>
      </c>
      <c r="B5" s="221" t="s">
        <v>181</v>
      </c>
      <c r="C5" s="222">
        <v>335</v>
      </c>
      <c r="D5" s="222">
        <v>89</v>
      </c>
      <c r="E5" s="222">
        <v>424</v>
      </c>
    </row>
    <row r="6" spans="1:5" ht="15" customHeight="1">
      <c r="A6" s="220">
        <v>3</v>
      </c>
      <c r="B6" s="221" t="s">
        <v>182</v>
      </c>
      <c r="C6" s="222">
        <v>254</v>
      </c>
      <c r="D6" s="222">
        <v>33</v>
      </c>
      <c r="E6" s="222">
        <v>287</v>
      </c>
    </row>
    <row r="7" spans="1:5" ht="15" customHeight="1">
      <c r="A7" s="220">
        <v>4</v>
      </c>
      <c r="B7" s="221" t="s">
        <v>183</v>
      </c>
      <c r="C7" s="222">
        <v>141</v>
      </c>
      <c r="D7" s="222">
        <v>68</v>
      </c>
      <c r="E7" s="222">
        <v>209</v>
      </c>
    </row>
    <row r="8" spans="1:5" ht="15" customHeight="1">
      <c r="A8" s="220">
        <v>5</v>
      </c>
      <c r="B8" s="221" t="s">
        <v>805</v>
      </c>
      <c r="C8" s="222">
        <v>25</v>
      </c>
      <c r="D8" s="222">
        <v>27</v>
      </c>
      <c r="E8" s="222">
        <v>52</v>
      </c>
    </row>
    <row r="9" spans="1:5" ht="15" customHeight="1">
      <c r="A9" s="220">
        <v>6</v>
      </c>
      <c r="B9" s="221" t="s">
        <v>187</v>
      </c>
      <c r="C9" s="222">
        <v>13</v>
      </c>
      <c r="D9" s="222">
        <v>18</v>
      </c>
      <c r="E9" s="222">
        <v>31</v>
      </c>
    </row>
    <row r="10" spans="1:5" ht="15" customHeight="1">
      <c r="A10" s="220">
        <v>7</v>
      </c>
      <c r="B10" s="221" t="s">
        <v>185</v>
      </c>
      <c r="C10" s="222">
        <v>4</v>
      </c>
      <c r="D10" s="222">
        <v>2</v>
      </c>
      <c r="E10" s="222">
        <v>6</v>
      </c>
    </row>
    <row r="11" spans="1:5" ht="15" customHeight="1">
      <c r="A11" s="220">
        <v>8</v>
      </c>
      <c r="B11" s="221" t="s">
        <v>180</v>
      </c>
      <c r="C11" s="222">
        <v>1</v>
      </c>
      <c r="D11" s="222">
        <v>0</v>
      </c>
      <c r="E11" s="222">
        <v>1</v>
      </c>
    </row>
    <row r="12" spans="1:5" ht="15" customHeight="1">
      <c r="A12" s="220">
        <v>9</v>
      </c>
      <c r="B12" s="221" t="s">
        <v>188</v>
      </c>
      <c r="C12" s="222">
        <v>6018</v>
      </c>
      <c r="D12" s="222">
        <v>12202</v>
      </c>
      <c r="E12" s="222">
        <v>18220</v>
      </c>
    </row>
    <row r="13" spans="1:5" ht="15" customHeight="1">
      <c r="A13" s="220">
        <v>10</v>
      </c>
      <c r="B13" s="221" t="s">
        <v>189</v>
      </c>
      <c r="C13" s="222">
        <v>212708</v>
      </c>
      <c r="D13" s="222">
        <v>378198</v>
      </c>
      <c r="E13" s="222">
        <v>590906</v>
      </c>
    </row>
    <row r="14" spans="1:5" ht="15" customHeight="1">
      <c r="A14" s="220">
        <v>11</v>
      </c>
      <c r="B14" s="221" t="s">
        <v>190</v>
      </c>
      <c r="C14" s="222">
        <v>110444</v>
      </c>
      <c r="D14" s="222">
        <v>195191</v>
      </c>
      <c r="E14" s="222">
        <v>305635</v>
      </c>
    </row>
    <row r="15" spans="1:5" ht="15" customHeight="1">
      <c r="A15" s="220">
        <v>12</v>
      </c>
      <c r="B15" s="221" t="s">
        <v>191</v>
      </c>
      <c r="C15" s="222">
        <v>122310</v>
      </c>
      <c r="D15" s="222">
        <v>94153</v>
      </c>
      <c r="E15" s="222">
        <v>216463</v>
      </c>
    </row>
    <row r="16" spans="1:5" ht="15" customHeight="1">
      <c r="A16" s="220">
        <v>13</v>
      </c>
      <c r="B16" s="221" t="s">
        <v>192</v>
      </c>
      <c r="C16" s="222">
        <v>70678</v>
      </c>
      <c r="D16" s="222">
        <v>117453</v>
      </c>
      <c r="E16" s="222">
        <v>188131</v>
      </c>
    </row>
    <row r="17" spans="1:5" ht="15" customHeight="1">
      <c r="A17" s="220">
        <v>14</v>
      </c>
      <c r="B17" s="221" t="s">
        <v>193</v>
      </c>
      <c r="C17" s="222">
        <v>34140</v>
      </c>
      <c r="D17" s="222">
        <v>20358</v>
      </c>
      <c r="E17" s="222">
        <v>54498</v>
      </c>
    </row>
    <row r="18" spans="1:5" ht="15" customHeight="1">
      <c r="A18" s="220">
        <v>15</v>
      </c>
      <c r="B18" s="221" t="s">
        <v>194</v>
      </c>
      <c r="C18" s="222">
        <v>23853</v>
      </c>
      <c r="D18" s="222">
        <v>22764</v>
      </c>
      <c r="E18" s="222">
        <v>46617</v>
      </c>
    </row>
    <row r="19" spans="1:5" ht="15" customHeight="1">
      <c r="A19" s="220">
        <v>16</v>
      </c>
      <c r="B19" s="221" t="s">
        <v>197</v>
      </c>
      <c r="C19" s="222">
        <v>7060</v>
      </c>
      <c r="D19" s="222">
        <v>14403</v>
      </c>
      <c r="E19" s="222">
        <v>21463</v>
      </c>
    </row>
    <row r="20" spans="1:5" ht="15" customHeight="1">
      <c r="A20" s="220">
        <v>17</v>
      </c>
      <c r="B20" s="221" t="s">
        <v>196</v>
      </c>
      <c r="C20" s="222">
        <v>9051</v>
      </c>
      <c r="D20" s="222">
        <v>10998</v>
      </c>
      <c r="E20" s="222">
        <v>20049</v>
      </c>
    </row>
    <row r="21" spans="1:5" ht="15" customHeight="1">
      <c r="A21" s="220">
        <v>18</v>
      </c>
      <c r="B21" s="221" t="s">
        <v>200</v>
      </c>
      <c r="C21" s="222">
        <v>9027</v>
      </c>
      <c r="D21" s="222">
        <v>7806</v>
      </c>
      <c r="E21" s="222">
        <v>16833</v>
      </c>
    </row>
    <row r="22" spans="1:5" ht="15" customHeight="1">
      <c r="A22" s="220">
        <v>19</v>
      </c>
      <c r="B22" s="221" t="s">
        <v>195</v>
      </c>
      <c r="C22" s="222">
        <v>7451</v>
      </c>
      <c r="D22" s="222">
        <v>7166</v>
      </c>
      <c r="E22" s="222">
        <v>14617</v>
      </c>
    </row>
    <row r="23" spans="1:5" ht="15" customHeight="1">
      <c r="A23" s="220">
        <v>20</v>
      </c>
      <c r="B23" s="221" t="s">
        <v>199</v>
      </c>
      <c r="C23" s="222">
        <v>5549</v>
      </c>
      <c r="D23" s="222">
        <v>7678</v>
      </c>
      <c r="E23" s="222">
        <v>13227</v>
      </c>
    </row>
    <row r="24" spans="1:5" ht="15" customHeight="1">
      <c r="A24" s="220">
        <v>21</v>
      </c>
      <c r="B24" s="221" t="s">
        <v>198</v>
      </c>
      <c r="C24" s="222">
        <v>6349</v>
      </c>
      <c r="D24" s="222">
        <v>4193</v>
      </c>
      <c r="E24" s="222">
        <v>10542</v>
      </c>
    </row>
    <row r="25" spans="1:5" ht="15" customHeight="1">
      <c r="A25" s="220">
        <v>22</v>
      </c>
      <c r="B25" s="221" t="s">
        <v>202</v>
      </c>
      <c r="C25" s="222">
        <v>5389</v>
      </c>
      <c r="D25" s="222">
        <v>5007</v>
      </c>
      <c r="E25" s="222">
        <v>10396</v>
      </c>
    </row>
    <row r="26" spans="1:5" ht="15" customHeight="1">
      <c r="A26" s="220">
        <v>23</v>
      </c>
      <c r="B26" s="221" t="s">
        <v>201</v>
      </c>
      <c r="C26" s="222">
        <v>5188</v>
      </c>
      <c r="D26" s="222">
        <v>3189</v>
      </c>
      <c r="E26" s="222">
        <v>8377</v>
      </c>
    </row>
    <row r="27" spans="1:5" ht="15" customHeight="1">
      <c r="A27" s="220">
        <v>24</v>
      </c>
      <c r="B27" s="221" t="s">
        <v>204</v>
      </c>
      <c r="C27" s="222">
        <v>901</v>
      </c>
      <c r="D27" s="222">
        <v>4711</v>
      </c>
      <c r="E27" s="222">
        <v>5612</v>
      </c>
    </row>
    <row r="28" spans="1:5" ht="15" customHeight="1">
      <c r="A28" s="220">
        <v>25</v>
      </c>
      <c r="B28" s="221" t="s">
        <v>203</v>
      </c>
      <c r="C28" s="222">
        <v>1909</v>
      </c>
      <c r="D28" s="222">
        <v>3382</v>
      </c>
      <c r="E28" s="222">
        <v>5291</v>
      </c>
    </row>
    <row r="29" spans="1:5" ht="15" customHeight="1">
      <c r="A29" s="220">
        <v>26</v>
      </c>
      <c r="B29" s="221" t="s">
        <v>207</v>
      </c>
      <c r="C29" s="222">
        <v>3122</v>
      </c>
      <c r="D29" s="222">
        <v>1573</v>
      </c>
      <c r="E29" s="222">
        <v>4695</v>
      </c>
    </row>
    <row r="30" spans="1:5" ht="15" customHeight="1">
      <c r="A30" s="220">
        <v>27</v>
      </c>
      <c r="B30" s="221" t="s">
        <v>206</v>
      </c>
      <c r="C30" s="222">
        <v>2934</v>
      </c>
      <c r="D30" s="222">
        <v>1254</v>
      </c>
      <c r="E30" s="222">
        <v>4188</v>
      </c>
    </row>
    <row r="31" spans="1:5" ht="15" customHeight="1">
      <c r="A31" s="220">
        <v>28</v>
      </c>
      <c r="B31" s="221" t="s">
        <v>210</v>
      </c>
      <c r="C31" s="222">
        <v>1331</v>
      </c>
      <c r="D31" s="222">
        <v>2850</v>
      </c>
      <c r="E31" s="222">
        <v>4181</v>
      </c>
    </row>
    <row r="32" spans="1:5" ht="15" customHeight="1">
      <c r="A32" s="220">
        <v>29</v>
      </c>
      <c r="B32" s="221" t="s">
        <v>211</v>
      </c>
      <c r="C32" s="222">
        <v>1324</v>
      </c>
      <c r="D32" s="222">
        <v>1976</v>
      </c>
      <c r="E32" s="222">
        <v>3300</v>
      </c>
    </row>
    <row r="33" spans="1:5" ht="15" customHeight="1">
      <c r="A33" s="220">
        <v>30</v>
      </c>
      <c r="B33" s="221" t="s">
        <v>205</v>
      </c>
      <c r="C33" s="222">
        <v>1230</v>
      </c>
      <c r="D33" s="222">
        <v>1623</v>
      </c>
      <c r="E33" s="222">
        <v>2853</v>
      </c>
    </row>
    <row r="34" spans="1:5" ht="15" customHeight="1">
      <c r="A34" s="220">
        <v>31</v>
      </c>
      <c r="B34" s="221" t="s">
        <v>208</v>
      </c>
      <c r="C34" s="222">
        <v>1290</v>
      </c>
      <c r="D34" s="222">
        <v>1501</v>
      </c>
      <c r="E34" s="222">
        <v>2791</v>
      </c>
    </row>
    <row r="35" spans="1:5" ht="15" customHeight="1">
      <c r="A35" s="220">
        <v>32</v>
      </c>
      <c r="B35" s="221" t="s">
        <v>209</v>
      </c>
      <c r="C35" s="222">
        <v>1456</v>
      </c>
      <c r="D35" s="222">
        <v>1032</v>
      </c>
      <c r="E35" s="222">
        <v>2488</v>
      </c>
    </row>
    <row r="36" spans="1:5" ht="15" customHeight="1">
      <c r="A36" s="220">
        <v>33</v>
      </c>
      <c r="B36" s="221" t="s">
        <v>214</v>
      </c>
      <c r="C36" s="222">
        <v>695</v>
      </c>
      <c r="D36" s="222">
        <v>1648</v>
      </c>
      <c r="E36" s="222">
        <v>2343</v>
      </c>
    </row>
    <row r="37" spans="1:5" ht="15" customHeight="1">
      <c r="A37" s="220">
        <v>34</v>
      </c>
      <c r="B37" s="221" t="s">
        <v>213</v>
      </c>
      <c r="C37" s="222">
        <v>1388</v>
      </c>
      <c r="D37" s="222">
        <v>586</v>
      </c>
      <c r="E37" s="222">
        <v>1974</v>
      </c>
    </row>
    <row r="38" spans="1:5" ht="15" customHeight="1">
      <c r="A38" s="220">
        <v>35</v>
      </c>
      <c r="B38" s="221" t="s">
        <v>212</v>
      </c>
      <c r="C38" s="222">
        <v>904</v>
      </c>
      <c r="D38" s="222">
        <v>1033</v>
      </c>
      <c r="E38" s="222">
        <v>1937</v>
      </c>
    </row>
    <row r="39" spans="1:5" ht="28.5">
      <c r="A39" s="220">
        <v>36</v>
      </c>
      <c r="B39" s="221" t="s">
        <v>215</v>
      </c>
      <c r="C39" s="222">
        <v>958</v>
      </c>
      <c r="D39" s="222">
        <v>870</v>
      </c>
      <c r="E39" s="222">
        <v>1828</v>
      </c>
    </row>
    <row r="40" spans="1:5" ht="15" customHeight="1">
      <c r="A40" s="220">
        <v>37</v>
      </c>
      <c r="B40" s="221" t="s">
        <v>216</v>
      </c>
      <c r="C40" s="222">
        <v>976</v>
      </c>
      <c r="D40" s="222">
        <v>644</v>
      </c>
      <c r="E40" s="222">
        <v>1620</v>
      </c>
    </row>
    <row r="41" spans="1:5" ht="15" customHeight="1">
      <c r="A41" s="220">
        <v>38</v>
      </c>
      <c r="B41" s="221" t="s">
        <v>218</v>
      </c>
      <c r="C41" s="222">
        <v>588</v>
      </c>
      <c r="D41" s="222">
        <v>793</v>
      </c>
      <c r="E41" s="222">
        <v>1381</v>
      </c>
    </row>
    <row r="42" spans="1:5" ht="28.5">
      <c r="A42" s="220">
        <v>39</v>
      </c>
      <c r="B42" s="221" t="s">
        <v>217</v>
      </c>
      <c r="C42" s="222">
        <v>687</v>
      </c>
      <c r="D42" s="222">
        <v>421</v>
      </c>
      <c r="E42" s="222">
        <v>1108</v>
      </c>
    </row>
    <row r="43" spans="1:5" ht="15" customHeight="1">
      <c r="A43" s="220">
        <v>40</v>
      </c>
      <c r="B43" s="221" t="s">
        <v>221</v>
      </c>
      <c r="C43" s="222">
        <v>623</v>
      </c>
      <c r="D43" s="222">
        <v>361</v>
      </c>
      <c r="E43" s="222">
        <v>984</v>
      </c>
    </row>
    <row r="44" spans="1:5" ht="15" customHeight="1">
      <c r="A44" s="220">
        <v>41</v>
      </c>
      <c r="B44" s="221" t="s">
        <v>222</v>
      </c>
      <c r="C44" s="222">
        <v>429</v>
      </c>
      <c r="D44" s="222">
        <v>531</v>
      </c>
      <c r="E44" s="222">
        <v>960</v>
      </c>
    </row>
    <row r="45" spans="1:5" ht="15" customHeight="1">
      <c r="A45" s="220">
        <v>42</v>
      </c>
      <c r="B45" s="221" t="s">
        <v>225</v>
      </c>
      <c r="C45" s="222">
        <v>459</v>
      </c>
      <c r="D45" s="222">
        <v>480</v>
      </c>
      <c r="E45" s="222">
        <v>939</v>
      </c>
    </row>
    <row r="46" spans="1:5" ht="15" customHeight="1">
      <c r="A46" s="220">
        <v>43</v>
      </c>
      <c r="B46" s="221" t="s">
        <v>239</v>
      </c>
      <c r="C46" s="222">
        <v>372</v>
      </c>
      <c r="D46" s="222">
        <v>456</v>
      </c>
      <c r="E46" s="222">
        <v>828</v>
      </c>
    </row>
    <row r="47" spans="1:5" ht="15" customHeight="1">
      <c r="A47" s="220">
        <v>44</v>
      </c>
      <c r="B47" s="221" t="s">
        <v>224</v>
      </c>
      <c r="C47" s="222">
        <v>350</v>
      </c>
      <c r="D47" s="222">
        <v>442</v>
      </c>
      <c r="E47" s="222">
        <v>792</v>
      </c>
    </row>
    <row r="48" spans="1:5" ht="15" customHeight="1">
      <c r="A48" s="220">
        <v>45</v>
      </c>
      <c r="B48" s="221" t="s">
        <v>219</v>
      </c>
      <c r="C48" s="222">
        <v>285</v>
      </c>
      <c r="D48" s="222">
        <v>492</v>
      </c>
      <c r="E48" s="222">
        <v>777</v>
      </c>
    </row>
    <row r="49" spans="1:5" ht="15" customHeight="1">
      <c r="A49" s="220">
        <v>46</v>
      </c>
      <c r="B49" s="221" t="s">
        <v>220</v>
      </c>
      <c r="C49" s="222">
        <v>319</v>
      </c>
      <c r="D49" s="222">
        <v>398</v>
      </c>
      <c r="E49" s="222">
        <v>717</v>
      </c>
    </row>
    <row r="50" spans="1:5" ht="15" customHeight="1">
      <c r="A50" s="220">
        <v>47</v>
      </c>
      <c r="B50" s="221" t="s">
        <v>226</v>
      </c>
      <c r="C50" s="222">
        <v>247</v>
      </c>
      <c r="D50" s="222">
        <v>378</v>
      </c>
      <c r="E50" s="222">
        <v>625</v>
      </c>
    </row>
    <row r="51" spans="1:5" ht="15" customHeight="1">
      <c r="A51" s="220">
        <v>48</v>
      </c>
      <c r="B51" s="221" t="s">
        <v>223</v>
      </c>
      <c r="C51" s="222">
        <v>332</v>
      </c>
      <c r="D51" s="222">
        <v>266</v>
      </c>
      <c r="E51" s="222">
        <v>598</v>
      </c>
    </row>
    <row r="52" spans="1:5" ht="15" customHeight="1">
      <c r="A52" s="220">
        <v>49</v>
      </c>
      <c r="B52" s="221" t="s">
        <v>230</v>
      </c>
      <c r="C52" s="222">
        <v>269</v>
      </c>
      <c r="D52" s="222">
        <v>310</v>
      </c>
      <c r="E52" s="222">
        <v>579</v>
      </c>
    </row>
    <row r="53" spans="1:5" ht="15" customHeight="1">
      <c r="A53" s="220">
        <v>50</v>
      </c>
      <c r="B53" s="221" t="s">
        <v>229</v>
      </c>
      <c r="C53" s="222">
        <v>210</v>
      </c>
      <c r="D53" s="222">
        <v>177</v>
      </c>
      <c r="E53" s="222">
        <v>387</v>
      </c>
    </row>
    <row r="54" spans="1:5" ht="15" customHeight="1">
      <c r="A54" s="220">
        <v>51</v>
      </c>
      <c r="B54" s="221" t="s">
        <v>234</v>
      </c>
      <c r="C54" s="222">
        <v>180</v>
      </c>
      <c r="D54" s="222">
        <v>162</v>
      </c>
      <c r="E54" s="222">
        <v>342</v>
      </c>
    </row>
    <row r="55" spans="1:5" ht="15" customHeight="1">
      <c r="A55" s="220">
        <v>52</v>
      </c>
      <c r="B55" s="221" t="s">
        <v>233</v>
      </c>
      <c r="C55" s="222">
        <v>259</v>
      </c>
      <c r="D55" s="222">
        <v>79</v>
      </c>
      <c r="E55" s="222">
        <v>338</v>
      </c>
    </row>
    <row r="56" spans="1:5" ht="15" customHeight="1">
      <c r="A56" s="220">
        <v>53</v>
      </c>
      <c r="B56" s="221" t="s">
        <v>237</v>
      </c>
      <c r="C56" s="222">
        <v>168</v>
      </c>
      <c r="D56" s="222">
        <v>145</v>
      </c>
      <c r="E56" s="222">
        <v>313</v>
      </c>
    </row>
    <row r="57" spans="1:5" ht="15" customHeight="1">
      <c r="A57" s="220">
        <v>54</v>
      </c>
      <c r="B57" s="221" t="s">
        <v>235</v>
      </c>
      <c r="C57" s="222">
        <v>178</v>
      </c>
      <c r="D57" s="222">
        <v>127</v>
      </c>
      <c r="E57" s="222">
        <v>305</v>
      </c>
    </row>
    <row r="58" spans="1:5" ht="15" customHeight="1">
      <c r="A58" s="220">
        <v>55</v>
      </c>
      <c r="B58" s="221" t="s">
        <v>228</v>
      </c>
      <c r="C58" s="222">
        <v>73</v>
      </c>
      <c r="D58" s="222">
        <v>222</v>
      </c>
      <c r="E58" s="222">
        <v>295</v>
      </c>
    </row>
    <row r="59" spans="1:5" ht="15" customHeight="1">
      <c r="A59" s="220">
        <v>56</v>
      </c>
      <c r="B59" s="221" t="s">
        <v>231</v>
      </c>
      <c r="C59" s="222">
        <v>167</v>
      </c>
      <c r="D59" s="222">
        <v>66</v>
      </c>
      <c r="E59" s="222">
        <v>233</v>
      </c>
    </row>
    <row r="60" spans="1:5" ht="15" customHeight="1">
      <c r="A60" s="220">
        <v>57</v>
      </c>
      <c r="B60" s="221" t="s">
        <v>227</v>
      </c>
      <c r="C60" s="222">
        <v>83</v>
      </c>
      <c r="D60" s="222">
        <v>133</v>
      </c>
      <c r="E60" s="222">
        <v>216</v>
      </c>
    </row>
    <row r="61" spans="1:5" ht="28.5">
      <c r="A61" s="220">
        <v>58</v>
      </c>
      <c r="B61" s="221" t="s">
        <v>243</v>
      </c>
      <c r="C61" s="222">
        <v>76</v>
      </c>
      <c r="D61" s="222">
        <v>124</v>
      </c>
      <c r="E61" s="222">
        <v>200</v>
      </c>
    </row>
    <row r="62" spans="1:5" ht="15" customHeight="1">
      <c r="A62" s="220">
        <v>59</v>
      </c>
      <c r="B62" s="221" t="s">
        <v>236</v>
      </c>
      <c r="C62" s="222">
        <v>27</v>
      </c>
      <c r="D62" s="222">
        <v>133</v>
      </c>
      <c r="E62" s="222">
        <v>160</v>
      </c>
    </row>
    <row r="63" spans="1:5" ht="15" customHeight="1">
      <c r="A63" s="220">
        <v>60</v>
      </c>
      <c r="B63" s="221" t="s">
        <v>232</v>
      </c>
      <c r="C63" s="222">
        <v>81</v>
      </c>
      <c r="D63" s="222">
        <v>77</v>
      </c>
      <c r="E63" s="222">
        <v>158</v>
      </c>
    </row>
    <row r="64" spans="1:5" ht="28.5">
      <c r="A64" s="220">
        <v>61</v>
      </c>
      <c r="B64" s="221" t="s">
        <v>247</v>
      </c>
      <c r="C64" s="222">
        <v>99</v>
      </c>
      <c r="D64" s="222">
        <v>51</v>
      </c>
      <c r="E64" s="222">
        <v>150</v>
      </c>
    </row>
    <row r="65" spans="1:5" ht="15" customHeight="1">
      <c r="A65" s="220">
        <v>62</v>
      </c>
      <c r="B65" s="221" t="s">
        <v>246</v>
      </c>
      <c r="C65" s="222">
        <v>61</v>
      </c>
      <c r="D65" s="222">
        <v>79</v>
      </c>
      <c r="E65" s="222">
        <v>140</v>
      </c>
    </row>
    <row r="66" spans="1:5" ht="15" customHeight="1">
      <c r="A66" s="220">
        <v>63</v>
      </c>
      <c r="B66" s="221" t="s">
        <v>250</v>
      </c>
      <c r="C66" s="222">
        <v>42</v>
      </c>
      <c r="D66" s="222">
        <v>97</v>
      </c>
      <c r="E66" s="222">
        <v>139</v>
      </c>
    </row>
    <row r="67" spans="1:5" ht="15" customHeight="1">
      <c r="A67" s="220">
        <v>64</v>
      </c>
      <c r="B67" s="221" t="s">
        <v>241</v>
      </c>
      <c r="C67" s="222">
        <v>36</v>
      </c>
      <c r="D67" s="222">
        <v>99</v>
      </c>
      <c r="E67" s="222">
        <v>135</v>
      </c>
    </row>
    <row r="68" spans="1:5" ht="28.5">
      <c r="A68" s="220">
        <v>65</v>
      </c>
      <c r="B68" s="221" t="s">
        <v>248</v>
      </c>
      <c r="C68" s="222">
        <v>35</v>
      </c>
      <c r="D68" s="222">
        <v>93</v>
      </c>
      <c r="E68" s="222">
        <v>128</v>
      </c>
    </row>
    <row r="69" spans="1:5" ht="15" customHeight="1">
      <c r="A69" s="220">
        <v>66</v>
      </c>
      <c r="B69" s="221" t="s">
        <v>249</v>
      </c>
      <c r="C69" s="222">
        <v>31</v>
      </c>
      <c r="D69" s="222">
        <v>92</v>
      </c>
      <c r="E69" s="222">
        <v>123</v>
      </c>
    </row>
    <row r="70" spans="1:5" ht="15" customHeight="1">
      <c r="A70" s="220">
        <v>67</v>
      </c>
      <c r="B70" s="221" t="s">
        <v>251</v>
      </c>
      <c r="C70" s="222">
        <v>20</v>
      </c>
      <c r="D70" s="222">
        <v>74</v>
      </c>
      <c r="E70" s="222">
        <v>94</v>
      </c>
    </row>
    <row r="71" spans="1:5" ht="15" customHeight="1">
      <c r="A71" s="220">
        <v>68</v>
      </c>
      <c r="B71" s="221" t="s">
        <v>240</v>
      </c>
      <c r="C71" s="222">
        <v>12</v>
      </c>
      <c r="D71" s="222">
        <v>80</v>
      </c>
      <c r="E71" s="222">
        <v>92</v>
      </c>
    </row>
    <row r="72" spans="1:5" ht="15" customHeight="1">
      <c r="A72" s="220">
        <v>69</v>
      </c>
      <c r="B72" s="221" t="s">
        <v>245</v>
      </c>
      <c r="C72" s="222">
        <v>13</v>
      </c>
      <c r="D72" s="222">
        <v>75</v>
      </c>
      <c r="E72" s="222">
        <v>88</v>
      </c>
    </row>
    <row r="73" spans="1:5" ht="28.5">
      <c r="A73" s="220">
        <v>70</v>
      </c>
      <c r="B73" s="221" t="s">
        <v>242</v>
      </c>
      <c r="C73" s="222">
        <v>31</v>
      </c>
      <c r="D73" s="222">
        <v>42</v>
      </c>
      <c r="E73" s="222">
        <v>73</v>
      </c>
    </row>
    <row r="74" spans="1:5" ht="15" customHeight="1">
      <c r="A74" s="220">
        <v>71</v>
      </c>
      <c r="B74" s="221" t="s">
        <v>253</v>
      </c>
      <c r="C74" s="222">
        <v>40</v>
      </c>
      <c r="D74" s="222">
        <v>28</v>
      </c>
      <c r="E74" s="222">
        <v>68</v>
      </c>
    </row>
    <row r="75" spans="1:5" ht="15" customHeight="1">
      <c r="A75" s="220">
        <v>72</v>
      </c>
      <c r="B75" s="221" t="s">
        <v>244</v>
      </c>
      <c r="C75" s="222">
        <v>34</v>
      </c>
      <c r="D75" s="222">
        <v>23</v>
      </c>
      <c r="E75" s="222">
        <v>57</v>
      </c>
    </row>
    <row r="76" spans="1:5" ht="15" customHeight="1">
      <c r="A76" s="220">
        <v>73</v>
      </c>
      <c r="B76" s="221" t="s">
        <v>257</v>
      </c>
      <c r="C76" s="222">
        <v>14</v>
      </c>
      <c r="D76" s="222">
        <v>41</v>
      </c>
      <c r="E76" s="222">
        <v>55</v>
      </c>
    </row>
    <row r="77" spans="1:5" ht="15" customHeight="1">
      <c r="A77" s="220">
        <v>74</v>
      </c>
      <c r="B77" s="221" t="s">
        <v>238</v>
      </c>
      <c r="C77" s="222">
        <v>46</v>
      </c>
      <c r="D77" s="222">
        <v>6</v>
      </c>
      <c r="E77" s="222">
        <v>52</v>
      </c>
    </row>
    <row r="78" spans="1:5" ht="29.45" customHeight="1">
      <c r="A78" s="220">
        <v>75</v>
      </c>
      <c r="B78" s="221" t="s">
        <v>254</v>
      </c>
      <c r="C78" s="222">
        <v>6</v>
      </c>
      <c r="D78" s="222">
        <v>42</v>
      </c>
      <c r="E78" s="222">
        <v>48</v>
      </c>
    </row>
    <row r="79" spans="1:5" ht="29.45" customHeight="1">
      <c r="A79" s="220">
        <v>76</v>
      </c>
      <c r="B79" s="221" t="s">
        <v>252</v>
      </c>
      <c r="C79" s="222">
        <v>20</v>
      </c>
      <c r="D79" s="222">
        <v>24</v>
      </c>
      <c r="E79" s="222">
        <v>44</v>
      </c>
    </row>
    <row r="80" spans="1:5" ht="15" customHeight="1">
      <c r="A80" s="220">
        <v>77</v>
      </c>
      <c r="B80" s="221" t="s">
        <v>256</v>
      </c>
      <c r="C80" s="222">
        <v>20</v>
      </c>
      <c r="D80" s="222">
        <v>10</v>
      </c>
      <c r="E80" s="222">
        <v>30</v>
      </c>
    </row>
    <row r="81" spans="1:5" ht="28.5">
      <c r="A81" s="220">
        <v>78</v>
      </c>
      <c r="B81" s="221" t="s">
        <v>259</v>
      </c>
      <c r="C81" s="222">
        <v>9</v>
      </c>
      <c r="D81" s="222">
        <v>20</v>
      </c>
      <c r="E81" s="222">
        <v>29</v>
      </c>
    </row>
    <row r="82" spans="1:5" ht="28.5">
      <c r="A82" s="220">
        <v>79</v>
      </c>
      <c r="B82" s="221" t="s">
        <v>764</v>
      </c>
      <c r="C82" s="222">
        <v>17</v>
      </c>
      <c r="D82" s="222">
        <v>3</v>
      </c>
      <c r="E82" s="222">
        <v>20</v>
      </c>
    </row>
    <row r="83" spans="1:5" ht="15" customHeight="1">
      <c r="A83" s="220">
        <v>80</v>
      </c>
      <c r="B83" s="221" t="s">
        <v>255</v>
      </c>
      <c r="C83" s="222">
        <v>9</v>
      </c>
      <c r="D83" s="222">
        <v>4</v>
      </c>
      <c r="E83" s="222">
        <v>13</v>
      </c>
    </row>
    <row r="84" spans="1:5" ht="15" customHeight="1">
      <c r="A84" s="220">
        <v>81</v>
      </c>
      <c r="B84" s="221" t="s">
        <v>763</v>
      </c>
      <c r="C84" s="222">
        <v>6</v>
      </c>
      <c r="D84" s="222">
        <v>7</v>
      </c>
      <c r="E84" s="222">
        <v>13</v>
      </c>
    </row>
    <row r="85" spans="1:5" ht="28.5">
      <c r="A85" s="220">
        <v>82</v>
      </c>
      <c r="B85" s="221" t="s">
        <v>765</v>
      </c>
      <c r="C85" s="222">
        <v>10</v>
      </c>
      <c r="D85" s="222">
        <v>2</v>
      </c>
      <c r="E85" s="222">
        <v>12</v>
      </c>
    </row>
    <row r="86" spans="1:5" ht="28.5">
      <c r="A86" s="220">
        <v>83</v>
      </c>
      <c r="B86" s="221" t="s">
        <v>260</v>
      </c>
      <c r="C86" s="222">
        <v>1</v>
      </c>
      <c r="D86" s="222">
        <v>9</v>
      </c>
      <c r="E86" s="222">
        <v>10</v>
      </c>
    </row>
    <row r="87" spans="1:5" ht="28.5">
      <c r="A87" s="220">
        <v>84</v>
      </c>
      <c r="B87" s="221" t="s">
        <v>258</v>
      </c>
      <c r="C87" s="222">
        <v>1</v>
      </c>
      <c r="D87" s="222">
        <v>0</v>
      </c>
      <c r="E87" s="222">
        <v>1</v>
      </c>
    </row>
    <row r="88" spans="1:5" ht="15" customHeight="1">
      <c r="A88" s="220">
        <v>85</v>
      </c>
      <c r="B88" s="221" t="s">
        <v>261</v>
      </c>
      <c r="C88" s="222">
        <v>869369</v>
      </c>
      <c r="D88" s="222">
        <v>1158885</v>
      </c>
      <c r="E88" s="222">
        <v>2028254</v>
      </c>
    </row>
    <row r="89" spans="1:5" ht="15" customHeight="1">
      <c r="A89" s="220">
        <v>86</v>
      </c>
      <c r="B89" s="221" t="s">
        <v>262</v>
      </c>
      <c r="C89" s="222">
        <v>468206</v>
      </c>
      <c r="D89" s="222">
        <v>597721</v>
      </c>
      <c r="E89" s="222">
        <v>1065927</v>
      </c>
    </row>
    <row r="90" spans="1:5" ht="15" customHeight="1">
      <c r="A90" s="220">
        <v>87</v>
      </c>
      <c r="B90" s="221" t="s">
        <v>263</v>
      </c>
      <c r="C90" s="222">
        <v>430068</v>
      </c>
      <c r="D90" s="222">
        <v>503930</v>
      </c>
      <c r="E90" s="222">
        <v>933998</v>
      </c>
    </row>
    <row r="91" spans="1:5" ht="15" customHeight="1">
      <c r="A91" s="220">
        <v>88</v>
      </c>
      <c r="B91" s="221" t="s">
        <v>264</v>
      </c>
      <c r="C91" s="222">
        <v>187961</v>
      </c>
      <c r="D91" s="222">
        <v>412719</v>
      </c>
      <c r="E91" s="222">
        <v>600680</v>
      </c>
    </row>
    <row r="92" spans="1:5" ht="15" customHeight="1">
      <c r="A92" s="220">
        <v>89</v>
      </c>
      <c r="B92" s="221" t="s">
        <v>266</v>
      </c>
      <c r="C92" s="222">
        <v>308880</v>
      </c>
      <c r="D92" s="222">
        <v>132976</v>
      </c>
      <c r="E92" s="222">
        <v>441856</v>
      </c>
    </row>
    <row r="93" spans="1:5" ht="15" customHeight="1">
      <c r="A93" s="220">
        <v>90</v>
      </c>
      <c r="B93" s="221" t="s">
        <v>265</v>
      </c>
      <c r="C93" s="222">
        <v>246126</v>
      </c>
      <c r="D93" s="222">
        <v>118489</v>
      </c>
      <c r="E93" s="222">
        <v>364615</v>
      </c>
    </row>
    <row r="94" spans="1:5" ht="15" customHeight="1">
      <c r="A94" s="220">
        <v>91</v>
      </c>
      <c r="B94" s="221" t="s">
        <v>267</v>
      </c>
      <c r="C94" s="222">
        <v>149816</v>
      </c>
      <c r="D94" s="222">
        <v>200793</v>
      </c>
      <c r="E94" s="222">
        <v>350609</v>
      </c>
    </row>
    <row r="95" spans="1:5" ht="15" customHeight="1">
      <c r="A95" s="220">
        <v>92</v>
      </c>
      <c r="B95" s="221" t="s">
        <v>268</v>
      </c>
      <c r="C95" s="222">
        <v>72617</v>
      </c>
      <c r="D95" s="222">
        <v>64755</v>
      </c>
      <c r="E95" s="222">
        <v>137372</v>
      </c>
    </row>
    <row r="96" spans="1:5" ht="15" customHeight="1">
      <c r="A96" s="220">
        <v>93</v>
      </c>
      <c r="B96" s="221" t="s">
        <v>270</v>
      </c>
      <c r="C96" s="222">
        <v>66607</v>
      </c>
      <c r="D96" s="222">
        <v>53139</v>
      </c>
      <c r="E96" s="222">
        <v>119746</v>
      </c>
    </row>
    <row r="97" spans="1:5" ht="15" customHeight="1">
      <c r="A97" s="220">
        <v>94</v>
      </c>
      <c r="B97" s="221" t="s">
        <v>269</v>
      </c>
      <c r="C97" s="222">
        <v>61854</v>
      </c>
      <c r="D97" s="222">
        <v>53924</v>
      </c>
      <c r="E97" s="222">
        <v>115778</v>
      </c>
    </row>
    <row r="98" spans="1:5" ht="15" customHeight="1">
      <c r="A98" s="220">
        <v>95</v>
      </c>
      <c r="B98" s="221" t="s">
        <v>271</v>
      </c>
      <c r="C98" s="222">
        <v>52389</v>
      </c>
      <c r="D98" s="222">
        <v>25999</v>
      </c>
      <c r="E98" s="222">
        <v>78388</v>
      </c>
    </row>
    <row r="99" spans="1:5" ht="15" customHeight="1">
      <c r="A99" s="220">
        <v>96</v>
      </c>
      <c r="B99" s="221" t="s">
        <v>272</v>
      </c>
      <c r="C99" s="222">
        <v>10339</v>
      </c>
      <c r="D99" s="222">
        <v>52450</v>
      </c>
      <c r="E99" s="222">
        <v>62789</v>
      </c>
    </row>
    <row r="100" spans="1:5" ht="18" customHeight="1">
      <c r="A100" s="220">
        <v>97</v>
      </c>
      <c r="B100" s="221" t="s">
        <v>273</v>
      </c>
      <c r="C100" s="222">
        <v>22564</v>
      </c>
      <c r="D100" s="222">
        <v>25021</v>
      </c>
      <c r="E100" s="222">
        <v>47585</v>
      </c>
    </row>
    <row r="101" spans="1:5" ht="15" customHeight="1">
      <c r="A101" s="220">
        <v>98</v>
      </c>
      <c r="B101" s="221" t="s">
        <v>274</v>
      </c>
      <c r="C101" s="222">
        <v>23500</v>
      </c>
      <c r="D101" s="222">
        <v>21575</v>
      </c>
      <c r="E101" s="222">
        <v>45075</v>
      </c>
    </row>
    <row r="102" spans="1:5" ht="15" customHeight="1">
      <c r="A102" s="220">
        <v>99</v>
      </c>
      <c r="B102" s="221" t="s">
        <v>276</v>
      </c>
      <c r="C102" s="222">
        <v>19816</v>
      </c>
      <c r="D102" s="222">
        <v>7479</v>
      </c>
      <c r="E102" s="222">
        <v>27295</v>
      </c>
    </row>
    <row r="103" spans="1:5" ht="15" customHeight="1">
      <c r="A103" s="220">
        <v>100</v>
      </c>
      <c r="B103" s="221" t="s">
        <v>275</v>
      </c>
      <c r="C103" s="222">
        <v>12536</v>
      </c>
      <c r="D103" s="222">
        <v>10372</v>
      </c>
      <c r="E103" s="222">
        <v>22908</v>
      </c>
    </row>
    <row r="104" spans="1:5" ht="15" customHeight="1">
      <c r="A104" s="220">
        <v>101</v>
      </c>
      <c r="B104" s="221" t="s">
        <v>277</v>
      </c>
      <c r="C104" s="222">
        <v>5192</v>
      </c>
      <c r="D104" s="222">
        <v>15553</v>
      </c>
      <c r="E104" s="222">
        <v>20745</v>
      </c>
    </row>
    <row r="105" spans="1:5" ht="15" customHeight="1">
      <c r="A105" s="220">
        <v>102</v>
      </c>
      <c r="B105" s="221" t="s">
        <v>278</v>
      </c>
      <c r="C105" s="222">
        <v>7696</v>
      </c>
      <c r="D105" s="222">
        <v>8747</v>
      </c>
      <c r="E105" s="222">
        <v>16443</v>
      </c>
    </row>
    <row r="106" spans="1:5" ht="15" customHeight="1">
      <c r="A106" s="220">
        <v>103</v>
      </c>
      <c r="B106" s="221" t="s">
        <v>279</v>
      </c>
      <c r="C106" s="222">
        <v>10548</v>
      </c>
      <c r="D106" s="222">
        <v>5169</v>
      </c>
      <c r="E106" s="222">
        <v>15717</v>
      </c>
    </row>
    <row r="107" spans="1:5" ht="15" customHeight="1">
      <c r="A107" s="220">
        <v>104</v>
      </c>
      <c r="B107" s="221" t="s">
        <v>286</v>
      </c>
      <c r="C107" s="222">
        <v>10928</v>
      </c>
      <c r="D107" s="222">
        <v>2975</v>
      </c>
      <c r="E107" s="222">
        <v>13903</v>
      </c>
    </row>
    <row r="108" spans="1:5" ht="15" customHeight="1">
      <c r="A108" s="220">
        <v>105</v>
      </c>
      <c r="B108" s="221" t="s">
        <v>281</v>
      </c>
      <c r="C108" s="222">
        <v>5794</v>
      </c>
      <c r="D108" s="222">
        <v>7443</v>
      </c>
      <c r="E108" s="222">
        <v>13237</v>
      </c>
    </row>
    <row r="109" spans="1:5" ht="15" customHeight="1">
      <c r="A109" s="220">
        <v>106</v>
      </c>
      <c r="B109" s="221" t="s">
        <v>282</v>
      </c>
      <c r="C109" s="222">
        <v>1680</v>
      </c>
      <c r="D109" s="222">
        <v>9955</v>
      </c>
      <c r="E109" s="222">
        <v>11635</v>
      </c>
    </row>
    <row r="110" spans="1:5" ht="15" customHeight="1">
      <c r="A110" s="220">
        <v>107</v>
      </c>
      <c r="B110" s="221" t="s">
        <v>284</v>
      </c>
      <c r="C110" s="222">
        <v>5463</v>
      </c>
      <c r="D110" s="222">
        <v>4999</v>
      </c>
      <c r="E110" s="222">
        <v>10462</v>
      </c>
    </row>
    <row r="111" spans="1:5" ht="15" customHeight="1">
      <c r="A111" s="220">
        <v>108</v>
      </c>
      <c r="B111" s="221" t="s">
        <v>285</v>
      </c>
      <c r="C111" s="222">
        <v>2507</v>
      </c>
      <c r="D111" s="222">
        <v>7556</v>
      </c>
      <c r="E111" s="222">
        <v>10063</v>
      </c>
    </row>
    <row r="112" spans="1:5" ht="28.5">
      <c r="A112" s="220">
        <v>109</v>
      </c>
      <c r="B112" s="221" t="s">
        <v>283</v>
      </c>
      <c r="C112" s="222">
        <v>2838</v>
      </c>
      <c r="D112" s="222">
        <v>6027</v>
      </c>
      <c r="E112" s="222">
        <v>8865</v>
      </c>
    </row>
    <row r="113" spans="1:5" ht="15" customHeight="1">
      <c r="A113" s="220">
        <v>110</v>
      </c>
      <c r="B113" s="221" t="s">
        <v>299</v>
      </c>
      <c r="C113" s="222">
        <v>3233</v>
      </c>
      <c r="D113" s="222">
        <v>3662</v>
      </c>
      <c r="E113" s="222">
        <v>6895</v>
      </c>
    </row>
    <row r="114" spans="1:5" ht="15" customHeight="1">
      <c r="A114" s="220">
        <v>111</v>
      </c>
      <c r="B114" s="221" t="s">
        <v>288</v>
      </c>
      <c r="C114" s="222">
        <v>2270</v>
      </c>
      <c r="D114" s="222">
        <v>4191</v>
      </c>
      <c r="E114" s="222">
        <v>6461</v>
      </c>
    </row>
    <row r="115" spans="1:5" ht="15" customHeight="1">
      <c r="A115" s="220">
        <v>112</v>
      </c>
      <c r="B115" s="221" t="s">
        <v>280</v>
      </c>
      <c r="C115" s="222">
        <v>3447</v>
      </c>
      <c r="D115" s="222">
        <v>2881</v>
      </c>
      <c r="E115" s="222">
        <v>6328</v>
      </c>
    </row>
    <row r="116" spans="1:5" ht="15" customHeight="1">
      <c r="A116" s="220">
        <v>113</v>
      </c>
      <c r="B116" s="221" t="s">
        <v>287</v>
      </c>
      <c r="C116" s="222">
        <v>2785</v>
      </c>
      <c r="D116" s="222">
        <v>2697</v>
      </c>
      <c r="E116" s="222">
        <v>5482</v>
      </c>
    </row>
    <row r="117" spans="1:5" ht="15" customHeight="1">
      <c r="A117" s="220">
        <v>114</v>
      </c>
      <c r="B117" s="221" t="s">
        <v>293</v>
      </c>
      <c r="C117" s="222">
        <v>4509</v>
      </c>
      <c r="D117" s="222">
        <v>825</v>
      </c>
      <c r="E117" s="222">
        <v>5334</v>
      </c>
    </row>
    <row r="118" spans="1:5" ht="15" customHeight="1">
      <c r="A118" s="220">
        <v>115</v>
      </c>
      <c r="B118" s="221" t="s">
        <v>289</v>
      </c>
      <c r="C118" s="222">
        <v>3073</v>
      </c>
      <c r="D118" s="222">
        <v>2154</v>
      </c>
      <c r="E118" s="222">
        <v>5227</v>
      </c>
    </row>
    <row r="119" spans="1:5" ht="15" customHeight="1">
      <c r="A119" s="220">
        <v>116</v>
      </c>
      <c r="B119" s="221" t="s">
        <v>292</v>
      </c>
      <c r="C119" s="222">
        <v>3250</v>
      </c>
      <c r="D119" s="222">
        <v>1138</v>
      </c>
      <c r="E119" s="222">
        <v>4388</v>
      </c>
    </row>
    <row r="120" spans="1:5" ht="15" customHeight="1">
      <c r="A120" s="220">
        <v>117</v>
      </c>
      <c r="B120" s="221" t="s">
        <v>295</v>
      </c>
      <c r="C120" s="222">
        <v>1188</v>
      </c>
      <c r="D120" s="222">
        <v>3162</v>
      </c>
      <c r="E120" s="222">
        <v>4350</v>
      </c>
    </row>
    <row r="121" spans="1:5" ht="28.5">
      <c r="A121" s="220">
        <v>118</v>
      </c>
      <c r="B121" s="221" t="s">
        <v>294</v>
      </c>
      <c r="C121" s="222">
        <v>2235</v>
      </c>
      <c r="D121" s="222">
        <v>1956</v>
      </c>
      <c r="E121" s="222">
        <v>4191</v>
      </c>
    </row>
    <row r="122" spans="1:5" ht="15" customHeight="1">
      <c r="A122" s="220">
        <v>119</v>
      </c>
      <c r="B122" s="221" t="s">
        <v>296</v>
      </c>
      <c r="C122" s="222">
        <v>1123</v>
      </c>
      <c r="D122" s="222">
        <v>2926</v>
      </c>
      <c r="E122" s="222">
        <v>4049</v>
      </c>
    </row>
    <row r="123" spans="1:5" ht="15" customHeight="1">
      <c r="A123" s="220">
        <v>120</v>
      </c>
      <c r="B123" s="221" t="s">
        <v>298</v>
      </c>
      <c r="C123" s="222">
        <v>1815</v>
      </c>
      <c r="D123" s="222">
        <v>1999</v>
      </c>
      <c r="E123" s="222">
        <v>3814</v>
      </c>
    </row>
    <row r="124" spans="1:5" ht="28.5">
      <c r="A124" s="220">
        <v>121</v>
      </c>
      <c r="B124" s="221" t="s">
        <v>297</v>
      </c>
      <c r="C124" s="222">
        <v>3159</v>
      </c>
      <c r="D124" s="222">
        <v>503</v>
      </c>
      <c r="E124" s="222">
        <v>3662</v>
      </c>
    </row>
    <row r="125" spans="1:5" ht="15" customHeight="1">
      <c r="A125" s="220">
        <v>122</v>
      </c>
      <c r="B125" s="221" t="s">
        <v>300</v>
      </c>
      <c r="C125" s="222">
        <v>1048</v>
      </c>
      <c r="D125" s="222">
        <v>1957</v>
      </c>
      <c r="E125" s="222">
        <v>3005</v>
      </c>
    </row>
    <row r="126" spans="1:5" ht="15" customHeight="1">
      <c r="A126" s="220">
        <v>123</v>
      </c>
      <c r="B126" s="221" t="s">
        <v>302</v>
      </c>
      <c r="C126" s="222">
        <v>1363</v>
      </c>
      <c r="D126" s="222">
        <v>1524</v>
      </c>
      <c r="E126" s="222">
        <v>2887</v>
      </c>
    </row>
    <row r="127" spans="1:5" ht="28.5">
      <c r="A127" s="220">
        <v>124</v>
      </c>
      <c r="B127" s="221" t="s">
        <v>301</v>
      </c>
      <c r="C127" s="222">
        <v>1633</v>
      </c>
      <c r="D127" s="222">
        <v>1064</v>
      </c>
      <c r="E127" s="222">
        <v>2697</v>
      </c>
    </row>
    <row r="128" spans="1:5" ht="15" customHeight="1">
      <c r="A128" s="220">
        <v>125</v>
      </c>
      <c r="B128" s="221" t="s">
        <v>303</v>
      </c>
      <c r="C128" s="222">
        <v>1064</v>
      </c>
      <c r="D128" s="222">
        <v>1444</v>
      </c>
      <c r="E128" s="222">
        <v>2508</v>
      </c>
    </row>
    <row r="129" spans="1:5" ht="15" customHeight="1">
      <c r="A129" s="220">
        <v>126</v>
      </c>
      <c r="B129" s="221" t="s">
        <v>291</v>
      </c>
      <c r="C129" s="222">
        <v>1045</v>
      </c>
      <c r="D129" s="222">
        <v>1304</v>
      </c>
      <c r="E129" s="222">
        <v>2349</v>
      </c>
    </row>
    <row r="130" spans="1:5" ht="15" customHeight="1">
      <c r="A130" s="220">
        <v>127</v>
      </c>
      <c r="B130" s="221" t="s">
        <v>305</v>
      </c>
      <c r="C130" s="222">
        <v>505</v>
      </c>
      <c r="D130" s="222">
        <v>622</v>
      </c>
      <c r="E130" s="222">
        <v>1127</v>
      </c>
    </row>
    <row r="131" spans="1:5" ht="15" customHeight="1">
      <c r="A131" s="220">
        <v>128</v>
      </c>
      <c r="B131" s="221" t="s">
        <v>304</v>
      </c>
      <c r="C131" s="222">
        <v>333</v>
      </c>
      <c r="D131" s="222">
        <v>652</v>
      </c>
      <c r="E131" s="222">
        <v>985</v>
      </c>
    </row>
    <row r="132" spans="1:5" ht="15" customHeight="1">
      <c r="A132" s="220">
        <v>129</v>
      </c>
      <c r="B132" s="221" t="s">
        <v>307</v>
      </c>
      <c r="C132" s="222">
        <v>459</v>
      </c>
      <c r="D132" s="222">
        <v>343</v>
      </c>
      <c r="E132" s="222">
        <v>802</v>
      </c>
    </row>
    <row r="133" spans="1:5" ht="28.5" customHeight="1">
      <c r="A133" s="220">
        <v>130</v>
      </c>
      <c r="B133" s="221" t="s">
        <v>309</v>
      </c>
      <c r="C133" s="222">
        <v>151</v>
      </c>
      <c r="D133" s="222">
        <v>615</v>
      </c>
      <c r="E133" s="222">
        <v>766</v>
      </c>
    </row>
    <row r="134" spans="1:5" ht="15" customHeight="1">
      <c r="A134" s="220">
        <v>131</v>
      </c>
      <c r="B134" s="221" t="s">
        <v>315</v>
      </c>
      <c r="C134" s="222">
        <v>173</v>
      </c>
      <c r="D134" s="222">
        <v>569</v>
      </c>
      <c r="E134" s="222">
        <v>742</v>
      </c>
    </row>
    <row r="135" spans="1:5" ht="15" customHeight="1">
      <c r="A135" s="220">
        <v>132</v>
      </c>
      <c r="B135" s="221" t="s">
        <v>312</v>
      </c>
      <c r="C135" s="222">
        <v>377</v>
      </c>
      <c r="D135" s="222">
        <v>292</v>
      </c>
      <c r="E135" s="222">
        <v>669</v>
      </c>
    </row>
    <row r="136" spans="1:5" ht="15" customHeight="1">
      <c r="A136" s="220">
        <v>133</v>
      </c>
      <c r="B136" s="221" t="s">
        <v>290</v>
      </c>
      <c r="C136" s="222">
        <v>226</v>
      </c>
      <c r="D136" s="222">
        <v>419</v>
      </c>
      <c r="E136" s="222">
        <v>645</v>
      </c>
    </row>
    <row r="137" spans="1:5" ht="15" customHeight="1">
      <c r="A137" s="220">
        <v>134</v>
      </c>
      <c r="B137" s="221" t="s">
        <v>311</v>
      </c>
      <c r="C137" s="222">
        <v>356</v>
      </c>
      <c r="D137" s="222">
        <v>264</v>
      </c>
      <c r="E137" s="222">
        <v>620</v>
      </c>
    </row>
    <row r="138" spans="1:5" ht="15" customHeight="1">
      <c r="A138" s="220">
        <v>135</v>
      </c>
      <c r="B138" s="221" t="s">
        <v>314</v>
      </c>
      <c r="C138" s="222">
        <v>107</v>
      </c>
      <c r="D138" s="222">
        <v>509</v>
      </c>
      <c r="E138" s="222">
        <v>616</v>
      </c>
    </row>
    <row r="139" spans="1:5" ht="15" customHeight="1">
      <c r="A139" s="220">
        <v>136</v>
      </c>
      <c r="B139" s="221" t="s">
        <v>316</v>
      </c>
      <c r="C139" s="222">
        <v>401</v>
      </c>
      <c r="D139" s="222">
        <v>163</v>
      </c>
      <c r="E139" s="222">
        <v>564</v>
      </c>
    </row>
    <row r="140" spans="1:5" ht="15" customHeight="1">
      <c r="A140" s="220">
        <v>137</v>
      </c>
      <c r="B140" s="221" t="s">
        <v>306</v>
      </c>
      <c r="C140" s="222">
        <v>239</v>
      </c>
      <c r="D140" s="222">
        <v>305</v>
      </c>
      <c r="E140" s="222">
        <v>544</v>
      </c>
    </row>
    <row r="141" spans="1:5" ht="15" customHeight="1">
      <c r="A141" s="220">
        <v>138</v>
      </c>
      <c r="B141" s="221" t="s">
        <v>321</v>
      </c>
      <c r="C141" s="222">
        <v>152</v>
      </c>
      <c r="D141" s="222">
        <v>362</v>
      </c>
      <c r="E141" s="222">
        <v>514</v>
      </c>
    </row>
    <row r="142" spans="1:5" ht="28.5">
      <c r="A142" s="220">
        <v>139</v>
      </c>
      <c r="B142" s="221" t="s">
        <v>313</v>
      </c>
      <c r="C142" s="222">
        <v>359</v>
      </c>
      <c r="D142" s="222">
        <v>102</v>
      </c>
      <c r="E142" s="222">
        <v>461</v>
      </c>
    </row>
    <row r="143" spans="1:5" ht="30.75" customHeight="1">
      <c r="A143" s="220">
        <v>140</v>
      </c>
      <c r="B143" s="221" t="s">
        <v>310</v>
      </c>
      <c r="C143" s="222">
        <v>116</v>
      </c>
      <c r="D143" s="222">
        <v>331</v>
      </c>
      <c r="E143" s="222">
        <v>447</v>
      </c>
    </row>
    <row r="144" spans="1:5" ht="15" customHeight="1">
      <c r="A144" s="220">
        <v>141</v>
      </c>
      <c r="B144" s="221" t="s">
        <v>318</v>
      </c>
      <c r="C144" s="222">
        <v>70</v>
      </c>
      <c r="D144" s="222">
        <v>280</v>
      </c>
      <c r="E144" s="222">
        <v>350</v>
      </c>
    </row>
    <row r="145" spans="1:5" ht="15" customHeight="1">
      <c r="A145" s="220">
        <v>142</v>
      </c>
      <c r="B145" s="221" t="s">
        <v>320</v>
      </c>
      <c r="C145" s="222">
        <v>168</v>
      </c>
      <c r="D145" s="222">
        <v>134</v>
      </c>
      <c r="E145" s="222">
        <v>302</v>
      </c>
    </row>
    <row r="146" spans="1:5" ht="15" customHeight="1">
      <c r="A146" s="220">
        <v>143</v>
      </c>
      <c r="B146" s="221" t="s">
        <v>322</v>
      </c>
      <c r="C146" s="222">
        <v>107</v>
      </c>
      <c r="D146" s="222">
        <v>172</v>
      </c>
      <c r="E146" s="222">
        <v>279</v>
      </c>
    </row>
    <row r="147" spans="1:5" ht="15" customHeight="1">
      <c r="A147" s="220">
        <v>144</v>
      </c>
      <c r="B147" s="221" t="s">
        <v>323</v>
      </c>
      <c r="C147" s="222">
        <v>102</v>
      </c>
      <c r="D147" s="222">
        <v>77</v>
      </c>
      <c r="E147" s="222">
        <v>179</v>
      </c>
    </row>
    <row r="148" spans="1:5" ht="15" customHeight="1">
      <c r="A148" s="220">
        <v>145</v>
      </c>
      <c r="B148" s="221" t="s">
        <v>327</v>
      </c>
      <c r="C148" s="222">
        <v>82</v>
      </c>
      <c r="D148" s="222">
        <v>69</v>
      </c>
      <c r="E148" s="222">
        <v>151</v>
      </c>
    </row>
    <row r="149" spans="1:5" ht="15" customHeight="1">
      <c r="A149" s="220">
        <v>146</v>
      </c>
      <c r="B149" s="221" t="s">
        <v>332</v>
      </c>
      <c r="C149" s="222">
        <v>88</v>
      </c>
      <c r="D149" s="222">
        <v>57</v>
      </c>
      <c r="E149" s="222">
        <v>145</v>
      </c>
    </row>
    <row r="150" spans="1:5" ht="15" customHeight="1">
      <c r="A150" s="220">
        <v>147</v>
      </c>
      <c r="B150" s="221" t="s">
        <v>319</v>
      </c>
      <c r="C150" s="222">
        <v>120</v>
      </c>
      <c r="D150" s="222">
        <v>23</v>
      </c>
      <c r="E150" s="222">
        <v>143</v>
      </c>
    </row>
    <row r="151" spans="1:5" ht="15" customHeight="1">
      <c r="A151" s="220">
        <v>148</v>
      </c>
      <c r="B151" s="221" t="s">
        <v>331</v>
      </c>
      <c r="C151" s="222">
        <v>80</v>
      </c>
      <c r="D151" s="222">
        <v>60</v>
      </c>
      <c r="E151" s="222">
        <v>140</v>
      </c>
    </row>
    <row r="152" spans="1:5" ht="15" customHeight="1">
      <c r="A152" s="220">
        <v>149</v>
      </c>
      <c r="B152" s="221" t="s">
        <v>325</v>
      </c>
      <c r="C152" s="222">
        <v>107</v>
      </c>
      <c r="D152" s="222">
        <v>32</v>
      </c>
      <c r="E152" s="222">
        <v>139</v>
      </c>
    </row>
    <row r="153" spans="1:5" ht="28.5">
      <c r="A153" s="220">
        <v>150</v>
      </c>
      <c r="B153" s="221" t="s">
        <v>308</v>
      </c>
      <c r="C153" s="222">
        <v>64</v>
      </c>
      <c r="D153" s="222">
        <v>73</v>
      </c>
      <c r="E153" s="222">
        <v>137</v>
      </c>
    </row>
    <row r="154" spans="1:5" ht="15" customHeight="1">
      <c r="A154" s="220">
        <v>151</v>
      </c>
      <c r="B154" s="221" t="s">
        <v>329</v>
      </c>
      <c r="C154" s="222">
        <v>76</v>
      </c>
      <c r="D154" s="222">
        <v>60</v>
      </c>
      <c r="E154" s="222">
        <v>136</v>
      </c>
    </row>
    <row r="155" spans="1:5" ht="28.5">
      <c r="A155" s="220">
        <v>152</v>
      </c>
      <c r="B155" s="221" t="s">
        <v>766</v>
      </c>
      <c r="C155" s="222">
        <v>76</v>
      </c>
      <c r="D155" s="222">
        <v>36</v>
      </c>
      <c r="E155" s="222">
        <v>112</v>
      </c>
    </row>
    <row r="156" spans="1:5" ht="15" customHeight="1">
      <c r="A156" s="220">
        <v>153</v>
      </c>
      <c r="B156" s="221" t="s">
        <v>330</v>
      </c>
      <c r="C156" s="222">
        <v>36</v>
      </c>
      <c r="D156" s="222">
        <v>65</v>
      </c>
      <c r="E156" s="222">
        <v>101</v>
      </c>
    </row>
    <row r="157" spans="1:5" ht="15" customHeight="1">
      <c r="A157" s="220">
        <v>154</v>
      </c>
      <c r="B157" s="221" t="s">
        <v>317</v>
      </c>
      <c r="C157" s="222">
        <v>42</v>
      </c>
      <c r="D157" s="222">
        <v>38</v>
      </c>
      <c r="E157" s="222">
        <v>80</v>
      </c>
    </row>
    <row r="158" spans="1:5" ht="15" customHeight="1">
      <c r="A158" s="220">
        <v>155</v>
      </c>
      <c r="B158" s="221" t="s">
        <v>336</v>
      </c>
      <c r="C158" s="222">
        <v>35</v>
      </c>
      <c r="D158" s="222">
        <v>39</v>
      </c>
      <c r="E158" s="222">
        <v>74</v>
      </c>
    </row>
    <row r="159" spans="1:5" ht="15" customHeight="1">
      <c r="A159" s="220">
        <v>156</v>
      </c>
      <c r="B159" s="221" t="s">
        <v>338</v>
      </c>
      <c r="C159" s="222">
        <v>40</v>
      </c>
      <c r="D159" s="222">
        <v>33</v>
      </c>
      <c r="E159" s="222">
        <v>73</v>
      </c>
    </row>
    <row r="160" spans="1:5" ht="15" customHeight="1">
      <c r="A160" s="220">
        <v>157</v>
      </c>
      <c r="B160" s="221" t="s">
        <v>324</v>
      </c>
      <c r="C160" s="222">
        <v>46</v>
      </c>
      <c r="D160" s="222">
        <v>19</v>
      </c>
      <c r="E160" s="222">
        <v>65</v>
      </c>
    </row>
    <row r="161" spans="1:5" ht="16.5" customHeight="1">
      <c r="A161" s="220">
        <v>158</v>
      </c>
      <c r="B161" s="221" t="s">
        <v>337</v>
      </c>
      <c r="C161" s="222">
        <v>34</v>
      </c>
      <c r="D161" s="222">
        <v>20</v>
      </c>
      <c r="E161" s="222">
        <v>54</v>
      </c>
    </row>
    <row r="162" spans="1:5" ht="15" customHeight="1">
      <c r="A162" s="220">
        <v>159</v>
      </c>
      <c r="B162" s="221" t="s">
        <v>339</v>
      </c>
      <c r="C162" s="222">
        <v>38</v>
      </c>
      <c r="D162" s="222">
        <v>16</v>
      </c>
      <c r="E162" s="222">
        <v>54</v>
      </c>
    </row>
    <row r="163" spans="1:5" ht="15" customHeight="1">
      <c r="A163" s="220">
        <v>160</v>
      </c>
      <c r="B163" s="221" t="s">
        <v>326</v>
      </c>
      <c r="C163" s="222">
        <v>14</v>
      </c>
      <c r="D163" s="222">
        <v>39</v>
      </c>
      <c r="E163" s="222">
        <v>53</v>
      </c>
    </row>
    <row r="164" spans="1:5" ht="15" customHeight="1">
      <c r="A164" s="220">
        <v>161</v>
      </c>
      <c r="B164" s="221" t="s">
        <v>328</v>
      </c>
      <c r="C164" s="222">
        <v>28</v>
      </c>
      <c r="D164" s="222">
        <v>21</v>
      </c>
      <c r="E164" s="222">
        <v>49</v>
      </c>
    </row>
    <row r="165" spans="1:5" ht="15" customHeight="1">
      <c r="A165" s="220">
        <v>162</v>
      </c>
      <c r="B165" s="221" t="s">
        <v>334</v>
      </c>
      <c r="C165" s="222">
        <v>21</v>
      </c>
      <c r="D165" s="222">
        <v>25</v>
      </c>
      <c r="E165" s="222">
        <v>46</v>
      </c>
    </row>
    <row r="166" spans="1:5" ht="28.5">
      <c r="A166" s="220">
        <v>163</v>
      </c>
      <c r="B166" s="221" t="s">
        <v>767</v>
      </c>
      <c r="C166" s="222">
        <v>24</v>
      </c>
      <c r="D166" s="222">
        <v>21</v>
      </c>
      <c r="E166" s="222">
        <v>45</v>
      </c>
    </row>
    <row r="167" spans="1:5" ht="15" customHeight="1">
      <c r="A167" s="220">
        <v>164</v>
      </c>
      <c r="B167" s="221" t="s">
        <v>333</v>
      </c>
      <c r="C167" s="222">
        <v>34</v>
      </c>
      <c r="D167" s="222">
        <v>0</v>
      </c>
      <c r="E167" s="222">
        <v>34</v>
      </c>
    </row>
    <row r="168" spans="1:5" ht="15" customHeight="1">
      <c r="A168" s="220">
        <v>165</v>
      </c>
      <c r="B168" s="221" t="s">
        <v>335</v>
      </c>
      <c r="C168" s="222">
        <v>21</v>
      </c>
      <c r="D168" s="222">
        <v>6</v>
      </c>
      <c r="E168" s="222">
        <v>27</v>
      </c>
    </row>
    <row r="169" spans="1:5" ht="28.5">
      <c r="A169" s="220">
        <v>166</v>
      </c>
      <c r="B169" s="221" t="s">
        <v>769</v>
      </c>
      <c r="C169" s="222">
        <v>6</v>
      </c>
      <c r="D169" s="222">
        <v>13</v>
      </c>
      <c r="E169" s="222">
        <v>19</v>
      </c>
    </row>
    <row r="170" spans="1:5" ht="15" customHeight="1">
      <c r="A170" s="220">
        <v>167</v>
      </c>
      <c r="B170" s="221" t="s">
        <v>770</v>
      </c>
      <c r="C170" s="267">
        <v>4</v>
      </c>
      <c r="D170" s="267">
        <v>6</v>
      </c>
      <c r="E170" s="267">
        <v>10</v>
      </c>
    </row>
    <row r="171" spans="1:5" ht="15" customHeight="1">
      <c r="A171" s="220">
        <v>168</v>
      </c>
      <c r="B171" s="221" t="s">
        <v>768</v>
      </c>
      <c r="C171" s="267">
        <v>0</v>
      </c>
      <c r="D171" s="267">
        <v>0</v>
      </c>
      <c r="E171" s="267">
        <v>0</v>
      </c>
    </row>
    <row r="172" spans="1:5" ht="15" customHeight="1">
      <c r="A172" s="220">
        <v>169</v>
      </c>
      <c r="B172" s="221" t="s">
        <v>340</v>
      </c>
      <c r="C172" s="267">
        <v>89919</v>
      </c>
      <c r="D172" s="267">
        <v>99689</v>
      </c>
      <c r="E172" s="267">
        <v>189608</v>
      </c>
    </row>
    <row r="173" spans="1:5" ht="15" customHeight="1">
      <c r="A173" s="220">
        <v>170</v>
      </c>
      <c r="B173" s="221" t="s">
        <v>341</v>
      </c>
      <c r="C173" s="267">
        <v>394383</v>
      </c>
      <c r="D173" s="267">
        <v>166230</v>
      </c>
      <c r="E173" s="267">
        <v>560613</v>
      </c>
    </row>
    <row r="174" spans="1:5" ht="15" customHeight="1">
      <c r="A174" s="220">
        <v>171</v>
      </c>
      <c r="B174" s="221" t="s">
        <v>342</v>
      </c>
      <c r="C174" s="267">
        <v>47340</v>
      </c>
      <c r="D174" s="267">
        <v>74424</v>
      </c>
      <c r="E174" s="267">
        <v>121764</v>
      </c>
    </row>
    <row r="175" spans="1:5" ht="15" customHeight="1">
      <c r="A175" s="220">
        <v>172</v>
      </c>
      <c r="B175" s="221" t="s">
        <v>343</v>
      </c>
      <c r="C175" s="267">
        <v>10039</v>
      </c>
      <c r="D175" s="267">
        <v>60749</v>
      </c>
      <c r="E175" s="267">
        <v>70788</v>
      </c>
    </row>
    <row r="176" spans="1:5" ht="15" customHeight="1">
      <c r="A176" s="220">
        <v>173</v>
      </c>
      <c r="B176" s="221" t="s">
        <v>344</v>
      </c>
      <c r="C176" s="267">
        <v>656</v>
      </c>
      <c r="D176" s="267">
        <v>25537</v>
      </c>
      <c r="E176" s="267">
        <v>26193</v>
      </c>
    </row>
    <row r="177" spans="1:5" ht="15" customHeight="1">
      <c r="A177" s="220">
        <v>174</v>
      </c>
      <c r="B177" s="221" t="s">
        <v>345</v>
      </c>
      <c r="C177" s="267">
        <v>16774</v>
      </c>
      <c r="D177" s="267">
        <v>8060</v>
      </c>
      <c r="E177" s="267">
        <v>24834</v>
      </c>
    </row>
    <row r="178" spans="1:5" ht="15" customHeight="1">
      <c r="A178" s="220">
        <v>175</v>
      </c>
      <c r="B178" s="221" t="s">
        <v>346</v>
      </c>
      <c r="C178" s="267">
        <v>739</v>
      </c>
      <c r="D178" s="267">
        <v>2399</v>
      </c>
      <c r="E178" s="267">
        <v>3138</v>
      </c>
    </row>
    <row r="179" spans="1:5" ht="15" customHeight="1">
      <c r="A179" s="220">
        <v>176</v>
      </c>
      <c r="B179" s="221" t="s">
        <v>347</v>
      </c>
      <c r="C179" s="267">
        <v>33895</v>
      </c>
      <c r="D179" s="267">
        <v>47032</v>
      </c>
      <c r="E179" s="267">
        <v>80927</v>
      </c>
    </row>
    <row r="180" spans="1:5" ht="15" customHeight="1">
      <c r="A180" s="220">
        <v>177</v>
      </c>
      <c r="B180" s="221" t="s">
        <v>348</v>
      </c>
      <c r="C180" s="267">
        <v>8002</v>
      </c>
      <c r="D180" s="267">
        <v>5327</v>
      </c>
      <c r="E180" s="267">
        <v>13329</v>
      </c>
    </row>
    <row r="181" spans="1:5" ht="15" customHeight="1">
      <c r="A181" s="220">
        <v>178</v>
      </c>
      <c r="B181" s="221" t="s">
        <v>349</v>
      </c>
      <c r="C181" s="267">
        <v>2482</v>
      </c>
      <c r="D181" s="267">
        <v>3191</v>
      </c>
      <c r="E181" s="267">
        <v>5673</v>
      </c>
    </row>
    <row r="182" spans="1:5" ht="15" customHeight="1">
      <c r="A182" s="220">
        <v>179</v>
      </c>
      <c r="B182" s="221" t="s">
        <v>351</v>
      </c>
      <c r="C182" s="222">
        <v>1983</v>
      </c>
      <c r="D182" s="222">
        <v>1867</v>
      </c>
      <c r="E182" s="222">
        <v>3850</v>
      </c>
    </row>
    <row r="183" spans="1:5" ht="16.5" customHeight="1">
      <c r="A183" s="220">
        <v>180</v>
      </c>
      <c r="B183" s="221" t="s">
        <v>357</v>
      </c>
      <c r="C183" s="222">
        <v>1754</v>
      </c>
      <c r="D183" s="222">
        <v>2079</v>
      </c>
      <c r="E183" s="222">
        <v>3833</v>
      </c>
    </row>
    <row r="184" spans="1:5" ht="28.5">
      <c r="A184" s="220">
        <v>181</v>
      </c>
      <c r="B184" s="221" t="s">
        <v>350</v>
      </c>
      <c r="C184" s="222">
        <v>2577</v>
      </c>
      <c r="D184" s="222">
        <v>908</v>
      </c>
      <c r="E184" s="222">
        <v>3485</v>
      </c>
    </row>
    <row r="185" spans="1:5" ht="28.5">
      <c r="A185" s="220">
        <v>182</v>
      </c>
      <c r="B185" s="221" t="s">
        <v>353</v>
      </c>
      <c r="C185" s="222">
        <v>1208</v>
      </c>
      <c r="D185" s="222">
        <v>979</v>
      </c>
      <c r="E185" s="222">
        <v>2187</v>
      </c>
    </row>
    <row r="186" spans="1:5" ht="28.5">
      <c r="A186" s="220">
        <v>183</v>
      </c>
      <c r="B186" s="221" t="s">
        <v>352</v>
      </c>
      <c r="C186" s="222">
        <v>1118</v>
      </c>
      <c r="D186" s="222">
        <v>913</v>
      </c>
      <c r="E186" s="222">
        <v>2031</v>
      </c>
    </row>
    <row r="187" spans="1:5" ht="17.25" customHeight="1">
      <c r="A187" s="220">
        <v>184</v>
      </c>
      <c r="B187" s="221" t="s">
        <v>356</v>
      </c>
      <c r="C187" s="224">
        <v>709</v>
      </c>
      <c r="D187" s="224">
        <v>489</v>
      </c>
      <c r="E187" s="224">
        <v>1198</v>
      </c>
    </row>
    <row r="188" spans="1:5" ht="17.25" customHeight="1">
      <c r="A188" s="220">
        <v>185</v>
      </c>
      <c r="B188" s="221" t="s">
        <v>355</v>
      </c>
      <c r="C188" s="224">
        <v>581</v>
      </c>
      <c r="D188" s="224">
        <v>490</v>
      </c>
      <c r="E188" s="224">
        <v>1071</v>
      </c>
    </row>
    <row r="189" spans="1:5">
      <c r="A189" s="220">
        <v>186</v>
      </c>
      <c r="B189" s="221" t="s">
        <v>354</v>
      </c>
      <c r="C189" s="224">
        <v>471</v>
      </c>
      <c r="D189" s="224">
        <v>477</v>
      </c>
      <c r="E189" s="224">
        <v>948</v>
      </c>
    </row>
    <row r="190" spans="1:5" ht="28.5">
      <c r="A190" s="220">
        <v>187</v>
      </c>
      <c r="B190" s="221" t="s">
        <v>358</v>
      </c>
      <c r="C190" s="224">
        <v>349</v>
      </c>
      <c r="D190" s="224">
        <v>240</v>
      </c>
      <c r="E190" s="224">
        <v>589</v>
      </c>
    </row>
    <row r="191" spans="1:5" ht="15" customHeight="1">
      <c r="A191" s="220">
        <v>188</v>
      </c>
      <c r="B191" s="221" t="s">
        <v>360</v>
      </c>
      <c r="C191" s="224">
        <v>147</v>
      </c>
      <c r="D191" s="224">
        <v>219</v>
      </c>
      <c r="E191" s="224">
        <v>366</v>
      </c>
    </row>
    <row r="192" spans="1:5" ht="15" customHeight="1">
      <c r="A192" s="220">
        <v>189</v>
      </c>
      <c r="B192" s="221" t="s">
        <v>359</v>
      </c>
      <c r="C192" s="224">
        <v>149</v>
      </c>
      <c r="D192" s="224">
        <v>158</v>
      </c>
      <c r="E192" s="224">
        <v>307</v>
      </c>
    </row>
    <row r="193" spans="1:5" ht="15" customHeight="1">
      <c r="A193" s="220">
        <v>190</v>
      </c>
      <c r="B193" s="221" t="s">
        <v>363</v>
      </c>
      <c r="C193" s="224">
        <v>34</v>
      </c>
      <c r="D193" s="224">
        <v>64</v>
      </c>
      <c r="E193" s="224">
        <v>98</v>
      </c>
    </row>
    <row r="194" spans="1:5" ht="28.5">
      <c r="A194" s="220">
        <v>191</v>
      </c>
      <c r="B194" s="221" t="s">
        <v>771</v>
      </c>
      <c r="C194" s="224">
        <v>4</v>
      </c>
      <c r="D194" s="224">
        <v>52</v>
      </c>
      <c r="E194" s="224">
        <v>56</v>
      </c>
    </row>
    <row r="195" spans="1:5" ht="28.5">
      <c r="A195" s="220">
        <v>192</v>
      </c>
      <c r="B195" s="221" t="s">
        <v>361</v>
      </c>
      <c r="C195" s="224">
        <v>16</v>
      </c>
      <c r="D195" s="224">
        <v>16</v>
      </c>
      <c r="E195" s="224">
        <v>32</v>
      </c>
    </row>
    <row r="196" spans="1:5" ht="28.5">
      <c r="A196" s="220">
        <v>193</v>
      </c>
      <c r="B196" s="221" t="s">
        <v>362</v>
      </c>
      <c r="C196" s="224">
        <v>1</v>
      </c>
      <c r="D196" s="224">
        <v>10</v>
      </c>
      <c r="E196" s="224">
        <v>11</v>
      </c>
    </row>
    <row r="197" spans="1:5" ht="23.25" customHeight="1">
      <c r="A197" s="819" t="s">
        <v>60</v>
      </c>
      <c r="B197" s="819"/>
      <c r="C197" s="225">
        <f>SUM(C4:C196)</f>
        <v>4398666</v>
      </c>
      <c r="D197" s="225">
        <f t="shared" ref="D197:E197" si="0">SUM(D4:D196)</f>
        <v>5003244</v>
      </c>
      <c r="E197" s="225">
        <f t="shared" si="0"/>
        <v>9401910</v>
      </c>
    </row>
  </sheetData>
  <mergeCells count="2">
    <mergeCell ref="A1:E1"/>
    <mergeCell ref="A197:B197"/>
  </mergeCells>
  <pageMargins left="0.6" right="0.5" top="0.4" bottom="0.4" header="0.31496062992126" footer="0.31496062992126"/>
  <pageSetup paperSize="9" scale="88" firstPageNumber="98" pageOrder="overThenDown" orientation="portrait" useFirstPageNumber="1" r:id="rId1"/>
  <headerFooter>
    <oddFooter>&amp;L     AISHE 2019-20&amp;CT-34</oddFooter>
  </headerFooter>
  <rowBreaks count="4" manualBreakCount="4">
    <brk id="53" max="4" man="1"/>
    <brk id="95" max="4" man="1"/>
    <brk id="142" max="4" man="1"/>
    <brk id="186" max="4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>
    <tabColor rgb="FF00B050"/>
  </sheetPr>
  <dimension ref="A1:E74"/>
  <sheetViews>
    <sheetView view="pageBreakPreview" topLeftCell="A55" zoomScaleSheetLayoutView="100" workbookViewId="0">
      <selection activeCell="C43" sqref="C43:E43"/>
    </sheetView>
  </sheetViews>
  <sheetFormatPr defaultColWidth="9.140625" defaultRowHeight="14.25"/>
  <cols>
    <col min="1" max="1" width="30.140625" style="73" customWidth="1"/>
    <col min="2" max="2" width="30" style="73" customWidth="1"/>
    <col min="3" max="5" width="12.42578125" style="73" customWidth="1"/>
    <col min="6" max="16384" width="9.140625" style="73"/>
  </cols>
  <sheetData>
    <row r="1" spans="1:5" ht="39" customHeight="1">
      <c r="A1" s="849" t="s">
        <v>824</v>
      </c>
      <c r="B1" s="849"/>
      <c r="C1" s="962"/>
      <c r="D1" s="962"/>
      <c r="E1" s="962"/>
    </row>
    <row r="2" spans="1:5" s="74" customFormat="1" ht="22.5" customHeight="1">
      <c r="A2" s="963" t="s">
        <v>364</v>
      </c>
      <c r="B2" s="964"/>
      <c r="C2" s="426" t="s">
        <v>87</v>
      </c>
      <c r="D2" s="426" t="s">
        <v>88</v>
      </c>
      <c r="E2" s="426" t="s">
        <v>12</v>
      </c>
    </row>
    <row r="3" spans="1:5" s="75" customFormat="1" ht="12.6" customHeight="1">
      <c r="A3" s="496">
        <v>1</v>
      </c>
      <c r="B3" s="428">
        <v>2</v>
      </c>
      <c r="C3" s="427">
        <v>3</v>
      </c>
      <c r="D3" s="428">
        <v>4</v>
      </c>
      <c r="E3" s="428">
        <v>5</v>
      </c>
    </row>
    <row r="4" spans="1:5" ht="21.6" customHeight="1">
      <c r="A4" s="429" t="s">
        <v>365</v>
      </c>
      <c r="B4" s="269"/>
      <c r="C4" s="430">
        <v>869369</v>
      </c>
      <c r="D4" s="224">
        <v>1158885</v>
      </c>
      <c r="E4" s="224">
        <v>2028254</v>
      </c>
    </row>
    <row r="5" spans="1:5" ht="21.6" customHeight="1">
      <c r="A5" s="429" t="s">
        <v>175</v>
      </c>
      <c r="B5" s="269"/>
      <c r="C5" s="243">
        <v>486197</v>
      </c>
      <c r="D5" s="224">
        <v>594427</v>
      </c>
      <c r="E5" s="224">
        <v>1080624</v>
      </c>
    </row>
    <row r="6" spans="1:5" ht="21.6" customHeight="1">
      <c r="A6" s="429" t="s">
        <v>366</v>
      </c>
      <c r="B6" s="269"/>
      <c r="C6" s="243">
        <v>430144</v>
      </c>
      <c r="D6" s="224">
        <v>503990</v>
      </c>
      <c r="E6" s="224">
        <v>934134</v>
      </c>
    </row>
    <row r="7" spans="1:5" ht="21.6" customHeight="1">
      <c r="A7" s="853" t="s">
        <v>367</v>
      </c>
      <c r="B7" s="431" t="s">
        <v>368</v>
      </c>
      <c r="C7" s="243">
        <v>167556</v>
      </c>
      <c r="D7" s="224">
        <v>9869</v>
      </c>
      <c r="E7" s="224">
        <v>177425</v>
      </c>
    </row>
    <row r="8" spans="1:5" ht="21.6" customHeight="1">
      <c r="A8" s="854"/>
      <c r="B8" s="224" t="s">
        <v>371</v>
      </c>
      <c r="C8" s="243">
        <v>93344</v>
      </c>
      <c r="D8" s="224">
        <v>78983</v>
      </c>
      <c r="E8" s="224">
        <v>172327</v>
      </c>
    </row>
    <row r="9" spans="1:5" ht="21.6" customHeight="1">
      <c r="A9" s="854"/>
      <c r="B9" s="224" t="s">
        <v>369</v>
      </c>
      <c r="C9" s="243">
        <v>69054</v>
      </c>
      <c r="D9" s="224">
        <v>65546</v>
      </c>
      <c r="E9" s="224">
        <v>134600</v>
      </c>
    </row>
    <row r="10" spans="1:5" ht="21.6" customHeight="1">
      <c r="A10" s="854"/>
      <c r="B10" s="224" t="s">
        <v>373</v>
      </c>
      <c r="C10" s="243">
        <v>90658</v>
      </c>
      <c r="D10" s="224">
        <v>28629</v>
      </c>
      <c r="E10" s="224">
        <v>119287</v>
      </c>
    </row>
    <row r="11" spans="1:5" ht="21.6" customHeight="1">
      <c r="A11" s="854"/>
      <c r="B11" s="224" t="s">
        <v>375</v>
      </c>
      <c r="C11" s="243">
        <v>59172</v>
      </c>
      <c r="D11" s="224">
        <v>26333</v>
      </c>
      <c r="E11" s="224">
        <v>85505</v>
      </c>
    </row>
    <row r="12" spans="1:5" ht="21.6" customHeight="1">
      <c r="A12" s="854"/>
      <c r="B12" s="224" t="s">
        <v>376</v>
      </c>
      <c r="C12" s="243">
        <v>33478</v>
      </c>
      <c r="D12" s="224">
        <v>15958</v>
      </c>
      <c r="E12" s="224">
        <v>49436</v>
      </c>
    </row>
    <row r="13" spans="1:5" ht="21.6" customHeight="1">
      <c r="A13" s="854"/>
      <c r="B13" s="224" t="s">
        <v>377</v>
      </c>
      <c r="C13" s="243">
        <v>21754</v>
      </c>
      <c r="D13" s="224">
        <v>18742</v>
      </c>
      <c r="E13" s="224">
        <v>40496</v>
      </c>
    </row>
    <row r="14" spans="1:5" ht="21.6" customHeight="1">
      <c r="A14" s="854"/>
      <c r="B14" s="224" t="s">
        <v>379</v>
      </c>
      <c r="C14" s="243">
        <v>6107</v>
      </c>
      <c r="D14" s="224">
        <v>7672</v>
      </c>
      <c r="E14" s="224">
        <v>13779</v>
      </c>
    </row>
    <row r="15" spans="1:5" ht="21.6" customHeight="1">
      <c r="A15" s="854"/>
      <c r="B15" s="224" t="s">
        <v>378</v>
      </c>
      <c r="C15" s="243">
        <v>8834</v>
      </c>
      <c r="D15" s="224">
        <v>3042</v>
      </c>
      <c r="E15" s="224">
        <v>11876</v>
      </c>
    </row>
    <row r="16" spans="1:5" ht="21.6" customHeight="1">
      <c r="A16" s="854"/>
      <c r="B16" s="224" t="s">
        <v>380</v>
      </c>
      <c r="C16" s="243">
        <v>2658</v>
      </c>
      <c r="D16" s="224">
        <v>1648</v>
      </c>
      <c r="E16" s="224">
        <v>4306</v>
      </c>
    </row>
    <row r="17" spans="1:5" ht="21.6" customHeight="1">
      <c r="A17" s="854"/>
      <c r="B17" s="224" t="s">
        <v>381</v>
      </c>
      <c r="C17" s="243">
        <v>2139</v>
      </c>
      <c r="D17" s="224">
        <v>747</v>
      </c>
      <c r="E17" s="224">
        <v>2886</v>
      </c>
    </row>
    <row r="18" spans="1:5" ht="21.6" customHeight="1">
      <c r="A18" s="854"/>
      <c r="B18" s="224" t="s">
        <v>383</v>
      </c>
      <c r="C18" s="243">
        <v>1364</v>
      </c>
      <c r="D18" s="224">
        <v>1094</v>
      </c>
      <c r="E18" s="224">
        <v>2458</v>
      </c>
    </row>
    <row r="19" spans="1:5" ht="21.6" customHeight="1">
      <c r="A19" s="854"/>
      <c r="B19" s="224" t="s">
        <v>382</v>
      </c>
      <c r="C19" s="243">
        <v>1643</v>
      </c>
      <c r="D19" s="224">
        <v>431</v>
      </c>
      <c r="E19" s="224">
        <v>2074</v>
      </c>
    </row>
    <row r="20" spans="1:5" ht="21.6" customHeight="1">
      <c r="A20" s="854"/>
      <c r="B20" s="224" t="s">
        <v>384</v>
      </c>
      <c r="C20" s="243">
        <v>1691</v>
      </c>
      <c r="D20" s="224">
        <v>55</v>
      </c>
      <c r="E20" s="224">
        <v>1746</v>
      </c>
    </row>
    <row r="21" spans="1:5" ht="21.6" customHeight="1">
      <c r="A21" s="854"/>
      <c r="B21" s="224" t="s">
        <v>385</v>
      </c>
      <c r="C21" s="243">
        <v>1084</v>
      </c>
      <c r="D21" s="224">
        <v>38</v>
      </c>
      <c r="E21" s="224">
        <v>1122</v>
      </c>
    </row>
    <row r="22" spans="1:5" ht="21.6" customHeight="1">
      <c r="A22" s="854"/>
      <c r="B22" s="224" t="s">
        <v>386</v>
      </c>
      <c r="C22" s="243">
        <v>437</v>
      </c>
      <c r="D22" s="224">
        <v>190</v>
      </c>
      <c r="E22" s="224">
        <v>627</v>
      </c>
    </row>
    <row r="23" spans="1:5" ht="21.6" customHeight="1">
      <c r="A23" s="965"/>
      <c r="B23" s="432" t="s">
        <v>387</v>
      </c>
      <c r="C23" s="243">
        <v>102</v>
      </c>
      <c r="D23" s="243">
        <v>77</v>
      </c>
      <c r="E23" s="243">
        <v>179</v>
      </c>
    </row>
    <row r="24" spans="1:5" ht="21.6" customHeight="1">
      <c r="A24" s="429" t="s">
        <v>388</v>
      </c>
      <c r="B24" s="269"/>
      <c r="C24" s="269">
        <v>561075</v>
      </c>
      <c r="D24" s="230">
        <v>259054</v>
      </c>
      <c r="E24" s="230">
        <v>820129</v>
      </c>
    </row>
    <row r="25" spans="1:5" ht="21.6" customHeight="1">
      <c r="A25" s="429" t="s">
        <v>167</v>
      </c>
      <c r="B25" s="269"/>
      <c r="C25" s="243">
        <v>206904</v>
      </c>
      <c r="D25" s="224">
        <v>442073</v>
      </c>
      <c r="E25" s="224">
        <v>648977</v>
      </c>
    </row>
    <row r="26" spans="1:5" ht="21.6" customHeight="1">
      <c r="A26" s="855" t="s">
        <v>372</v>
      </c>
      <c r="B26" s="243" t="s">
        <v>76</v>
      </c>
      <c r="C26" s="243">
        <v>12019</v>
      </c>
      <c r="D26" s="224">
        <v>62405</v>
      </c>
      <c r="E26" s="224">
        <v>74424</v>
      </c>
    </row>
    <row r="27" spans="1:5" ht="21.6" customHeight="1">
      <c r="A27" s="856"/>
      <c r="B27" s="432" t="s">
        <v>389</v>
      </c>
      <c r="C27" s="224">
        <v>24863</v>
      </c>
      <c r="D27" s="224">
        <v>23099</v>
      </c>
      <c r="E27" s="224">
        <v>47962</v>
      </c>
    </row>
    <row r="28" spans="1:5" ht="21.6" customHeight="1">
      <c r="A28" s="856"/>
      <c r="B28" s="243" t="s">
        <v>390</v>
      </c>
      <c r="C28" s="224">
        <v>22564</v>
      </c>
      <c r="D28" s="224">
        <v>25021</v>
      </c>
      <c r="E28" s="224">
        <v>47585</v>
      </c>
    </row>
    <row r="29" spans="1:5" ht="21.6" customHeight="1">
      <c r="A29" s="856"/>
      <c r="B29" s="243" t="s">
        <v>391</v>
      </c>
      <c r="C29" s="224">
        <v>5192</v>
      </c>
      <c r="D29" s="224">
        <v>15553</v>
      </c>
      <c r="E29" s="224">
        <v>20745</v>
      </c>
    </row>
    <row r="30" spans="1:5" ht="21.6" customHeight="1">
      <c r="A30" s="856"/>
      <c r="B30" s="243" t="s">
        <v>372</v>
      </c>
      <c r="C30" s="224">
        <v>3983</v>
      </c>
      <c r="D30" s="224">
        <v>9673</v>
      </c>
      <c r="E30" s="224">
        <v>13656</v>
      </c>
    </row>
    <row r="31" spans="1:5" ht="21.6" customHeight="1">
      <c r="A31" s="856"/>
      <c r="B31" s="243" t="s">
        <v>394</v>
      </c>
      <c r="C31" s="224">
        <v>2507</v>
      </c>
      <c r="D31" s="224">
        <v>7556</v>
      </c>
      <c r="E31" s="224">
        <v>10063</v>
      </c>
    </row>
    <row r="32" spans="1:5" ht="21.6" customHeight="1">
      <c r="A32" s="856"/>
      <c r="B32" s="243" t="s">
        <v>393</v>
      </c>
      <c r="C32" s="224">
        <v>3425</v>
      </c>
      <c r="D32" s="224">
        <v>6320</v>
      </c>
      <c r="E32" s="224">
        <v>9745</v>
      </c>
    </row>
    <row r="33" spans="1:5" ht="21.6" customHeight="1">
      <c r="A33" s="856"/>
      <c r="B33" s="243" t="s">
        <v>392</v>
      </c>
      <c r="C33" s="224">
        <v>2838</v>
      </c>
      <c r="D33" s="224">
        <v>6027</v>
      </c>
      <c r="E33" s="224">
        <v>8865</v>
      </c>
    </row>
    <row r="34" spans="1:5" ht="21.6" customHeight="1">
      <c r="A34" s="856"/>
      <c r="B34" s="243" t="s">
        <v>397</v>
      </c>
      <c r="C34" s="224">
        <v>505</v>
      </c>
      <c r="D34" s="224">
        <v>622</v>
      </c>
      <c r="E34" s="224">
        <v>1127</v>
      </c>
    </row>
    <row r="35" spans="1:5" ht="21.6" customHeight="1">
      <c r="A35" s="856"/>
      <c r="B35" s="243" t="s">
        <v>396</v>
      </c>
      <c r="C35" s="224">
        <v>333</v>
      </c>
      <c r="D35" s="224">
        <v>652</v>
      </c>
      <c r="E35" s="224">
        <v>985</v>
      </c>
    </row>
    <row r="36" spans="1:5" ht="21.6" customHeight="1">
      <c r="A36" s="856"/>
      <c r="B36" s="243" t="s">
        <v>398</v>
      </c>
      <c r="C36" s="224">
        <v>151</v>
      </c>
      <c r="D36" s="224">
        <v>615</v>
      </c>
      <c r="E36" s="224">
        <v>766</v>
      </c>
    </row>
    <row r="37" spans="1:5" ht="21.6" customHeight="1">
      <c r="A37" s="856"/>
      <c r="B37" s="243" t="s">
        <v>400</v>
      </c>
      <c r="C37" s="224">
        <v>173</v>
      </c>
      <c r="D37" s="224">
        <v>569</v>
      </c>
      <c r="E37" s="224">
        <v>742</v>
      </c>
    </row>
    <row r="38" spans="1:5" ht="21.6" customHeight="1">
      <c r="A38" s="856"/>
      <c r="B38" s="243" t="s">
        <v>395</v>
      </c>
      <c r="C38" s="224">
        <v>226</v>
      </c>
      <c r="D38" s="224">
        <v>419</v>
      </c>
      <c r="E38" s="224">
        <v>645</v>
      </c>
    </row>
    <row r="39" spans="1:5" ht="21.6" customHeight="1">
      <c r="A39" s="856"/>
      <c r="B39" s="243" t="s">
        <v>402</v>
      </c>
      <c r="C39" s="243">
        <v>152</v>
      </c>
      <c r="D39" s="243">
        <v>362</v>
      </c>
      <c r="E39" s="243">
        <v>514</v>
      </c>
    </row>
    <row r="40" spans="1:5" ht="21.6" customHeight="1">
      <c r="A40" s="856"/>
      <c r="B40" s="243" t="s">
        <v>399</v>
      </c>
      <c r="C40" s="243">
        <v>116</v>
      </c>
      <c r="D40" s="243">
        <v>331</v>
      </c>
      <c r="E40" s="243">
        <v>447</v>
      </c>
    </row>
    <row r="41" spans="1:5" ht="21.6" customHeight="1">
      <c r="A41" s="856"/>
      <c r="B41" s="433" t="s">
        <v>401</v>
      </c>
      <c r="C41" s="243">
        <v>70</v>
      </c>
      <c r="D41" s="243">
        <v>280</v>
      </c>
      <c r="E41" s="243">
        <v>350</v>
      </c>
    </row>
    <row r="42" spans="1:5" ht="21.6" customHeight="1">
      <c r="A42" s="857"/>
      <c r="B42" s="243" t="s">
        <v>493</v>
      </c>
      <c r="C42" s="243">
        <v>4</v>
      </c>
      <c r="D42" s="243">
        <v>6</v>
      </c>
      <c r="E42" s="243">
        <v>10</v>
      </c>
    </row>
    <row r="43" spans="1:5" ht="21.6" customHeight="1">
      <c r="A43" s="429" t="s">
        <v>403</v>
      </c>
      <c r="B43" s="269"/>
      <c r="C43" s="269">
        <v>79121</v>
      </c>
      <c r="D43" s="269">
        <v>159510</v>
      </c>
      <c r="E43" s="269">
        <v>238631</v>
      </c>
    </row>
    <row r="44" spans="1:5" ht="21.6" customHeight="1">
      <c r="A44" s="734" t="s">
        <v>374</v>
      </c>
      <c r="B44" s="434"/>
      <c r="C44" s="243">
        <v>93172</v>
      </c>
      <c r="D44" s="243">
        <v>103584</v>
      </c>
      <c r="E44" s="243">
        <v>196756</v>
      </c>
    </row>
    <row r="45" spans="1:5" ht="21.6" customHeight="1">
      <c r="A45" s="429" t="s">
        <v>370</v>
      </c>
      <c r="B45" s="269"/>
      <c r="C45" s="243">
        <v>87974</v>
      </c>
      <c r="D45" s="243">
        <v>83320</v>
      </c>
      <c r="E45" s="243">
        <v>171294</v>
      </c>
    </row>
    <row r="46" spans="1:5" ht="21.6" customHeight="1">
      <c r="A46" s="429" t="s">
        <v>404</v>
      </c>
      <c r="B46" s="269"/>
      <c r="C46" s="243">
        <v>84025</v>
      </c>
      <c r="D46" s="224">
        <v>62651</v>
      </c>
      <c r="E46" s="224">
        <v>146676</v>
      </c>
    </row>
    <row r="47" spans="1:5" ht="21.6" customHeight="1">
      <c r="A47" s="429" t="s">
        <v>8</v>
      </c>
      <c r="B47" s="269"/>
      <c r="C47" s="243">
        <v>55577</v>
      </c>
      <c r="D47" s="224">
        <v>28252</v>
      </c>
      <c r="E47" s="224">
        <v>83829</v>
      </c>
    </row>
    <row r="48" spans="1:5" ht="21.6" customHeight="1">
      <c r="A48" s="429" t="s">
        <v>405</v>
      </c>
      <c r="B48" s="269"/>
      <c r="C48" s="243">
        <v>22186</v>
      </c>
      <c r="D48" s="224">
        <v>43235</v>
      </c>
      <c r="E48" s="224">
        <v>65421</v>
      </c>
    </row>
    <row r="49" spans="1:5" ht="21.6" customHeight="1">
      <c r="A49" s="429" t="s">
        <v>6</v>
      </c>
      <c r="B49" s="269"/>
      <c r="C49" s="243">
        <v>34798</v>
      </c>
      <c r="D49" s="224">
        <v>15650</v>
      </c>
      <c r="E49" s="224">
        <v>50448</v>
      </c>
    </row>
    <row r="50" spans="1:5" ht="21.6" customHeight="1">
      <c r="A50" s="429" t="s">
        <v>406</v>
      </c>
      <c r="B50" s="269"/>
      <c r="C50" s="243">
        <v>11681</v>
      </c>
      <c r="D50" s="224">
        <v>17121</v>
      </c>
      <c r="E50" s="224">
        <v>28802</v>
      </c>
    </row>
    <row r="51" spans="1:5" ht="21.6" customHeight="1">
      <c r="A51" s="429" t="s">
        <v>172</v>
      </c>
      <c r="B51" s="269"/>
      <c r="C51" s="243">
        <v>13774</v>
      </c>
      <c r="D51" s="224">
        <v>11800</v>
      </c>
      <c r="E51" s="224">
        <v>25574</v>
      </c>
    </row>
    <row r="52" spans="1:5" ht="21.6" customHeight="1">
      <c r="A52" s="429" t="s">
        <v>407</v>
      </c>
      <c r="B52" s="269"/>
      <c r="C52" s="243">
        <v>9531</v>
      </c>
      <c r="D52" s="224">
        <v>10780</v>
      </c>
      <c r="E52" s="224">
        <v>20311</v>
      </c>
    </row>
    <row r="53" spans="1:5" ht="21.6" customHeight="1">
      <c r="A53" s="429" t="s">
        <v>409</v>
      </c>
      <c r="B53" s="269"/>
      <c r="C53" s="243">
        <v>13862</v>
      </c>
      <c r="D53" s="224">
        <v>6380</v>
      </c>
      <c r="E53" s="224">
        <v>20242</v>
      </c>
    </row>
    <row r="54" spans="1:5" ht="21.6" customHeight="1">
      <c r="A54" s="429" t="s">
        <v>408</v>
      </c>
      <c r="B54" s="269"/>
      <c r="C54" s="243">
        <v>2231</v>
      </c>
      <c r="D54" s="224">
        <v>14307</v>
      </c>
      <c r="E54" s="224">
        <v>16538</v>
      </c>
    </row>
    <row r="55" spans="1:5" ht="21.6" customHeight="1">
      <c r="A55" s="429" t="s">
        <v>410</v>
      </c>
      <c r="B55" s="269"/>
      <c r="C55" s="243">
        <v>7677</v>
      </c>
      <c r="D55" s="224">
        <v>7307</v>
      </c>
      <c r="E55" s="224">
        <v>14984</v>
      </c>
    </row>
    <row r="56" spans="1:5" ht="21.6" customHeight="1">
      <c r="A56" s="429" t="s">
        <v>411</v>
      </c>
      <c r="B56" s="269"/>
      <c r="C56" s="243">
        <v>10962</v>
      </c>
      <c r="D56" s="224">
        <v>2975</v>
      </c>
      <c r="E56" s="224">
        <v>13937</v>
      </c>
    </row>
    <row r="57" spans="1:5" ht="21.6" customHeight="1">
      <c r="A57" s="429" t="s">
        <v>168</v>
      </c>
      <c r="B57" s="269"/>
      <c r="C57" s="243">
        <v>4819</v>
      </c>
      <c r="D57" s="224">
        <v>5394</v>
      </c>
      <c r="E57" s="224">
        <v>10213</v>
      </c>
    </row>
    <row r="58" spans="1:5" ht="21.6" customHeight="1">
      <c r="A58" s="429" t="s">
        <v>170</v>
      </c>
      <c r="B58" s="269"/>
      <c r="C58" s="243">
        <v>3340</v>
      </c>
      <c r="D58" s="224">
        <v>3302</v>
      </c>
      <c r="E58" s="224">
        <v>6642</v>
      </c>
    </row>
    <row r="59" spans="1:5" ht="21.6" customHeight="1">
      <c r="A59" s="429" t="s">
        <v>412</v>
      </c>
      <c r="B59" s="269"/>
      <c r="C59" s="243">
        <v>886</v>
      </c>
      <c r="D59" s="224">
        <v>4069</v>
      </c>
      <c r="E59" s="224">
        <v>4955</v>
      </c>
    </row>
    <row r="60" spans="1:5" ht="21.6" customHeight="1">
      <c r="A60" s="429" t="s">
        <v>413</v>
      </c>
      <c r="B60" s="269"/>
      <c r="C60" s="243">
        <v>1188</v>
      </c>
      <c r="D60" s="224">
        <v>3162</v>
      </c>
      <c r="E60" s="224">
        <v>4350</v>
      </c>
    </row>
    <row r="61" spans="1:5" ht="21.6" customHeight="1">
      <c r="A61" s="429" t="s">
        <v>414</v>
      </c>
      <c r="B61" s="269"/>
      <c r="C61" s="243">
        <v>1058</v>
      </c>
      <c r="D61" s="224">
        <v>2858</v>
      </c>
      <c r="E61" s="224">
        <v>3916</v>
      </c>
    </row>
    <row r="62" spans="1:5" ht="21.6" customHeight="1">
      <c r="A62" s="429" t="s">
        <v>415</v>
      </c>
      <c r="B62" s="269"/>
      <c r="C62" s="243">
        <v>1816</v>
      </c>
      <c r="D62" s="224">
        <v>1247</v>
      </c>
      <c r="E62" s="224">
        <v>3063</v>
      </c>
    </row>
    <row r="63" spans="1:5" ht="21.6" customHeight="1">
      <c r="A63" s="429" t="s">
        <v>774</v>
      </c>
      <c r="B63" s="269"/>
      <c r="C63" s="243">
        <v>2038</v>
      </c>
      <c r="D63" s="224">
        <v>578</v>
      </c>
      <c r="E63" s="224">
        <v>2616</v>
      </c>
    </row>
    <row r="64" spans="1:5" ht="21.6" customHeight="1">
      <c r="A64" s="429" t="s">
        <v>166</v>
      </c>
      <c r="B64" s="269"/>
      <c r="C64" s="243">
        <v>924</v>
      </c>
      <c r="D64" s="224">
        <v>1260</v>
      </c>
      <c r="E64" s="224">
        <v>2184</v>
      </c>
    </row>
    <row r="65" spans="1:5" ht="21.6" customHeight="1">
      <c r="A65" s="429" t="s">
        <v>773</v>
      </c>
      <c r="B65" s="269"/>
      <c r="C65" s="243">
        <v>849</v>
      </c>
      <c r="D65" s="224">
        <v>1183</v>
      </c>
      <c r="E65" s="224">
        <v>2032</v>
      </c>
    </row>
    <row r="66" spans="1:5" ht="21.6" customHeight="1">
      <c r="A66" s="429" t="s">
        <v>416</v>
      </c>
      <c r="B66" s="269"/>
      <c r="C66" s="243">
        <v>713</v>
      </c>
      <c r="D66" s="224">
        <v>610</v>
      </c>
      <c r="E66" s="224">
        <v>1323</v>
      </c>
    </row>
    <row r="67" spans="1:5" ht="21.6" customHeight="1">
      <c r="A67" s="429" t="s">
        <v>417</v>
      </c>
      <c r="B67" s="269"/>
      <c r="C67" s="243">
        <v>8</v>
      </c>
      <c r="D67" s="224">
        <v>1233</v>
      </c>
      <c r="E67" s="224">
        <v>1241</v>
      </c>
    </row>
    <row r="68" spans="1:5" ht="21.6" customHeight="1">
      <c r="A68" s="429" t="s">
        <v>418</v>
      </c>
      <c r="B68" s="243"/>
      <c r="C68" s="243">
        <v>506</v>
      </c>
      <c r="D68" s="224">
        <v>396</v>
      </c>
      <c r="E68" s="224">
        <v>902</v>
      </c>
    </row>
    <row r="69" spans="1:5" ht="21.6" customHeight="1">
      <c r="A69" s="429" t="s">
        <v>422</v>
      </c>
      <c r="B69" s="243"/>
      <c r="C69" s="224">
        <v>334</v>
      </c>
      <c r="D69" s="224">
        <v>18</v>
      </c>
      <c r="E69" s="224">
        <v>352</v>
      </c>
    </row>
    <row r="70" spans="1:5" ht="18" customHeight="1">
      <c r="A70" s="429" t="s">
        <v>775</v>
      </c>
      <c r="B70" s="243"/>
      <c r="C70" s="224">
        <v>171</v>
      </c>
      <c r="D70" s="224">
        <v>149</v>
      </c>
      <c r="E70" s="224">
        <v>320</v>
      </c>
    </row>
    <row r="71" spans="1:5" ht="18" customHeight="1">
      <c r="A71" s="429" t="s">
        <v>420</v>
      </c>
      <c r="B71" s="243"/>
      <c r="C71" s="224">
        <v>96</v>
      </c>
      <c r="D71" s="224">
        <v>166</v>
      </c>
      <c r="E71" s="224">
        <v>262</v>
      </c>
    </row>
    <row r="72" spans="1:5" ht="18" customHeight="1">
      <c r="A72" s="429" t="s">
        <v>421</v>
      </c>
      <c r="B72" s="243"/>
      <c r="C72" s="224">
        <v>10</v>
      </c>
      <c r="D72" s="224">
        <v>74</v>
      </c>
      <c r="E72" s="224">
        <v>84</v>
      </c>
    </row>
    <row r="73" spans="1:5" ht="18" customHeight="1">
      <c r="A73" s="429" t="s">
        <v>419</v>
      </c>
      <c r="B73" s="243"/>
      <c r="C73" s="224">
        <v>35</v>
      </c>
      <c r="D73" s="224">
        <v>20</v>
      </c>
      <c r="E73" s="224">
        <v>55</v>
      </c>
    </row>
    <row r="74" spans="1:5" ht="18" customHeight="1">
      <c r="A74" s="960" t="s">
        <v>60</v>
      </c>
      <c r="B74" s="961"/>
      <c r="C74" s="230">
        <v>3099051</v>
      </c>
      <c r="D74" s="230">
        <v>3551020</v>
      </c>
      <c r="E74" s="230">
        <v>6650071</v>
      </c>
    </row>
  </sheetData>
  <mergeCells count="5">
    <mergeCell ref="A74:B74"/>
    <mergeCell ref="A26:A42"/>
    <mergeCell ref="A1:E1"/>
    <mergeCell ref="A2:B2"/>
    <mergeCell ref="A7:A23"/>
  </mergeCells>
  <pageMargins left="0.6" right="0.3" top="0.5" bottom="0.5" header="0.31496062992126" footer="0.31496062992126"/>
  <pageSetup paperSize="9" scale="78" firstPageNumber="103" orientation="portrait" useFirstPageNumber="1" r:id="rId1"/>
  <headerFooter>
    <oddFooter>&amp;L     AISHE 2019-20&amp;CT-35</oddFooter>
  </headerFooter>
  <rowBreaks count="1" manualBreakCount="1">
    <brk id="43" max="4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>
    <tabColor rgb="FF00B050"/>
  </sheetPr>
  <dimension ref="A1:K210"/>
  <sheetViews>
    <sheetView view="pageBreakPreview" topLeftCell="A187" zoomScaleSheetLayoutView="100" workbookViewId="0">
      <selection activeCell="F29" sqref="F29"/>
    </sheetView>
  </sheetViews>
  <sheetFormatPr defaultColWidth="9.140625" defaultRowHeight="14.25"/>
  <cols>
    <col min="1" max="1" width="19.42578125" style="78" customWidth="1"/>
    <col min="2" max="2" width="29" style="77" customWidth="1"/>
    <col min="3" max="4" width="7.5703125" style="73" customWidth="1"/>
    <col min="5" max="5" width="8.42578125" style="73" customWidth="1"/>
    <col min="6" max="6" width="7.140625" style="73" customWidth="1"/>
    <col min="7" max="7" width="7.5703125" style="73" customWidth="1"/>
    <col min="8" max="8" width="8.42578125" style="73" customWidth="1"/>
    <col min="9" max="9" width="8" style="73" customWidth="1"/>
    <col min="10" max="10" width="9.28515625" style="73" customWidth="1"/>
    <col min="11" max="11" width="9.140625" style="73" customWidth="1"/>
    <col min="12" max="16384" width="9.140625" style="73"/>
  </cols>
  <sheetData>
    <row r="1" spans="1:11" ht="35.25" customHeight="1">
      <c r="A1" s="849" t="s">
        <v>825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</row>
    <row r="2" spans="1:11" s="76" customFormat="1" ht="17.45" customHeight="1">
      <c r="A2" s="850" t="s">
        <v>364</v>
      </c>
      <c r="B2" s="850"/>
      <c r="C2" s="834" t="s">
        <v>89</v>
      </c>
      <c r="D2" s="834"/>
      <c r="E2" s="834"/>
      <c r="F2" s="834" t="s">
        <v>90</v>
      </c>
      <c r="G2" s="834"/>
      <c r="H2" s="834"/>
      <c r="I2" s="834" t="s">
        <v>85</v>
      </c>
      <c r="J2" s="834"/>
      <c r="K2" s="834"/>
    </row>
    <row r="3" spans="1:11" s="76" customFormat="1" ht="17.45" customHeight="1">
      <c r="A3" s="850"/>
      <c r="B3" s="850"/>
      <c r="C3" s="423" t="s">
        <v>87</v>
      </c>
      <c r="D3" s="423" t="s">
        <v>88</v>
      </c>
      <c r="E3" s="423" t="s">
        <v>12</v>
      </c>
      <c r="F3" s="423" t="s">
        <v>87</v>
      </c>
      <c r="G3" s="423" t="s">
        <v>88</v>
      </c>
      <c r="H3" s="423" t="s">
        <v>12</v>
      </c>
      <c r="I3" s="423" t="s">
        <v>87</v>
      </c>
      <c r="J3" s="423" t="s">
        <v>88</v>
      </c>
      <c r="K3" s="423" t="s">
        <v>12</v>
      </c>
    </row>
    <row r="4" spans="1:11" s="77" customFormat="1" ht="11.25" customHeight="1">
      <c r="A4" s="428">
        <v>1</v>
      </c>
      <c r="B4" s="428">
        <v>2</v>
      </c>
      <c r="C4" s="427">
        <v>3</v>
      </c>
      <c r="D4" s="428">
        <v>4</v>
      </c>
      <c r="E4" s="428">
        <v>5</v>
      </c>
      <c r="F4" s="428">
        <v>6</v>
      </c>
      <c r="G4" s="428">
        <v>7</v>
      </c>
      <c r="H4" s="428">
        <v>8</v>
      </c>
      <c r="I4" s="428">
        <v>9</v>
      </c>
      <c r="J4" s="428">
        <v>10</v>
      </c>
      <c r="K4" s="428">
        <v>11</v>
      </c>
    </row>
    <row r="5" spans="1:11" ht="13.5" customHeight="1">
      <c r="A5" s="853" t="s">
        <v>6</v>
      </c>
      <c r="B5" s="221" t="s">
        <v>6</v>
      </c>
      <c r="C5" s="222">
        <v>3052</v>
      </c>
      <c r="D5" s="222">
        <v>1564</v>
      </c>
      <c r="E5" s="222">
        <v>4616</v>
      </c>
      <c r="F5" s="222">
        <v>0</v>
      </c>
      <c r="G5" s="222">
        <v>2</v>
      </c>
      <c r="H5" s="222">
        <v>2</v>
      </c>
      <c r="I5" s="222">
        <v>6655</v>
      </c>
      <c r="J5" s="222">
        <v>3919</v>
      </c>
      <c r="K5" s="222">
        <v>10574</v>
      </c>
    </row>
    <row r="6" spans="1:11" ht="13.5" customHeight="1">
      <c r="A6" s="854"/>
      <c r="B6" s="221" t="s">
        <v>423</v>
      </c>
      <c r="C6" s="222">
        <v>97</v>
      </c>
      <c r="D6" s="222">
        <v>112</v>
      </c>
      <c r="E6" s="222">
        <v>209</v>
      </c>
      <c r="F6" s="222">
        <v>0</v>
      </c>
      <c r="G6" s="222">
        <v>0</v>
      </c>
      <c r="H6" s="222">
        <v>0</v>
      </c>
      <c r="I6" s="222">
        <v>1091</v>
      </c>
      <c r="J6" s="222">
        <v>578</v>
      </c>
      <c r="K6" s="222">
        <v>1669</v>
      </c>
    </row>
    <row r="7" spans="1:11" ht="13.5" customHeight="1">
      <c r="A7" s="854"/>
      <c r="B7" s="221" t="s">
        <v>424</v>
      </c>
      <c r="C7" s="222">
        <v>26</v>
      </c>
      <c r="D7" s="222">
        <v>29</v>
      </c>
      <c r="E7" s="222">
        <v>55</v>
      </c>
      <c r="F7" s="222">
        <v>0</v>
      </c>
      <c r="G7" s="222">
        <v>0</v>
      </c>
      <c r="H7" s="222">
        <v>0</v>
      </c>
      <c r="I7" s="222">
        <v>200</v>
      </c>
      <c r="J7" s="222">
        <v>211</v>
      </c>
      <c r="K7" s="222">
        <v>411</v>
      </c>
    </row>
    <row r="8" spans="1:11" ht="13.5" customHeight="1">
      <c r="A8" s="965"/>
      <c r="B8" s="221" t="s">
        <v>425</v>
      </c>
      <c r="C8" s="222">
        <v>5</v>
      </c>
      <c r="D8" s="222">
        <v>4</v>
      </c>
      <c r="E8" s="222">
        <v>9</v>
      </c>
      <c r="F8" s="222">
        <v>0</v>
      </c>
      <c r="G8" s="222">
        <v>0</v>
      </c>
      <c r="H8" s="222">
        <v>0</v>
      </c>
      <c r="I8" s="222">
        <v>10</v>
      </c>
      <c r="J8" s="222">
        <v>15</v>
      </c>
      <c r="K8" s="222">
        <v>25</v>
      </c>
    </row>
    <row r="9" spans="1:11" ht="13.5" customHeight="1">
      <c r="A9" s="429" t="s">
        <v>426</v>
      </c>
      <c r="B9" s="269"/>
      <c r="C9" s="225">
        <v>3180</v>
      </c>
      <c r="D9" s="225">
        <v>1709</v>
      </c>
      <c r="E9" s="225">
        <v>4889</v>
      </c>
      <c r="F9" s="225">
        <v>0</v>
      </c>
      <c r="G9" s="225">
        <v>2</v>
      </c>
      <c r="H9" s="225">
        <v>2</v>
      </c>
      <c r="I9" s="225">
        <v>7956</v>
      </c>
      <c r="J9" s="225">
        <v>4723</v>
      </c>
      <c r="K9" s="225">
        <v>12679</v>
      </c>
    </row>
    <row r="10" spans="1:11" ht="13.5" customHeight="1">
      <c r="A10" s="429" t="s">
        <v>410</v>
      </c>
      <c r="B10" s="269"/>
      <c r="C10" s="222">
        <v>535</v>
      </c>
      <c r="D10" s="222">
        <v>477</v>
      </c>
      <c r="E10" s="222">
        <v>1012</v>
      </c>
      <c r="F10" s="222">
        <v>338</v>
      </c>
      <c r="G10" s="222">
        <v>476</v>
      </c>
      <c r="H10" s="222">
        <v>814</v>
      </c>
      <c r="I10" s="222">
        <v>20177</v>
      </c>
      <c r="J10" s="222">
        <v>29653</v>
      </c>
      <c r="K10" s="222">
        <v>49830</v>
      </c>
    </row>
    <row r="11" spans="1:11" ht="13.5" customHeight="1">
      <c r="A11" s="853" t="s">
        <v>366</v>
      </c>
      <c r="B11" s="224" t="s">
        <v>366</v>
      </c>
      <c r="C11" s="222">
        <v>853</v>
      </c>
      <c r="D11" s="222">
        <v>994</v>
      </c>
      <c r="E11" s="222">
        <v>1847</v>
      </c>
      <c r="F11" s="222">
        <v>590</v>
      </c>
      <c r="G11" s="222">
        <v>1109</v>
      </c>
      <c r="H11" s="222">
        <v>1699</v>
      </c>
      <c r="I11" s="222">
        <v>70678</v>
      </c>
      <c r="J11" s="222">
        <v>117453</v>
      </c>
      <c r="K11" s="222">
        <v>188131</v>
      </c>
    </row>
    <row r="12" spans="1:11" ht="13.5" customHeight="1">
      <c r="A12" s="965"/>
      <c r="B12" s="224" t="s">
        <v>427</v>
      </c>
      <c r="C12" s="222"/>
      <c r="D12" s="222"/>
      <c r="E12" s="222"/>
      <c r="F12" s="222">
        <v>0</v>
      </c>
      <c r="G12" s="222">
        <v>3</v>
      </c>
      <c r="H12" s="222">
        <v>3</v>
      </c>
      <c r="I12" s="222">
        <v>20</v>
      </c>
      <c r="J12" s="222">
        <v>10</v>
      </c>
      <c r="K12" s="222">
        <v>30</v>
      </c>
    </row>
    <row r="13" spans="1:11" ht="13.5" customHeight="1">
      <c r="A13" s="429" t="s">
        <v>428</v>
      </c>
      <c r="B13" s="269"/>
      <c r="C13" s="225">
        <v>853</v>
      </c>
      <c r="D13" s="225">
        <v>994</v>
      </c>
      <c r="E13" s="225">
        <v>1847</v>
      </c>
      <c r="F13" s="225">
        <v>590</v>
      </c>
      <c r="G13" s="225">
        <v>1112</v>
      </c>
      <c r="H13" s="225">
        <v>1702</v>
      </c>
      <c r="I13" s="225">
        <v>70698</v>
      </c>
      <c r="J13" s="225">
        <v>117463</v>
      </c>
      <c r="K13" s="225">
        <v>188161</v>
      </c>
    </row>
    <row r="14" spans="1:11" ht="13.5" customHeight="1">
      <c r="A14" s="429" t="s">
        <v>420</v>
      </c>
      <c r="B14" s="269"/>
      <c r="C14" s="222">
        <v>4</v>
      </c>
      <c r="D14" s="222">
        <v>1</v>
      </c>
      <c r="E14" s="222">
        <v>5</v>
      </c>
      <c r="F14" s="222">
        <v>0</v>
      </c>
      <c r="G14" s="222">
        <v>0</v>
      </c>
      <c r="H14" s="222">
        <v>0</v>
      </c>
      <c r="I14" s="222">
        <v>132</v>
      </c>
      <c r="J14" s="222">
        <v>165</v>
      </c>
      <c r="K14" s="222">
        <v>297</v>
      </c>
    </row>
    <row r="15" spans="1:11" ht="13.5" customHeight="1">
      <c r="A15" s="429" t="s">
        <v>166</v>
      </c>
      <c r="B15" s="269"/>
      <c r="C15" s="222">
        <v>37</v>
      </c>
      <c r="D15" s="222">
        <v>48</v>
      </c>
      <c r="E15" s="222">
        <v>85</v>
      </c>
      <c r="F15" s="222">
        <v>26</v>
      </c>
      <c r="G15" s="222">
        <v>47</v>
      </c>
      <c r="H15" s="222">
        <v>73</v>
      </c>
      <c r="I15" s="222">
        <v>1687</v>
      </c>
      <c r="J15" s="222">
        <v>3451</v>
      </c>
      <c r="K15" s="222">
        <v>5138</v>
      </c>
    </row>
    <row r="16" spans="1:11" ht="13.5" customHeight="1">
      <c r="A16" s="429" t="s">
        <v>419</v>
      </c>
      <c r="B16" s="269"/>
      <c r="C16" s="222">
        <v>15</v>
      </c>
      <c r="D16" s="222">
        <v>7</v>
      </c>
      <c r="E16" s="222">
        <v>22</v>
      </c>
      <c r="F16" s="222">
        <v>18</v>
      </c>
      <c r="G16" s="222">
        <v>2</v>
      </c>
      <c r="H16" s="222">
        <v>20</v>
      </c>
      <c r="I16" s="222">
        <v>903</v>
      </c>
      <c r="J16" s="222">
        <v>561</v>
      </c>
      <c r="K16" s="222">
        <v>1464</v>
      </c>
    </row>
    <row r="17" spans="1:11" ht="13.5" customHeight="1">
      <c r="A17" s="966" t="s">
        <v>414</v>
      </c>
      <c r="B17" s="221" t="s">
        <v>414</v>
      </c>
      <c r="C17" s="222">
        <v>10</v>
      </c>
      <c r="D17" s="222">
        <v>5</v>
      </c>
      <c r="E17" s="222">
        <v>15</v>
      </c>
      <c r="F17" s="222">
        <v>0</v>
      </c>
      <c r="G17" s="222">
        <v>0</v>
      </c>
      <c r="H17" s="222">
        <v>0</v>
      </c>
      <c r="I17" s="222">
        <v>439</v>
      </c>
      <c r="J17" s="222">
        <v>468</v>
      </c>
      <c r="K17" s="222">
        <v>907</v>
      </c>
    </row>
    <row r="18" spans="1:11" ht="13.5" customHeight="1">
      <c r="A18" s="852"/>
      <c r="B18" s="221" t="s">
        <v>429</v>
      </c>
      <c r="C18" s="222">
        <v>0</v>
      </c>
      <c r="D18" s="222">
        <v>0</v>
      </c>
      <c r="E18" s="222">
        <v>0</v>
      </c>
      <c r="F18" s="222"/>
      <c r="G18" s="222"/>
      <c r="H18" s="222"/>
      <c r="I18" s="222">
        <v>56</v>
      </c>
      <c r="J18" s="222">
        <v>241</v>
      </c>
      <c r="K18" s="222">
        <v>297</v>
      </c>
    </row>
    <row r="19" spans="1:11" ht="13.5" customHeight="1">
      <c r="A19" s="429" t="s">
        <v>430</v>
      </c>
      <c r="B19" s="269"/>
      <c r="C19" s="225">
        <v>10</v>
      </c>
      <c r="D19" s="225">
        <v>5</v>
      </c>
      <c r="E19" s="225">
        <v>15</v>
      </c>
      <c r="F19" s="225">
        <v>0</v>
      </c>
      <c r="G19" s="225">
        <v>0</v>
      </c>
      <c r="H19" s="225">
        <v>0</v>
      </c>
      <c r="I19" s="225">
        <v>495</v>
      </c>
      <c r="J19" s="225">
        <v>709</v>
      </c>
      <c r="K19" s="225">
        <v>1204</v>
      </c>
    </row>
    <row r="20" spans="1:11" ht="15">
      <c r="A20" s="429" t="s">
        <v>431</v>
      </c>
      <c r="B20" s="269"/>
      <c r="C20" s="225">
        <v>0</v>
      </c>
      <c r="D20" s="225">
        <v>0</v>
      </c>
      <c r="E20" s="225">
        <v>0</v>
      </c>
      <c r="F20" s="222">
        <v>1</v>
      </c>
      <c r="G20" s="222">
        <v>6</v>
      </c>
      <c r="H20" s="222">
        <v>7</v>
      </c>
      <c r="I20" s="222">
        <v>0</v>
      </c>
      <c r="J20" s="222">
        <v>22</v>
      </c>
      <c r="K20" s="222">
        <v>22</v>
      </c>
    </row>
    <row r="21" spans="1:11" ht="13.5" customHeight="1">
      <c r="A21" s="429" t="s">
        <v>167</v>
      </c>
      <c r="B21" s="269"/>
      <c r="C21" s="222">
        <v>615</v>
      </c>
      <c r="D21" s="222">
        <v>832</v>
      </c>
      <c r="E21" s="222">
        <v>1447</v>
      </c>
      <c r="F21" s="222">
        <v>242</v>
      </c>
      <c r="G21" s="222">
        <v>458</v>
      </c>
      <c r="H21" s="222">
        <v>700</v>
      </c>
      <c r="I21" s="222">
        <v>38589</v>
      </c>
      <c r="J21" s="222">
        <v>60593</v>
      </c>
      <c r="K21" s="222">
        <v>99182</v>
      </c>
    </row>
    <row r="22" spans="1:11" ht="13.5" customHeight="1">
      <c r="A22" s="966" t="s">
        <v>367</v>
      </c>
      <c r="B22" s="221" t="s">
        <v>373</v>
      </c>
      <c r="C22" s="222">
        <v>293</v>
      </c>
      <c r="D22" s="222">
        <v>150</v>
      </c>
      <c r="E22" s="222">
        <v>443</v>
      </c>
      <c r="F22" s="222">
        <v>0</v>
      </c>
      <c r="G22" s="222">
        <v>0</v>
      </c>
      <c r="H22" s="222">
        <v>0</v>
      </c>
      <c r="I22" s="222">
        <v>9354</v>
      </c>
      <c r="J22" s="222">
        <v>4555</v>
      </c>
      <c r="K22" s="222">
        <v>13909</v>
      </c>
    </row>
    <row r="23" spans="1:11" ht="13.5" customHeight="1">
      <c r="A23" s="851"/>
      <c r="B23" s="221" t="s">
        <v>371</v>
      </c>
      <c r="C23" s="222">
        <v>433</v>
      </c>
      <c r="D23" s="222">
        <v>416</v>
      </c>
      <c r="E23" s="222">
        <v>849</v>
      </c>
      <c r="F23" s="222"/>
      <c r="G23" s="222"/>
      <c r="H23" s="222"/>
      <c r="I23" s="222">
        <v>5092</v>
      </c>
      <c r="J23" s="222">
        <v>7675</v>
      </c>
      <c r="K23" s="222">
        <v>12767</v>
      </c>
    </row>
    <row r="24" spans="1:11" ht="13.5" customHeight="1">
      <c r="A24" s="851"/>
      <c r="B24" s="221" t="s">
        <v>369</v>
      </c>
      <c r="C24" s="222">
        <v>478</v>
      </c>
      <c r="D24" s="222">
        <v>285</v>
      </c>
      <c r="E24" s="222">
        <v>763</v>
      </c>
      <c r="F24" s="222"/>
      <c r="G24" s="222"/>
      <c r="H24" s="222"/>
      <c r="I24" s="222">
        <v>4756</v>
      </c>
      <c r="J24" s="222">
        <v>6453</v>
      </c>
      <c r="K24" s="222">
        <v>11209</v>
      </c>
    </row>
    <row r="25" spans="1:11" ht="13.5" customHeight="1">
      <c r="A25" s="851"/>
      <c r="B25" s="221" t="s">
        <v>368</v>
      </c>
      <c r="C25" s="222">
        <v>650</v>
      </c>
      <c r="D25" s="222">
        <v>143</v>
      </c>
      <c r="E25" s="222">
        <v>793</v>
      </c>
      <c r="F25" s="222"/>
      <c r="G25" s="222"/>
      <c r="H25" s="222"/>
      <c r="I25" s="222">
        <v>9456</v>
      </c>
      <c r="J25" s="222">
        <v>1167</v>
      </c>
      <c r="K25" s="222">
        <v>10623</v>
      </c>
    </row>
    <row r="26" spans="1:11" ht="13.5" customHeight="1">
      <c r="A26" s="851"/>
      <c r="B26" s="221" t="s">
        <v>376</v>
      </c>
      <c r="C26" s="222">
        <v>1138</v>
      </c>
      <c r="D26" s="222">
        <v>602</v>
      </c>
      <c r="E26" s="222">
        <v>1740</v>
      </c>
      <c r="F26" s="222">
        <v>2</v>
      </c>
      <c r="G26" s="222">
        <v>23</v>
      </c>
      <c r="H26" s="222">
        <v>25</v>
      </c>
      <c r="I26" s="222">
        <v>6415</v>
      </c>
      <c r="J26" s="222">
        <v>3230</v>
      </c>
      <c r="K26" s="222">
        <v>9645</v>
      </c>
    </row>
    <row r="27" spans="1:11" ht="13.5" customHeight="1">
      <c r="A27" s="851"/>
      <c r="B27" s="221" t="s">
        <v>375</v>
      </c>
      <c r="C27" s="222">
        <v>462</v>
      </c>
      <c r="D27" s="222">
        <v>193</v>
      </c>
      <c r="E27" s="222">
        <v>655</v>
      </c>
      <c r="F27" s="222">
        <v>0</v>
      </c>
      <c r="G27" s="222">
        <v>0</v>
      </c>
      <c r="H27" s="222">
        <v>0</v>
      </c>
      <c r="I27" s="222">
        <v>4129</v>
      </c>
      <c r="J27" s="222">
        <v>2802</v>
      </c>
      <c r="K27" s="222">
        <v>6931</v>
      </c>
    </row>
    <row r="28" spans="1:11" ht="13.5" customHeight="1">
      <c r="A28" s="851"/>
      <c r="B28" s="221" t="s">
        <v>379</v>
      </c>
      <c r="C28" s="222">
        <v>15</v>
      </c>
      <c r="D28" s="222">
        <v>30</v>
      </c>
      <c r="E28" s="222">
        <v>45</v>
      </c>
      <c r="F28" s="222"/>
      <c r="G28" s="222"/>
      <c r="H28" s="222"/>
      <c r="I28" s="222">
        <v>598</v>
      </c>
      <c r="J28" s="222">
        <v>808</v>
      </c>
      <c r="K28" s="222">
        <v>1406</v>
      </c>
    </row>
    <row r="29" spans="1:11" ht="13.5" customHeight="1">
      <c r="A29" s="851"/>
      <c r="B29" s="221" t="s">
        <v>377</v>
      </c>
      <c r="C29" s="222">
        <v>36</v>
      </c>
      <c r="D29" s="222">
        <v>38</v>
      </c>
      <c r="E29" s="222">
        <v>74</v>
      </c>
      <c r="F29" s="222">
        <v>1</v>
      </c>
      <c r="G29" s="222">
        <v>5</v>
      </c>
      <c r="H29" s="222">
        <v>6</v>
      </c>
      <c r="I29" s="222">
        <v>528</v>
      </c>
      <c r="J29" s="222">
        <v>690</v>
      </c>
      <c r="K29" s="222">
        <v>1218</v>
      </c>
    </row>
    <row r="30" spans="1:11" ht="13.5" customHeight="1">
      <c r="A30" s="851"/>
      <c r="B30" s="221" t="s">
        <v>378</v>
      </c>
      <c r="C30" s="222">
        <v>120</v>
      </c>
      <c r="D30" s="222">
        <v>80</v>
      </c>
      <c r="E30" s="222">
        <v>200</v>
      </c>
      <c r="F30" s="222"/>
      <c r="G30" s="222"/>
      <c r="H30" s="222"/>
      <c r="I30" s="222">
        <v>637</v>
      </c>
      <c r="J30" s="222">
        <v>409</v>
      </c>
      <c r="K30" s="222">
        <v>1046</v>
      </c>
    </row>
    <row r="31" spans="1:11" ht="13.5" customHeight="1">
      <c r="A31" s="851"/>
      <c r="B31" s="221" t="s">
        <v>387</v>
      </c>
      <c r="C31" s="222">
        <v>2</v>
      </c>
      <c r="D31" s="222">
        <v>7</v>
      </c>
      <c r="E31" s="222">
        <v>9</v>
      </c>
      <c r="F31" s="222"/>
      <c r="G31" s="222"/>
      <c r="H31" s="222"/>
      <c r="I31" s="222">
        <v>269</v>
      </c>
      <c r="J31" s="222">
        <v>310</v>
      </c>
      <c r="K31" s="222">
        <v>579</v>
      </c>
    </row>
    <row r="32" spans="1:11" ht="13.5" customHeight="1">
      <c r="A32" s="851"/>
      <c r="B32" s="221" t="s">
        <v>380</v>
      </c>
      <c r="C32" s="222">
        <v>84</v>
      </c>
      <c r="D32" s="222">
        <v>71</v>
      </c>
      <c r="E32" s="222">
        <v>155</v>
      </c>
      <c r="F32" s="222"/>
      <c r="G32" s="222"/>
      <c r="H32" s="222"/>
      <c r="I32" s="222">
        <v>323</v>
      </c>
      <c r="J32" s="222">
        <v>231</v>
      </c>
      <c r="K32" s="222">
        <v>554</v>
      </c>
    </row>
    <row r="33" spans="1:11" ht="13.5" customHeight="1">
      <c r="A33" s="851"/>
      <c r="B33" s="221" t="s">
        <v>382</v>
      </c>
      <c r="C33" s="222">
        <v>115</v>
      </c>
      <c r="D33" s="222">
        <v>33</v>
      </c>
      <c r="E33" s="222">
        <v>148</v>
      </c>
      <c r="F33" s="222"/>
      <c r="G33" s="222"/>
      <c r="H33" s="222"/>
      <c r="I33" s="222">
        <v>470</v>
      </c>
      <c r="J33" s="222">
        <v>80</v>
      </c>
      <c r="K33" s="222">
        <v>550</v>
      </c>
    </row>
    <row r="34" spans="1:11" ht="13.5" customHeight="1">
      <c r="A34" s="851"/>
      <c r="B34" s="224" t="s">
        <v>383</v>
      </c>
      <c r="C34" s="222">
        <v>9</v>
      </c>
      <c r="D34" s="222">
        <v>26</v>
      </c>
      <c r="E34" s="222">
        <v>35</v>
      </c>
      <c r="F34" s="222"/>
      <c r="G34" s="222"/>
      <c r="H34" s="222"/>
      <c r="I34" s="222">
        <v>139</v>
      </c>
      <c r="J34" s="222">
        <v>250</v>
      </c>
      <c r="K34" s="222">
        <v>389</v>
      </c>
    </row>
    <row r="35" spans="1:11" ht="13.5" customHeight="1">
      <c r="A35" s="851"/>
      <c r="B35" s="224" t="s">
        <v>381</v>
      </c>
      <c r="C35" s="222">
        <v>50</v>
      </c>
      <c r="D35" s="222">
        <v>4</v>
      </c>
      <c r="E35" s="222">
        <v>54</v>
      </c>
      <c r="F35" s="222"/>
      <c r="G35" s="222"/>
      <c r="H35" s="222"/>
      <c r="I35" s="222">
        <v>250</v>
      </c>
      <c r="J35" s="222">
        <v>48</v>
      </c>
      <c r="K35" s="222">
        <v>298</v>
      </c>
    </row>
    <row r="36" spans="1:11" ht="13.5" customHeight="1">
      <c r="A36" s="851"/>
      <c r="B36" s="221" t="s">
        <v>385</v>
      </c>
      <c r="C36" s="222">
        <v>16</v>
      </c>
      <c r="D36" s="222">
        <v>5</v>
      </c>
      <c r="E36" s="222">
        <v>21</v>
      </c>
      <c r="F36" s="222"/>
      <c r="G36" s="222"/>
      <c r="H36" s="222"/>
      <c r="I36" s="222">
        <v>140</v>
      </c>
      <c r="J36" s="222">
        <v>12</v>
      </c>
      <c r="K36" s="222">
        <v>152</v>
      </c>
    </row>
    <row r="37" spans="1:11" ht="13.5" customHeight="1">
      <c r="A37" s="851"/>
      <c r="B37" s="221" t="s">
        <v>384</v>
      </c>
      <c r="C37" s="222">
        <v>7</v>
      </c>
      <c r="D37" s="222">
        <v>1</v>
      </c>
      <c r="E37" s="222">
        <v>8</v>
      </c>
      <c r="F37" s="222"/>
      <c r="G37" s="222"/>
      <c r="H37" s="222"/>
      <c r="I37" s="222">
        <v>101</v>
      </c>
      <c r="J37" s="222">
        <v>11</v>
      </c>
      <c r="K37" s="222">
        <v>112</v>
      </c>
    </row>
    <row r="38" spans="1:11" ht="13.5" customHeight="1">
      <c r="A38" s="851"/>
      <c r="B38" s="221" t="s">
        <v>386</v>
      </c>
      <c r="C38" s="222">
        <v>5</v>
      </c>
      <c r="D38" s="222">
        <v>4</v>
      </c>
      <c r="E38" s="222">
        <v>9</v>
      </c>
      <c r="F38" s="222"/>
      <c r="G38" s="222"/>
      <c r="H38" s="222"/>
      <c r="I38" s="222">
        <v>34</v>
      </c>
      <c r="J38" s="222">
        <v>23</v>
      </c>
      <c r="K38" s="222">
        <v>57</v>
      </c>
    </row>
    <row r="39" spans="1:11" ht="13.5" customHeight="1">
      <c r="A39" s="851"/>
      <c r="B39" s="221" t="s">
        <v>432</v>
      </c>
      <c r="C39" s="222"/>
      <c r="D39" s="222"/>
      <c r="E39" s="222"/>
      <c r="F39" s="222"/>
      <c r="G39" s="222"/>
      <c r="H39" s="222"/>
      <c r="I39" s="222">
        <v>34</v>
      </c>
      <c r="J39" s="222">
        <v>23</v>
      </c>
      <c r="K39" s="222">
        <v>57</v>
      </c>
    </row>
    <row r="40" spans="1:11" ht="13.5" customHeight="1">
      <c r="A40" s="852"/>
      <c r="B40" s="224" t="s">
        <v>433</v>
      </c>
      <c r="C40" s="222"/>
      <c r="D40" s="222"/>
      <c r="E40" s="222"/>
      <c r="F40" s="222"/>
      <c r="G40" s="222"/>
      <c r="H40" s="222"/>
      <c r="I40" s="222">
        <v>1</v>
      </c>
      <c r="J40" s="222">
        <v>0</v>
      </c>
      <c r="K40" s="222">
        <v>1</v>
      </c>
    </row>
    <row r="41" spans="1:11" ht="13.5" customHeight="1">
      <c r="A41" s="429" t="s">
        <v>388</v>
      </c>
      <c r="B41" s="269"/>
      <c r="C41" s="225">
        <v>3913</v>
      </c>
      <c r="D41" s="225">
        <v>2088</v>
      </c>
      <c r="E41" s="225">
        <v>6001</v>
      </c>
      <c r="F41" s="225">
        <v>3</v>
      </c>
      <c r="G41" s="225">
        <v>28</v>
      </c>
      <c r="H41" s="225">
        <v>31</v>
      </c>
      <c r="I41" s="225">
        <v>42726</v>
      </c>
      <c r="J41" s="225">
        <v>28777</v>
      </c>
      <c r="K41" s="225">
        <v>71503</v>
      </c>
    </row>
    <row r="42" spans="1:11" ht="13.5" customHeight="1">
      <c r="A42" s="429" t="s">
        <v>412</v>
      </c>
      <c r="B42" s="269"/>
      <c r="C42" s="222">
        <v>2</v>
      </c>
      <c r="D42" s="222">
        <v>9</v>
      </c>
      <c r="E42" s="222">
        <v>11</v>
      </c>
      <c r="F42" s="222">
        <v>2</v>
      </c>
      <c r="G42" s="222">
        <v>6</v>
      </c>
      <c r="H42" s="222">
        <v>8</v>
      </c>
      <c r="I42" s="222">
        <v>72</v>
      </c>
      <c r="J42" s="222">
        <v>785</v>
      </c>
      <c r="K42" s="222">
        <v>857</v>
      </c>
    </row>
    <row r="43" spans="1:11" ht="13.5" customHeight="1">
      <c r="A43" s="853" t="s">
        <v>168</v>
      </c>
      <c r="B43" s="221" t="s">
        <v>168</v>
      </c>
      <c r="C43" s="222">
        <v>35</v>
      </c>
      <c r="D43" s="222">
        <v>41</v>
      </c>
      <c r="E43" s="222">
        <v>76</v>
      </c>
      <c r="F43" s="222">
        <v>56</v>
      </c>
      <c r="G43" s="222">
        <v>61</v>
      </c>
      <c r="H43" s="222">
        <v>117</v>
      </c>
      <c r="I43" s="222">
        <v>539</v>
      </c>
      <c r="J43" s="222">
        <v>679</v>
      </c>
      <c r="K43" s="222">
        <v>1218</v>
      </c>
    </row>
    <row r="44" spans="1:11" ht="13.5" customHeight="1">
      <c r="A44" s="854"/>
      <c r="B44" s="221" t="s">
        <v>436</v>
      </c>
      <c r="C44" s="222">
        <v>20</v>
      </c>
      <c r="D44" s="222">
        <v>28</v>
      </c>
      <c r="E44" s="222">
        <v>48</v>
      </c>
      <c r="F44" s="222">
        <v>8</v>
      </c>
      <c r="G44" s="222">
        <v>6</v>
      </c>
      <c r="H44" s="222">
        <v>14</v>
      </c>
      <c r="I44" s="222">
        <v>326</v>
      </c>
      <c r="J44" s="222">
        <v>301</v>
      </c>
      <c r="K44" s="222">
        <v>627</v>
      </c>
    </row>
    <row r="45" spans="1:11" ht="13.5" customHeight="1">
      <c r="A45" s="854"/>
      <c r="B45" s="221" t="s">
        <v>435</v>
      </c>
      <c r="C45" s="222">
        <v>26</v>
      </c>
      <c r="D45" s="222">
        <v>42</v>
      </c>
      <c r="E45" s="222">
        <v>68</v>
      </c>
      <c r="F45" s="222">
        <v>12</v>
      </c>
      <c r="G45" s="222">
        <v>10</v>
      </c>
      <c r="H45" s="222">
        <v>22</v>
      </c>
      <c r="I45" s="222">
        <v>247</v>
      </c>
      <c r="J45" s="222">
        <v>378</v>
      </c>
      <c r="K45" s="222">
        <v>625</v>
      </c>
    </row>
    <row r="46" spans="1:11" ht="13.5" customHeight="1">
      <c r="A46" s="965"/>
      <c r="B46" s="224" t="s">
        <v>434</v>
      </c>
      <c r="C46" s="222">
        <v>70</v>
      </c>
      <c r="D46" s="222">
        <v>65</v>
      </c>
      <c r="E46" s="222">
        <v>135</v>
      </c>
      <c r="F46" s="222">
        <v>1</v>
      </c>
      <c r="G46" s="222">
        <v>6</v>
      </c>
      <c r="H46" s="222">
        <v>7</v>
      </c>
      <c r="I46" s="222">
        <v>230</v>
      </c>
      <c r="J46" s="222">
        <v>255</v>
      </c>
      <c r="K46" s="222">
        <v>485</v>
      </c>
    </row>
    <row r="47" spans="1:11" ht="13.5" customHeight="1">
      <c r="A47" s="429" t="s">
        <v>437</v>
      </c>
      <c r="B47" s="269"/>
      <c r="C47" s="225">
        <v>151</v>
      </c>
      <c r="D47" s="225">
        <v>176</v>
      </c>
      <c r="E47" s="225">
        <v>327</v>
      </c>
      <c r="F47" s="225">
        <v>77</v>
      </c>
      <c r="G47" s="225">
        <v>83</v>
      </c>
      <c r="H47" s="225">
        <v>160</v>
      </c>
      <c r="I47" s="225">
        <v>1342</v>
      </c>
      <c r="J47" s="225">
        <v>1613</v>
      </c>
      <c r="K47" s="225">
        <v>2955</v>
      </c>
    </row>
    <row r="48" spans="1:11" ht="13.5" customHeight="1">
      <c r="A48" s="429" t="s">
        <v>418</v>
      </c>
      <c r="B48" s="269"/>
      <c r="C48" s="222">
        <v>71</v>
      </c>
      <c r="D48" s="222">
        <v>30</v>
      </c>
      <c r="E48" s="222">
        <v>101</v>
      </c>
      <c r="F48" s="222">
        <v>0</v>
      </c>
      <c r="G48" s="222">
        <v>0</v>
      </c>
      <c r="H48" s="222">
        <v>0</v>
      </c>
      <c r="I48" s="222">
        <v>264</v>
      </c>
      <c r="J48" s="222">
        <v>216</v>
      </c>
      <c r="K48" s="222">
        <v>480</v>
      </c>
    </row>
    <row r="49" spans="1:11" ht="13.5" customHeight="1">
      <c r="A49" s="853" t="s">
        <v>775</v>
      </c>
      <c r="B49" s="221" t="s">
        <v>778</v>
      </c>
      <c r="C49" s="222"/>
      <c r="D49" s="222"/>
      <c r="E49" s="222"/>
      <c r="F49" s="222"/>
      <c r="G49" s="222"/>
      <c r="H49" s="222"/>
      <c r="I49" s="222">
        <v>17</v>
      </c>
      <c r="J49" s="222">
        <v>9</v>
      </c>
      <c r="K49" s="222">
        <v>26</v>
      </c>
    </row>
    <row r="50" spans="1:11" ht="13.5" customHeight="1">
      <c r="A50" s="854"/>
      <c r="B50" s="224" t="s">
        <v>777</v>
      </c>
      <c r="C50" s="222"/>
      <c r="D50" s="222"/>
      <c r="E50" s="222"/>
      <c r="F50" s="222"/>
      <c r="G50" s="222"/>
      <c r="H50" s="222"/>
      <c r="I50" s="222">
        <v>17</v>
      </c>
      <c r="J50" s="222">
        <v>3</v>
      </c>
      <c r="K50" s="222">
        <v>20</v>
      </c>
    </row>
    <row r="51" spans="1:11" ht="13.5" customHeight="1">
      <c r="A51" s="854"/>
      <c r="B51" s="221" t="s">
        <v>776</v>
      </c>
      <c r="C51" s="222"/>
      <c r="D51" s="222"/>
      <c r="E51" s="222"/>
      <c r="F51" s="222"/>
      <c r="G51" s="222"/>
      <c r="H51" s="222"/>
      <c r="I51" s="222">
        <v>6</v>
      </c>
      <c r="J51" s="222">
        <v>7</v>
      </c>
      <c r="K51" s="222">
        <v>13</v>
      </c>
    </row>
    <row r="52" spans="1:11" ht="13.5" customHeight="1">
      <c r="A52" s="965"/>
      <c r="B52" s="221" t="s">
        <v>779</v>
      </c>
      <c r="C52" s="222"/>
      <c r="D52" s="222"/>
      <c r="E52" s="222"/>
      <c r="F52" s="222"/>
      <c r="G52" s="222"/>
      <c r="H52" s="222"/>
      <c r="I52" s="222">
        <v>3</v>
      </c>
      <c r="J52" s="222">
        <v>0</v>
      </c>
      <c r="K52" s="222">
        <v>3</v>
      </c>
    </row>
    <row r="53" spans="1:11" ht="13.5" customHeight="1">
      <c r="A53" s="429" t="s">
        <v>780</v>
      </c>
      <c r="B53" s="269"/>
      <c r="C53" s="225"/>
      <c r="D53" s="225"/>
      <c r="E53" s="225"/>
      <c r="F53" s="225"/>
      <c r="G53" s="225"/>
      <c r="H53" s="225"/>
      <c r="I53" s="225">
        <v>43</v>
      </c>
      <c r="J53" s="225">
        <v>19</v>
      </c>
      <c r="K53" s="225">
        <v>62</v>
      </c>
    </row>
    <row r="54" spans="1:11" ht="13.5" customHeight="1">
      <c r="A54" s="855" t="s">
        <v>406</v>
      </c>
      <c r="B54" s="224" t="s">
        <v>438</v>
      </c>
      <c r="C54" s="222">
        <v>275</v>
      </c>
      <c r="D54" s="222">
        <v>570</v>
      </c>
      <c r="E54" s="222">
        <v>845</v>
      </c>
      <c r="F54" s="222">
        <v>391</v>
      </c>
      <c r="G54" s="222">
        <v>1409</v>
      </c>
      <c r="H54" s="222">
        <v>1800</v>
      </c>
      <c r="I54" s="222">
        <v>18406</v>
      </c>
      <c r="J54" s="222">
        <v>47229</v>
      </c>
      <c r="K54" s="222">
        <v>65635</v>
      </c>
    </row>
    <row r="55" spans="1:11" ht="13.5" customHeight="1">
      <c r="A55" s="856"/>
      <c r="B55" s="224" t="s">
        <v>439</v>
      </c>
      <c r="C55" s="222">
        <v>58</v>
      </c>
      <c r="D55" s="222">
        <v>22</v>
      </c>
      <c r="E55" s="222">
        <v>80</v>
      </c>
      <c r="F55" s="222">
        <v>82</v>
      </c>
      <c r="G55" s="222">
        <v>18</v>
      </c>
      <c r="H55" s="222">
        <v>100</v>
      </c>
      <c r="I55" s="222">
        <v>648</v>
      </c>
      <c r="J55" s="222">
        <v>692</v>
      </c>
      <c r="K55" s="222">
        <v>1340</v>
      </c>
    </row>
    <row r="56" spans="1:11" ht="13.5" customHeight="1">
      <c r="A56" s="856"/>
      <c r="B56" s="221" t="s">
        <v>440</v>
      </c>
      <c r="C56" s="222">
        <v>4</v>
      </c>
      <c r="D56" s="222">
        <v>7</v>
      </c>
      <c r="E56" s="222">
        <v>11</v>
      </c>
      <c r="F56" s="222">
        <v>3</v>
      </c>
      <c r="G56" s="222">
        <v>4</v>
      </c>
      <c r="H56" s="222">
        <v>7</v>
      </c>
      <c r="I56" s="222">
        <v>37</v>
      </c>
      <c r="J56" s="222">
        <v>107</v>
      </c>
      <c r="K56" s="222">
        <v>144</v>
      </c>
    </row>
    <row r="57" spans="1:11" ht="13.5" customHeight="1">
      <c r="A57" s="856"/>
      <c r="B57" s="221" t="s">
        <v>441</v>
      </c>
      <c r="C57" s="222">
        <v>2</v>
      </c>
      <c r="D57" s="222">
        <v>7</v>
      </c>
      <c r="E57" s="222">
        <v>9</v>
      </c>
      <c r="F57" s="222">
        <v>2</v>
      </c>
      <c r="G57" s="222">
        <v>3</v>
      </c>
      <c r="H57" s="222">
        <v>5</v>
      </c>
      <c r="I57" s="222">
        <v>17</v>
      </c>
      <c r="J57" s="222">
        <v>59</v>
      </c>
      <c r="K57" s="222">
        <v>76</v>
      </c>
    </row>
    <row r="58" spans="1:11" ht="13.5" customHeight="1">
      <c r="A58" s="857"/>
      <c r="B58" s="221" t="s">
        <v>442</v>
      </c>
      <c r="C58" s="222">
        <v>6</v>
      </c>
      <c r="D58" s="222">
        <v>3</v>
      </c>
      <c r="E58" s="222">
        <v>9</v>
      </c>
      <c r="F58" s="222">
        <v>5</v>
      </c>
      <c r="G58" s="222">
        <v>1</v>
      </c>
      <c r="H58" s="222">
        <v>6</v>
      </c>
      <c r="I58" s="222">
        <v>7</v>
      </c>
      <c r="J58" s="222">
        <v>13</v>
      </c>
      <c r="K58" s="222">
        <v>20</v>
      </c>
    </row>
    <row r="59" spans="1:11" ht="13.5" customHeight="1">
      <c r="A59" s="429" t="s">
        <v>443</v>
      </c>
      <c r="B59" s="269"/>
      <c r="C59" s="225">
        <v>345</v>
      </c>
      <c r="D59" s="225">
        <v>609</v>
      </c>
      <c r="E59" s="225">
        <v>954</v>
      </c>
      <c r="F59" s="225">
        <v>483</v>
      </c>
      <c r="G59" s="225">
        <v>1435</v>
      </c>
      <c r="H59" s="225">
        <v>1918</v>
      </c>
      <c r="I59" s="225">
        <v>19115</v>
      </c>
      <c r="J59" s="225">
        <v>48100</v>
      </c>
      <c r="K59" s="225">
        <v>67215</v>
      </c>
    </row>
    <row r="60" spans="1:11" ht="13.5" customHeight="1">
      <c r="A60" s="429" t="s">
        <v>421</v>
      </c>
      <c r="B60" s="269"/>
      <c r="C60" s="222">
        <v>17</v>
      </c>
      <c r="D60" s="222">
        <v>11</v>
      </c>
      <c r="E60" s="222">
        <v>28</v>
      </c>
      <c r="F60" s="222">
        <v>8</v>
      </c>
      <c r="G60" s="222">
        <v>9</v>
      </c>
      <c r="H60" s="222">
        <v>17</v>
      </c>
      <c r="I60" s="222">
        <v>82</v>
      </c>
      <c r="J60" s="222">
        <v>129</v>
      </c>
      <c r="K60" s="222">
        <v>211</v>
      </c>
    </row>
    <row r="61" spans="1:11" ht="13.5" customHeight="1">
      <c r="A61" s="853" t="s">
        <v>408</v>
      </c>
      <c r="B61" s="224" t="s">
        <v>408</v>
      </c>
      <c r="C61" s="222">
        <v>0</v>
      </c>
      <c r="D61" s="222">
        <v>217</v>
      </c>
      <c r="E61" s="222">
        <v>217</v>
      </c>
      <c r="F61" s="222">
        <v>0</v>
      </c>
      <c r="G61" s="222">
        <v>24</v>
      </c>
      <c r="H61" s="222">
        <v>24</v>
      </c>
      <c r="I61" s="222">
        <v>295</v>
      </c>
      <c r="J61" s="222">
        <v>3475</v>
      </c>
      <c r="K61" s="222">
        <v>3770</v>
      </c>
    </row>
    <row r="62" spans="1:11" ht="13.5" customHeight="1">
      <c r="A62" s="854"/>
      <c r="B62" s="221" t="s">
        <v>444</v>
      </c>
      <c r="C62" s="222">
        <v>0</v>
      </c>
      <c r="D62" s="222">
        <v>12</v>
      </c>
      <c r="E62" s="222">
        <v>12</v>
      </c>
      <c r="F62" s="222">
        <v>0</v>
      </c>
      <c r="G62" s="222">
        <v>12</v>
      </c>
      <c r="H62" s="222">
        <v>12</v>
      </c>
      <c r="I62" s="222">
        <v>67</v>
      </c>
      <c r="J62" s="222">
        <v>772</v>
      </c>
      <c r="K62" s="222">
        <v>839</v>
      </c>
    </row>
    <row r="63" spans="1:11" ht="13.5" customHeight="1">
      <c r="A63" s="965"/>
      <c r="B63" s="221" t="s">
        <v>383</v>
      </c>
      <c r="C63" s="222">
        <v>0</v>
      </c>
      <c r="D63" s="222">
        <v>8</v>
      </c>
      <c r="E63" s="222">
        <v>8</v>
      </c>
      <c r="F63" s="222">
        <v>0</v>
      </c>
      <c r="G63" s="222">
        <v>0</v>
      </c>
      <c r="H63" s="222">
        <v>0</v>
      </c>
      <c r="I63" s="222">
        <v>95</v>
      </c>
      <c r="J63" s="222">
        <v>361</v>
      </c>
      <c r="K63" s="222">
        <v>456</v>
      </c>
    </row>
    <row r="64" spans="1:11" ht="13.5" customHeight="1">
      <c r="A64" s="230" t="s">
        <v>445</v>
      </c>
      <c r="B64" s="230"/>
      <c r="C64" s="225">
        <v>0</v>
      </c>
      <c r="D64" s="225">
        <v>237</v>
      </c>
      <c r="E64" s="225">
        <v>237</v>
      </c>
      <c r="F64" s="225">
        <v>0</v>
      </c>
      <c r="G64" s="225">
        <v>36</v>
      </c>
      <c r="H64" s="225">
        <v>36</v>
      </c>
      <c r="I64" s="225">
        <v>457</v>
      </c>
      <c r="J64" s="225">
        <v>4608</v>
      </c>
      <c r="K64" s="225">
        <v>5065</v>
      </c>
    </row>
    <row r="65" spans="1:11" ht="13.5" customHeight="1">
      <c r="A65" s="429" t="s">
        <v>774</v>
      </c>
      <c r="B65" s="269"/>
      <c r="C65" s="222"/>
      <c r="D65" s="222"/>
      <c r="E65" s="222"/>
      <c r="F65" s="222"/>
      <c r="G65" s="222"/>
      <c r="H65" s="222"/>
      <c r="I65" s="222">
        <v>250</v>
      </c>
      <c r="J65" s="222">
        <v>105</v>
      </c>
      <c r="K65" s="222">
        <v>355</v>
      </c>
    </row>
    <row r="66" spans="1:11" ht="13.5" customHeight="1">
      <c r="A66" s="855" t="s">
        <v>405</v>
      </c>
      <c r="B66" s="221" t="s">
        <v>446</v>
      </c>
      <c r="C66" s="222">
        <v>333</v>
      </c>
      <c r="D66" s="222">
        <v>363</v>
      </c>
      <c r="E66" s="222">
        <v>696</v>
      </c>
      <c r="F66" s="222">
        <v>160</v>
      </c>
      <c r="G66" s="222">
        <v>284</v>
      </c>
      <c r="H66" s="222">
        <v>444</v>
      </c>
      <c r="I66" s="222">
        <v>14565</v>
      </c>
      <c r="J66" s="222">
        <v>36715</v>
      </c>
      <c r="K66" s="222">
        <v>51280</v>
      </c>
    </row>
    <row r="67" spans="1:11" ht="13.5" customHeight="1">
      <c r="A67" s="856"/>
      <c r="B67" s="224" t="s">
        <v>447</v>
      </c>
      <c r="C67" s="222">
        <v>110</v>
      </c>
      <c r="D67" s="222">
        <v>141</v>
      </c>
      <c r="E67" s="222">
        <v>251</v>
      </c>
      <c r="F67" s="222">
        <v>78</v>
      </c>
      <c r="G67" s="222">
        <v>100</v>
      </c>
      <c r="H67" s="222">
        <v>178</v>
      </c>
      <c r="I67" s="222">
        <v>7731</v>
      </c>
      <c r="J67" s="222">
        <v>11797</v>
      </c>
      <c r="K67" s="222">
        <v>19528</v>
      </c>
    </row>
    <row r="68" spans="1:11" ht="13.5" customHeight="1">
      <c r="A68" s="856"/>
      <c r="B68" s="221" t="s">
        <v>448</v>
      </c>
      <c r="C68" s="222">
        <v>84</v>
      </c>
      <c r="D68" s="222">
        <v>57</v>
      </c>
      <c r="E68" s="222">
        <v>141</v>
      </c>
      <c r="F68" s="222">
        <v>62</v>
      </c>
      <c r="G68" s="222">
        <v>53</v>
      </c>
      <c r="H68" s="222">
        <v>115</v>
      </c>
      <c r="I68" s="222">
        <v>3523</v>
      </c>
      <c r="J68" s="222">
        <v>9095</v>
      </c>
      <c r="K68" s="222">
        <v>12618</v>
      </c>
    </row>
    <row r="69" spans="1:11" ht="13.5" customHeight="1">
      <c r="A69" s="856"/>
      <c r="B69" s="221" t="s">
        <v>174</v>
      </c>
      <c r="C69" s="222">
        <v>193</v>
      </c>
      <c r="D69" s="222">
        <v>180</v>
      </c>
      <c r="E69" s="222">
        <v>373</v>
      </c>
      <c r="F69" s="222">
        <v>84</v>
      </c>
      <c r="G69" s="222">
        <v>105</v>
      </c>
      <c r="H69" s="222">
        <v>189</v>
      </c>
      <c r="I69" s="222">
        <v>2934</v>
      </c>
      <c r="J69" s="222">
        <v>6659</v>
      </c>
      <c r="K69" s="222">
        <v>9593</v>
      </c>
    </row>
    <row r="70" spans="1:11" ht="13.5" customHeight="1">
      <c r="A70" s="856"/>
      <c r="B70" s="224" t="s">
        <v>451</v>
      </c>
      <c r="C70" s="222">
        <v>102</v>
      </c>
      <c r="D70" s="222">
        <v>155</v>
      </c>
      <c r="E70" s="222">
        <v>257</v>
      </c>
      <c r="F70" s="222">
        <v>183</v>
      </c>
      <c r="G70" s="222">
        <v>714</v>
      </c>
      <c r="H70" s="222">
        <v>897</v>
      </c>
      <c r="I70" s="222">
        <v>1989</v>
      </c>
      <c r="J70" s="222">
        <v>6342</v>
      </c>
      <c r="K70" s="222">
        <v>8331</v>
      </c>
    </row>
    <row r="71" spans="1:11" ht="13.5" customHeight="1">
      <c r="A71" s="856"/>
      <c r="B71" s="221" t="s">
        <v>449</v>
      </c>
      <c r="C71" s="222">
        <v>76</v>
      </c>
      <c r="D71" s="222">
        <v>63</v>
      </c>
      <c r="E71" s="222">
        <v>139</v>
      </c>
      <c r="F71" s="222">
        <v>67</v>
      </c>
      <c r="G71" s="222">
        <v>21</v>
      </c>
      <c r="H71" s="222">
        <v>88</v>
      </c>
      <c r="I71" s="222">
        <v>2703</v>
      </c>
      <c r="J71" s="222">
        <v>5598</v>
      </c>
      <c r="K71" s="222">
        <v>8301</v>
      </c>
    </row>
    <row r="72" spans="1:11" ht="13.5" customHeight="1">
      <c r="A72" s="856"/>
      <c r="B72" s="221" t="s">
        <v>450</v>
      </c>
      <c r="C72" s="222">
        <v>58</v>
      </c>
      <c r="D72" s="222">
        <v>25</v>
      </c>
      <c r="E72" s="222">
        <v>83</v>
      </c>
      <c r="F72" s="222">
        <v>0</v>
      </c>
      <c r="G72" s="222">
        <v>6</v>
      </c>
      <c r="H72" s="222">
        <v>6</v>
      </c>
      <c r="I72" s="222">
        <v>2483</v>
      </c>
      <c r="J72" s="222">
        <v>4021</v>
      </c>
      <c r="K72" s="222">
        <v>6504</v>
      </c>
    </row>
    <row r="73" spans="1:11" ht="13.5" customHeight="1">
      <c r="A73" s="856"/>
      <c r="B73" s="221" t="s">
        <v>453</v>
      </c>
      <c r="C73" s="222">
        <v>27</v>
      </c>
      <c r="D73" s="222">
        <v>30</v>
      </c>
      <c r="E73" s="222">
        <v>57</v>
      </c>
      <c r="F73" s="222">
        <v>42</v>
      </c>
      <c r="G73" s="222">
        <v>35</v>
      </c>
      <c r="H73" s="222">
        <v>77</v>
      </c>
      <c r="I73" s="222">
        <v>529</v>
      </c>
      <c r="J73" s="222">
        <v>1999</v>
      </c>
      <c r="K73" s="222">
        <v>2528</v>
      </c>
    </row>
    <row r="74" spans="1:11" ht="13.5" customHeight="1">
      <c r="A74" s="856"/>
      <c r="B74" s="224" t="s">
        <v>452</v>
      </c>
      <c r="C74" s="222">
        <v>100</v>
      </c>
      <c r="D74" s="222">
        <v>52</v>
      </c>
      <c r="E74" s="222">
        <v>152</v>
      </c>
      <c r="F74" s="222">
        <v>1</v>
      </c>
      <c r="G74" s="222">
        <v>4</v>
      </c>
      <c r="H74" s="222">
        <v>5</v>
      </c>
      <c r="I74" s="222">
        <v>936</v>
      </c>
      <c r="J74" s="222">
        <v>1482</v>
      </c>
      <c r="K74" s="222">
        <v>2418</v>
      </c>
    </row>
    <row r="75" spans="1:11" ht="13.5" customHeight="1">
      <c r="A75" s="856"/>
      <c r="B75" s="224" t="s">
        <v>454</v>
      </c>
      <c r="C75" s="222">
        <v>18</v>
      </c>
      <c r="D75" s="222">
        <v>44</v>
      </c>
      <c r="E75" s="222">
        <v>62</v>
      </c>
      <c r="F75" s="222">
        <v>11</v>
      </c>
      <c r="G75" s="222">
        <v>33</v>
      </c>
      <c r="H75" s="222">
        <v>44</v>
      </c>
      <c r="I75" s="222">
        <v>215</v>
      </c>
      <c r="J75" s="222">
        <v>881</v>
      </c>
      <c r="K75" s="222">
        <v>1096</v>
      </c>
    </row>
    <row r="76" spans="1:11" ht="13.5" customHeight="1">
      <c r="A76" s="857"/>
      <c r="B76" s="224" t="s">
        <v>455</v>
      </c>
      <c r="C76" s="222">
        <v>30</v>
      </c>
      <c r="D76" s="222">
        <v>19</v>
      </c>
      <c r="E76" s="222">
        <v>49</v>
      </c>
      <c r="F76" s="222">
        <v>32</v>
      </c>
      <c r="G76" s="222">
        <v>54</v>
      </c>
      <c r="H76" s="222">
        <v>86</v>
      </c>
      <c r="I76" s="222">
        <v>291</v>
      </c>
      <c r="J76" s="222">
        <v>732</v>
      </c>
      <c r="K76" s="222">
        <v>1023</v>
      </c>
    </row>
    <row r="77" spans="1:11" ht="13.5" customHeight="1">
      <c r="A77" s="429" t="s">
        <v>456</v>
      </c>
      <c r="B77" s="269"/>
      <c r="C77" s="225">
        <v>1131</v>
      </c>
      <c r="D77" s="225">
        <v>1129</v>
      </c>
      <c r="E77" s="225">
        <v>2260</v>
      </c>
      <c r="F77" s="225">
        <v>720</v>
      </c>
      <c r="G77" s="225">
        <v>1409</v>
      </c>
      <c r="H77" s="225">
        <v>2129</v>
      </c>
      <c r="I77" s="225">
        <v>37899</v>
      </c>
      <c r="J77" s="225">
        <v>85321</v>
      </c>
      <c r="K77" s="225">
        <v>123220</v>
      </c>
    </row>
    <row r="78" spans="1:11" ht="13.5" customHeight="1">
      <c r="A78" s="853" t="s">
        <v>370</v>
      </c>
      <c r="B78" s="221" t="s">
        <v>457</v>
      </c>
      <c r="C78" s="222">
        <v>107</v>
      </c>
      <c r="D78" s="222">
        <v>116</v>
      </c>
      <c r="E78" s="222">
        <v>223</v>
      </c>
      <c r="F78" s="222">
        <v>25</v>
      </c>
      <c r="G78" s="222">
        <v>39</v>
      </c>
      <c r="H78" s="222">
        <v>64</v>
      </c>
      <c r="I78" s="222">
        <v>24742</v>
      </c>
      <c r="J78" s="222">
        <v>24225</v>
      </c>
      <c r="K78" s="222">
        <v>48967</v>
      </c>
    </row>
    <row r="79" spans="1:11" ht="13.5" customHeight="1">
      <c r="A79" s="854"/>
      <c r="B79" s="221" t="s">
        <v>458</v>
      </c>
      <c r="C79" s="222">
        <v>168</v>
      </c>
      <c r="D79" s="222">
        <v>208</v>
      </c>
      <c r="E79" s="222">
        <v>376</v>
      </c>
      <c r="F79" s="222">
        <v>121</v>
      </c>
      <c r="G79" s="222">
        <v>657</v>
      </c>
      <c r="H79" s="222">
        <v>778</v>
      </c>
      <c r="I79" s="222">
        <v>4176</v>
      </c>
      <c r="J79" s="222">
        <v>9626</v>
      </c>
      <c r="K79" s="222">
        <v>13802</v>
      </c>
    </row>
    <row r="80" spans="1:11" ht="13.5" customHeight="1">
      <c r="A80" s="854"/>
      <c r="B80" s="221" t="s">
        <v>377</v>
      </c>
      <c r="C80" s="222">
        <v>15</v>
      </c>
      <c r="D80" s="222">
        <v>12</v>
      </c>
      <c r="E80" s="222">
        <v>27</v>
      </c>
      <c r="F80" s="222">
        <v>6</v>
      </c>
      <c r="G80" s="222">
        <v>2</v>
      </c>
      <c r="H80" s="222">
        <v>8</v>
      </c>
      <c r="I80" s="222">
        <v>1865</v>
      </c>
      <c r="J80" s="222">
        <v>2391</v>
      </c>
      <c r="K80" s="222">
        <v>4256</v>
      </c>
    </row>
    <row r="81" spans="1:11" ht="13.5" customHeight="1">
      <c r="A81" s="854"/>
      <c r="B81" s="221" t="s">
        <v>459</v>
      </c>
      <c r="C81" s="222"/>
      <c r="D81" s="222"/>
      <c r="E81" s="222"/>
      <c r="F81" s="222"/>
      <c r="G81" s="222"/>
      <c r="H81" s="222"/>
      <c r="I81" s="222">
        <v>71</v>
      </c>
      <c r="J81" s="222">
        <v>70</v>
      </c>
      <c r="K81" s="222">
        <v>141</v>
      </c>
    </row>
    <row r="82" spans="1:11" ht="13.5" customHeight="1">
      <c r="A82" s="965"/>
      <c r="B82" s="221" t="s">
        <v>460</v>
      </c>
      <c r="C82" s="222"/>
      <c r="D82" s="222"/>
      <c r="E82" s="222"/>
      <c r="F82" s="222"/>
      <c r="G82" s="222"/>
      <c r="H82" s="222"/>
      <c r="I82" s="222">
        <v>18</v>
      </c>
      <c r="J82" s="222">
        <v>5</v>
      </c>
      <c r="K82" s="222">
        <v>23</v>
      </c>
    </row>
    <row r="83" spans="1:11" ht="13.5" customHeight="1">
      <c r="A83" s="429" t="s">
        <v>461</v>
      </c>
      <c r="B83" s="269"/>
      <c r="C83" s="225">
        <v>290</v>
      </c>
      <c r="D83" s="225">
        <v>336</v>
      </c>
      <c r="E83" s="225">
        <v>626</v>
      </c>
      <c r="F83" s="225">
        <v>152</v>
      </c>
      <c r="G83" s="225">
        <v>698</v>
      </c>
      <c r="H83" s="225">
        <v>850</v>
      </c>
      <c r="I83" s="225">
        <v>30872</v>
      </c>
      <c r="J83" s="225">
        <v>36317</v>
      </c>
      <c r="K83" s="225">
        <v>67189</v>
      </c>
    </row>
    <row r="84" spans="1:11" ht="13.5" customHeight="1">
      <c r="A84" s="429" t="s">
        <v>170</v>
      </c>
      <c r="B84" s="269"/>
      <c r="C84" s="222">
        <v>77</v>
      </c>
      <c r="D84" s="222">
        <v>63</v>
      </c>
      <c r="E84" s="222">
        <v>140</v>
      </c>
      <c r="F84" s="222">
        <v>42</v>
      </c>
      <c r="G84" s="222">
        <v>31</v>
      </c>
      <c r="H84" s="222">
        <v>73</v>
      </c>
      <c r="I84" s="222">
        <v>3421</v>
      </c>
      <c r="J84" s="222">
        <v>3629</v>
      </c>
      <c r="K84" s="222">
        <v>7050</v>
      </c>
    </row>
    <row r="85" spans="1:11" ht="13.5" customHeight="1">
      <c r="A85" s="855" t="s">
        <v>8</v>
      </c>
      <c r="B85" s="224" t="s">
        <v>8</v>
      </c>
      <c r="C85" s="222">
        <v>206</v>
      </c>
      <c r="D85" s="222">
        <v>185</v>
      </c>
      <c r="E85" s="222">
        <v>391</v>
      </c>
      <c r="F85" s="222">
        <v>9</v>
      </c>
      <c r="G85" s="222">
        <v>10</v>
      </c>
      <c r="H85" s="222">
        <v>19</v>
      </c>
      <c r="I85" s="222">
        <v>5334</v>
      </c>
      <c r="J85" s="222">
        <v>4943</v>
      </c>
      <c r="K85" s="222">
        <v>10277</v>
      </c>
    </row>
    <row r="86" spans="1:11" ht="13.5" customHeight="1">
      <c r="A86" s="856"/>
      <c r="B86" s="224" t="s">
        <v>463</v>
      </c>
      <c r="C86" s="222"/>
      <c r="D86" s="222"/>
      <c r="E86" s="222"/>
      <c r="F86" s="222">
        <v>0</v>
      </c>
      <c r="G86" s="222">
        <v>0</v>
      </c>
      <c r="H86" s="222">
        <v>0</v>
      </c>
      <c r="I86" s="222">
        <v>163</v>
      </c>
      <c r="J86" s="222">
        <v>127</v>
      </c>
      <c r="K86" s="222">
        <v>290</v>
      </c>
    </row>
    <row r="87" spans="1:11" ht="13.5" customHeight="1">
      <c r="A87" s="856"/>
      <c r="B87" s="224" t="s">
        <v>462</v>
      </c>
      <c r="C87" s="222"/>
      <c r="D87" s="222"/>
      <c r="E87" s="222"/>
      <c r="F87" s="222"/>
      <c r="G87" s="222"/>
      <c r="H87" s="222"/>
      <c r="I87" s="222">
        <v>44</v>
      </c>
      <c r="J87" s="222">
        <v>66</v>
      </c>
      <c r="K87" s="222">
        <v>110</v>
      </c>
    </row>
    <row r="88" spans="1:11" ht="13.5" customHeight="1">
      <c r="A88" s="856"/>
      <c r="B88" s="221" t="s">
        <v>465</v>
      </c>
      <c r="C88" s="222"/>
      <c r="D88" s="222"/>
      <c r="E88" s="222"/>
      <c r="F88" s="222"/>
      <c r="G88" s="222"/>
      <c r="H88" s="222"/>
      <c r="I88" s="222">
        <v>15</v>
      </c>
      <c r="J88" s="222">
        <v>14</v>
      </c>
      <c r="K88" s="222">
        <v>29</v>
      </c>
    </row>
    <row r="89" spans="1:11" ht="13.5" customHeight="1">
      <c r="A89" s="857"/>
      <c r="B89" s="221" t="s">
        <v>464</v>
      </c>
      <c r="C89" s="222"/>
      <c r="D89" s="222"/>
      <c r="E89" s="222"/>
      <c r="F89" s="222"/>
      <c r="G89" s="222"/>
      <c r="H89" s="222"/>
      <c r="I89" s="222">
        <v>1</v>
      </c>
      <c r="J89" s="222">
        <v>2</v>
      </c>
      <c r="K89" s="222">
        <v>3</v>
      </c>
    </row>
    <row r="90" spans="1:11" ht="13.5" customHeight="1">
      <c r="A90" s="429" t="s">
        <v>466</v>
      </c>
      <c r="B90" s="269"/>
      <c r="C90" s="225">
        <v>206</v>
      </c>
      <c r="D90" s="225">
        <v>185</v>
      </c>
      <c r="E90" s="225">
        <v>391</v>
      </c>
      <c r="F90" s="225">
        <v>9</v>
      </c>
      <c r="G90" s="225">
        <v>10</v>
      </c>
      <c r="H90" s="225">
        <v>19</v>
      </c>
      <c r="I90" s="225">
        <v>5557</v>
      </c>
      <c r="J90" s="225">
        <v>5152</v>
      </c>
      <c r="K90" s="225">
        <v>10709</v>
      </c>
    </row>
    <row r="91" spans="1:11" ht="13.5" customHeight="1">
      <c r="A91" s="429" t="s">
        <v>407</v>
      </c>
      <c r="B91" s="269"/>
      <c r="C91" s="222">
        <v>122</v>
      </c>
      <c r="D91" s="222">
        <v>75</v>
      </c>
      <c r="E91" s="222">
        <v>197</v>
      </c>
      <c r="F91" s="222">
        <v>44</v>
      </c>
      <c r="G91" s="222">
        <v>39</v>
      </c>
      <c r="H91" s="222">
        <v>83</v>
      </c>
      <c r="I91" s="222">
        <v>2664</v>
      </c>
      <c r="J91" s="222">
        <v>3703</v>
      </c>
      <c r="K91" s="222">
        <v>6367</v>
      </c>
    </row>
    <row r="92" spans="1:11" ht="13.5" customHeight="1">
      <c r="A92" s="429" t="s">
        <v>413</v>
      </c>
      <c r="B92" s="269"/>
      <c r="C92" s="222">
        <v>87</v>
      </c>
      <c r="D92" s="222">
        <v>77</v>
      </c>
      <c r="E92" s="222">
        <v>164</v>
      </c>
      <c r="F92" s="222">
        <v>45</v>
      </c>
      <c r="G92" s="222">
        <v>158</v>
      </c>
      <c r="H92" s="222">
        <v>203</v>
      </c>
      <c r="I92" s="222">
        <v>12</v>
      </c>
      <c r="J92" s="222">
        <v>80</v>
      </c>
      <c r="K92" s="222">
        <v>92</v>
      </c>
    </row>
    <row r="93" spans="1:11" ht="13.5" customHeight="1">
      <c r="A93" s="855" t="s">
        <v>404</v>
      </c>
      <c r="B93" s="221" t="s">
        <v>467</v>
      </c>
      <c r="C93" s="222">
        <v>359</v>
      </c>
      <c r="D93" s="222">
        <v>346</v>
      </c>
      <c r="E93" s="222">
        <v>705</v>
      </c>
      <c r="F93" s="222">
        <v>109</v>
      </c>
      <c r="G93" s="222">
        <v>133</v>
      </c>
      <c r="H93" s="222">
        <v>242</v>
      </c>
      <c r="I93" s="222">
        <v>122943</v>
      </c>
      <c r="J93" s="222">
        <v>94602</v>
      </c>
      <c r="K93" s="222">
        <v>217545</v>
      </c>
    </row>
    <row r="94" spans="1:11" ht="13.5" customHeight="1">
      <c r="A94" s="856"/>
      <c r="B94" s="221" t="s">
        <v>468</v>
      </c>
      <c r="C94" s="222">
        <v>385</v>
      </c>
      <c r="D94" s="222">
        <v>323</v>
      </c>
      <c r="E94" s="222">
        <v>708</v>
      </c>
      <c r="F94" s="222">
        <v>50</v>
      </c>
      <c r="G94" s="222">
        <v>115</v>
      </c>
      <c r="H94" s="222">
        <v>165</v>
      </c>
      <c r="I94" s="222">
        <v>5559</v>
      </c>
      <c r="J94" s="222">
        <v>3492</v>
      </c>
      <c r="K94" s="222">
        <v>9051</v>
      </c>
    </row>
    <row r="95" spans="1:11" ht="13.5" customHeight="1">
      <c r="A95" s="856"/>
      <c r="B95" s="221" t="s">
        <v>469</v>
      </c>
      <c r="C95" s="222">
        <v>158</v>
      </c>
      <c r="D95" s="222">
        <v>149</v>
      </c>
      <c r="E95" s="222">
        <v>307</v>
      </c>
      <c r="F95" s="222">
        <v>2</v>
      </c>
      <c r="G95" s="222">
        <v>15</v>
      </c>
      <c r="H95" s="222">
        <v>17</v>
      </c>
      <c r="I95" s="222">
        <v>1285</v>
      </c>
      <c r="J95" s="222">
        <v>844</v>
      </c>
      <c r="K95" s="222">
        <v>2129</v>
      </c>
    </row>
    <row r="96" spans="1:11" ht="13.5" customHeight="1">
      <c r="A96" s="856"/>
      <c r="B96" s="221" t="s">
        <v>470</v>
      </c>
      <c r="C96" s="222"/>
      <c r="D96" s="222"/>
      <c r="E96" s="222"/>
      <c r="F96" s="222"/>
      <c r="G96" s="222"/>
      <c r="H96" s="222"/>
      <c r="I96" s="222">
        <v>687</v>
      </c>
      <c r="J96" s="222">
        <v>421</v>
      </c>
      <c r="K96" s="222">
        <v>1108</v>
      </c>
    </row>
    <row r="97" spans="1:11" ht="13.5" customHeight="1">
      <c r="A97" s="856"/>
      <c r="B97" s="221" t="s">
        <v>395</v>
      </c>
      <c r="C97" s="222">
        <v>0</v>
      </c>
      <c r="D97" s="222">
        <v>0</v>
      </c>
      <c r="E97" s="222">
        <v>0</v>
      </c>
      <c r="F97" s="222">
        <v>0</v>
      </c>
      <c r="G97" s="222">
        <v>2</v>
      </c>
      <c r="H97" s="222">
        <v>2</v>
      </c>
      <c r="I97" s="222">
        <v>429</v>
      </c>
      <c r="J97" s="222">
        <v>531</v>
      </c>
      <c r="K97" s="222">
        <v>960</v>
      </c>
    </row>
    <row r="98" spans="1:11" ht="13.5" customHeight="1">
      <c r="A98" s="856"/>
      <c r="B98" s="224" t="s">
        <v>472</v>
      </c>
      <c r="C98" s="222">
        <v>9</v>
      </c>
      <c r="D98" s="222">
        <v>6</v>
      </c>
      <c r="E98" s="222">
        <v>15</v>
      </c>
      <c r="F98" s="222">
        <v>5</v>
      </c>
      <c r="G98" s="222">
        <v>8</v>
      </c>
      <c r="H98" s="222">
        <v>13</v>
      </c>
      <c r="I98" s="222">
        <v>303</v>
      </c>
      <c r="J98" s="222">
        <v>531</v>
      </c>
      <c r="K98" s="222">
        <v>834</v>
      </c>
    </row>
    <row r="99" spans="1:11" ht="13.5" customHeight="1">
      <c r="A99" s="856"/>
      <c r="B99" s="224" t="s">
        <v>471</v>
      </c>
      <c r="C99" s="222">
        <v>7</v>
      </c>
      <c r="D99" s="222">
        <v>4</v>
      </c>
      <c r="E99" s="222">
        <v>11</v>
      </c>
      <c r="F99" s="222">
        <v>4</v>
      </c>
      <c r="G99" s="222">
        <v>7</v>
      </c>
      <c r="H99" s="222">
        <v>11</v>
      </c>
      <c r="I99" s="222">
        <v>488</v>
      </c>
      <c r="J99" s="222">
        <v>335</v>
      </c>
      <c r="K99" s="222">
        <v>823</v>
      </c>
    </row>
    <row r="100" spans="1:11" ht="13.5" customHeight="1">
      <c r="A100" s="856"/>
      <c r="B100" s="224" t="s">
        <v>473</v>
      </c>
      <c r="C100" s="222">
        <v>77</v>
      </c>
      <c r="D100" s="222">
        <v>60</v>
      </c>
      <c r="E100" s="222">
        <v>137</v>
      </c>
      <c r="F100" s="222">
        <v>7</v>
      </c>
      <c r="G100" s="222">
        <v>8</v>
      </c>
      <c r="H100" s="222">
        <v>15</v>
      </c>
      <c r="I100" s="222">
        <v>492</v>
      </c>
      <c r="J100" s="222">
        <v>175</v>
      </c>
      <c r="K100" s="222">
        <v>667</v>
      </c>
    </row>
    <row r="101" spans="1:11" ht="13.5" customHeight="1">
      <c r="A101" s="856"/>
      <c r="B101" s="221" t="s">
        <v>475</v>
      </c>
      <c r="C101" s="222">
        <v>14</v>
      </c>
      <c r="D101" s="222">
        <v>13</v>
      </c>
      <c r="E101" s="222">
        <v>27</v>
      </c>
      <c r="F101" s="222">
        <v>1</v>
      </c>
      <c r="G101" s="222">
        <v>0</v>
      </c>
      <c r="H101" s="222">
        <v>1</v>
      </c>
      <c r="I101" s="222">
        <v>210</v>
      </c>
      <c r="J101" s="222">
        <v>177</v>
      </c>
      <c r="K101" s="222">
        <v>387</v>
      </c>
    </row>
    <row r="102" spans="1:11" ht="13.5" customHeight="1">
      <c r="A102" s="856"/>
      <c r="B102" s="221" t="s">
        <v>474</v>
      </c>
      <c r="C102" s="222">
        <v>1</v>
      </c>
      <c r="D102" s="222">
        <v>1</v>
      </c>
      <c r="E102" s="222">
        <v>2</v>
      </c>
      <c r="F102" s="222"/>
      <c r="G102" s="222"/>
      <c r="H102" s="222"/>
      <c r="I102" s="222">
        <v>104</v>
      </c>
      <c r="J102" s="222">
        <v>16</v>
      </c>
      <c r="K102" s="222">
        <v>120</v>
      </c>
    </row>
    <row r="103" spans="1:11" ht="13.5" customHeight="1">
      <c r="A103" s="856"/>
      <c r="B103" s="221" t="s">
        <v>476</v>
      </c>
      <c r="C103" s="222">
        <v>0</v>
      </c>
      <c r="D103" s="222">
        <v>0</v>
      </c>
      <c r="E103" s="222">
        <v>0</v>
      </c>
      <c r="F103" s="222"/>
      <c r="G103" s="222"/>
      <c r="H103" s="222"/>
      <c r="I103" s="222">
        <v>31</v>
      </c>
      <c r="J103" s="222">
        <v>42</v>
      </c>
      <c r="K103" s="222">
        <v>73</v>
      </c>
    </row>
    <row r="104" spans="1:11" ht="13.5" customHeight="1">
      <c r="A104" s="856"/>
      <c r="B104" s="221" t="s">
        <v>477</v>
      </c>
      <c r="C104" s="222">
        <v>2</v>
      </c>
      <c r="D104" s="222">
        <v>0</v>
      </c>
      <c r="E104" s="222">
        <v>2</v>
      </c>
      <c r="F104" s="222">
        <v>0</v>
      </c>
      <c r="G104" s="222">
        <v>2</v>
      </c>
      <c r="H104" s="222">
        <v>2</v>
      </c>
      <c r="I104" s="222">
        <v>15</v>
      </c>
      <c r="J104" s="222">
        <v>9</v>
      </c>
      <c r="K104" s="222">
        <v>24</v>
      </c>
    </row>
    <row r="105" spans="1:11" ht="13.5" customHeight="1">
      <c r="A105" s="857"/>
      <c r="B105" s="221" t="s">
        <v>478</v>
      </c>
      <c r="C105" s="222">
        <v>2</v>
      </c>
      <c r="D105" s="222">
        <v>4</v>
      </c>
      <c r="E105" s="222">
        <v>6</v>
      </c>
      <c r="F105" s="222"/>
      <c r="G105" s="222"/>
      <c r="H105" s="222"/>
      <c r="I105" s="222">
        <v>17</v>
      </c>
      <c r="J105" s="222">
        <v>4</v>
      </c>
      <c r="K105" s="222">
        <v>21</v>
      </c>
    </row>
    <row r="106" spans="1:11" ht="13.5" customHeight="1">
      <c r="A106" s="429" t="s">
        <v>479</v>
      </c>
      <c r="B106" s="269"/>
      <c r="C106" s="225">
        <v>1014</v>
      </c>
      <c r="D106" s="225">
        <v>906</v>
      </c>
      <c r="E106" s="225">
        <v>1920</v>
      </c>
      <c r="F106" s="225">
        <v>178</v>
      </c>
      <c r="G106" s="225">
        <v>290</v>
      </c>
      <c r="H106" s="225">
        <v>468</v>
      </c>
      <c r="I106" s="225">
        <v>132563</v>
      </c>
      <c r="J106" s="225">
        <v>101179</v>
      </c>
      <c r="K106" s="225">
        <v>233742</v>
      </c>
    </row>
    <row r="107" spans="1:11" ht="13.5" customHeight="1">
      <c r="A107" s="429" t="s">
        <v>422</v>
      </c>
      <c r="B107" s="269"/>
      <c r="C107" s="222">
        <v>23</v>
      </c>
      <c r="D107" s="222">
        <v>20</v>
      </c>
      <c r="E107" s="222">
        <v>43</v>
      </c>
      <c r="F107" s="222">
        <v>0</v>
      </c>
      <c r="G107" s="222">
        <v>13</v>
      </c>
      <c r="H107" s="222">
        <v>13</v>
      </c>
      <c r="I107" s="222">
        <v>143</v>
      </c>
      <c r="J107" s="222">
        <v>246</v>
      </c>
      <c r="K107" s="222">
        <v>389</v>
      </c>
    </row>
    <row r="108" spans="1:11" ht="13.5" customHeight="1">
      <c r="A108" s="969" t="s">
        <v>372</v>
      </c>
      <c r="B108" s="221" t="s">
        <v>389</v>
      </c>
      <c r="C108" s="222">
        <v>279</v>
      </c>
      <c r="D108" s="222">
        <v>241</v>
      </c>
      <c r="E108" s="222">
        <v>520</v>
      </c>
      <c r="F108" s="222">
        <v>0</v>
      </c>
      <c r="G108" s="222">
        <v>0</v>
      </c>
      <c r="H108" s="222">
        <v>0</v>
      </c>
      <c r="I108" s="222">
        <v>7077</v>
      </c>
      <c r="J108" s="222">
        <v>10657</v>
      </c>
      <c r="K108" s="222">
        <v>17734</v>
      </c>
    </row>
    <row r="109" spans="1:11" ht="13.5" customHeight="1">
      <c r="A109" s="969"/>
      <c r="B109" s="221" t="s">
        <v>76</v>
      </c>
      <c r="C109" s="222">
        <v>15</v>
      </c>
      <c r="D109" s="222">
        <v>69</v>
      </c>
      <c r="E109" s="222">
        <v>84</v>
      </c>
      <c r="F109" s="222">
        <v>0</v>
      </c>
      <c r="G109" s="222">
        <v>16</v>
      </c>
      <c r="H109" s="222">
        <v>16</v>
      </c>
      <c r="I109" s="222">
        <v>991</v>
      </c>
      <c r="J109" s="222">
        <v>5260</v>
      </c>
      <c r="K109" s="222">
        <v>6251</v>
      </c>
    </row>
    <row r="110" spans="1:11" ht="13.5" customHeight="1">
      <c r="A110" s="969"/>
      <c r="B110" s="221" t="s">
        <v>391</v>
      </c>
      <c r="C110" s="222">
        <v>15</v>
      </c>
      <c r="D110" s="222">
        <v>19</v>
      </c>
      <c r="E110" s="222">
        <v>34</v>
      </c>
      <c r="F110" s="222"/>
      <c r="G110" s="222"/>
      <c r="H110" s="222"/>
      <c r="I110" s="222">
        <v>1909</v>
      </c>
      <c r="J110" s="222">
        <v>3384</v>
      </c>
      <c r="K110" s="222">
        <v>5293</v>
      </c>
    </row>
    <row r="111" spans="1:11" ht="13.5" customHeight="1">
      <c r="A111" s="969"/>
      <c r="B111" s="221" t="s">
        <v>390</v>
      </c>
      <c r="C111" s="222">
        <v>16</v>
      </c>
      <c r="D111" s="222">
        <v>18</v>
      </c>
      <c r="E111" s="222">
        <v>34</v>
      </c>
      <c r="F111" s="222">
        <v>2</v>
      </c>
      <c r="G111" s="222">
        <v>2</v>
      </c>
      <c r="H111" s="222">
        <v>4</v>
      </c>
      <c r="I111" s="222">
        <v>2109</v>
      </c>
      <c r="J111" s="222">
        <v>1071</v>
      </c>
      <c r="K111" s="222">
        <v>3180</v>
      </c>
    </row>
    <row r="112" spans="1:11" ht="13.5" customHeight="1">
      <c r="A112" s="969"/>
      <c r="B112" s="221" t="s">
        <v>402</v>
      </c>
      <c r="C112" s="222">
        <v>186</v>
      </c>
      <c r="D112" s="222">
        <v>165</v>
      </c>
      <c r="E112" s="222">
        <v>351</v>
      </c>
      <c r="F112" s="222">
        <v>17</v>
      </c>
      <c r="G112" s="222">
        <v>37</v>
      </c>
      <c r="H112" s="222">
        <v>54</v>
      </c>
      <c r="I112" s="222">
        <v>1394</v>
      </c>
      <c r="J112" s="222">
        <v>1267</v>
      </c>
      <c r="K112" s="222">
        <v>2661</v>
      </c>
    </row>
    <row r="113" spans="1:11" ht="13.5" customHeight="1">
      <c r="A113" s="969"/>
      <c r="B113" s="221" t="s">
        <v>393</v>
      </c>
      <c r="C113" s="222">
        <v>28</v>
      </c>
      <c r="D113" s="222">
        <v>31</v>
      </c>
      <c r="E113" s="222">
        <v>59</v>
      </c>
      <c r="F113" s="222">
        <v>0</v>
      </c>
      <c r="G113" s="222">
        <v>0</v>
      </c>
      <c r="H113" s="222">
        <v>0</v>
      </c>
      <c r="I113" s="222">
        <v>989</v>
      </c>
      <c r="J113" s="222">
        <v>1557</v>
      </c>
      <c r="K113" s="222">
        <v>2546</v>
      </c>
    </row>
    <row r="114" spans="1:11" ht="13.5" customHeight="1">
      <c r="A114" s="969"/>
      <c r="B114" s="221" t="s">
        <v>394</v>
      </c>
      <c r="C114" s="222">
        <v>29</v>
      </c>
      <c r="D114" s="222">
        <v>8</v>
      </c>
      <c r="E114" s="222">
        <v>37</v>
      </c>
      <c r="F114" s="222"/>
      <c r="G114" s="222"/>
      <c r="H114" s="222"/>
      <c r="I114" s="222">
        <v>717</v>
      </c>
      <c r="J114" s="222">
        <v>1652</v>
      </c>
      <c r="K114" s="222">
        <v>2369</v>
      </c>
    </row>
    <row r="115" spans="1:11" ht="13.5" customHeight="1">
      <c r="A115" s="969"/>
      <c r="B115" s="221" t="s">
        <v>401</v>
      </c>
      <c r="C115" s="222">
        <v>3</v>
      </c>
      <c r="D115" s="222">
        <v>0</v>
      </c>
      <c r="E115" s="222">
        <v>3</v>
      </c>
      <c r="F115" s="222"/>
      <c r="G115" s="222"/>
      <c r="H115" s="222"/>
      <c r="I115" s="222">
        <v>1581</v>
      </c>
      <c r="J115" s="222">
        <v>498</v>
      </c>
      <c r="K115" s="222">
        <v>2079</v>
      </c>
    </row>
    <row r="116" spans="1:11" ht="13.5" customHeight="1">
      <c r="A116" s="969"/>
      <c r="B116" s="221" t="s">
        <v>480</v>
      </c>
      <c r="C116" s="222">
        <v>14</v>
      </c>
      <c r="D116" s="222">
        <v>13</v>
      </c>
      <c r="E116" s="222">
        <v>27</v>
      </c>
      <c r="F116" s="222"/>
      <c r="G116" s="222"/>
      <c r="H116" s="222"/>
      <c r="I116" s="222">
        <v>665</v>
      </c>
      <c r="J116" s="222">
        <v>549</v>
      </c>
      <c r="K116" s="222">
        <v>1214</v>
      </c>
    </row>
    <row r="117" spans="1:11" ht="13.5" customHeight="1">
      <c r="A117" s="969"/>
      <c r="B117" s="221" t="s">
        <v>482</v>
      </c>
      <c r="C117" s="222">
        <v>1</v>
      </c>
      <c r="D117" s="222">
        <v>7</v>
      </c>
      <c r="E117" s="222">
        <v>8</v>
      </c>
      <c r="F117" s="222"/>
      <c r="G117" s="222"/>
      <c r="H117" s="222"/>
      <c r="I117" s="222">
        <v>272</v>
      </c>
      <c r="J117" s="222">
        <v>877</v>
      </c>
      <c r="K117" s="222">
        <v>1149</v>
      </c>
    </row>
    <row r="118" spans="1:11" ht="13.5" customHeight="1">
      <c r="A118" s="969"/>
      <c r="B118" s="221" t="s">
        <v>481</v>
      </c>
      <c r="C118" s="222">
        <v>40</v>
      </c>
      <c r="D118" s="222">
        <v>19</v>
      </c>
      <c r="E118" s="222">
        <v>59</v>
      </c>
      <c r="F118" s="222"/>
      <c r="G118" s="222"/>
      <c r="H118" s="222"/>
      <c r="I118" s="222">
        <v>561</v>
      </c>
      <c r="J118" s="222">
        <v>552</v>
      </c>
      <c r="K118" s="222">
        <v>1113</v>
      </c>
    </row>
    <row r="119" spans="1:11" ht="13.5" customHeight="1">
      <c r="A119" s="969"/>
      <c r="B119" s="221" t="s">
        <v>398</v>
      </c>
      <c r="C119" s="222">
        <v>3</v>
      </c>
      <c r="D119" s="222">
        <v>3</v>
      </c>
      <c r="E119" s="222">
        <v>6</v>
      </c>
      <c r="F119" s="222"/>
      <c r="G119" s="222"/>
      <c r="H119" s="222"/>
      <c r="I119" s="222">
        <v>291</v>
      </c>
      <c r="J119" s="222">
        <v>749</v>
      </c>
      <c r="K119" s="222">
        <v>1040</v>
      </c>
    </row>
    <row r="120" spans="1:11" ht="13.5" customHeight="1">
      <c r="A120" s="969"/>
      <c r="B120" s="221" t="s">
        <v>486</v>
      </c>
      <c r="C120" s="222">
        <v>0</v>
      </c>
      <c r="D120" s="222">
        <v>5</v>
      </c>
      <c r="E120" s="222">
        <v>5</v>
      </c>
      <c r="F120" s="222"/>
      <c r="G120" s="222"/>
      <c r="H120" s="222"/>
      <c r="I120" s="222">
        <v>459</v>
      </c>
      <c r="J120" s="222">
        <v>566</v>
      </c>
      <c r="K120" s="222">
        <v>1025</v>
      </c>
    </row>
    <row r="121" spans="1:11" ht="13.5" customHeight="1">
      <c r="A121" s="969"/>
      <c r="B121" s="221" t="s">
        <v>396</v>
      </c>
      <c r="C121" s="222">
        <v>3</v>
      </c>
      <c r="D121" s="222">
        <v>1</v>
      </c>
      <c r="E121" s="222">
        <v>4</v>
      </c>
      <c r="F121" s="222"/>
      <c r="G121" s="222"/>
      <c r="H121" s="222"/>
      <c r="I121" s="222">
        <v>481</v>
      </c>
      <c r="J121" s="222">
        <v>472</v>
      </c>
      <c r="K121" s="222">
        <v>953</v>
      </c>
    </row>
    <row r="122" spans="1:11" ht="13.5" customHeight="1">
      <c r="A122" s="969"/>
      <c r="B122" s="221" t="s">
        <v>487</v>
      </c>
      <c r="C122" s="222">
        <v>10</v>
      </c>
      <c r="D122" s="222">
        <v>12</v>
      </c>
      <c r="E122" s="222">
        <v>22</v>
      </c>
      <c r="F122" s="222"/>
      <c r="G122" s="222"/>
      <c r="H122" s="222"/>
      <c r="I122" s="222">
        <v>387</v>
      </c>
      <c r="J122" s="222">
        <v>467</v>
      </c>
      <c r="K122" s="222">
        <v>854</v>
      </c>
    </row>
    <row r="123" spans="1:11" ht="13.5" customHeight="1">
      <c r="A123" s="969"/>
      <c r="B123" s="221" t="s">
        <v>483</v>
      </c>
      <c r="C123" s="222">
        <v>11</v>
      </c>
      <c r="D123" s="222">
        <v>1</v>
      </c>
      <c r="E123" s="222">
        <v>12</v>
      </c>
      <c r="F123" s="222"/>
      <c r="G123" s="222"/>
      <c r="H123" s="222"/>
      <c r="I123" s="222">
        <v>801</v>
      </c>
      <c r="J123" s="222">
        <v>52</v>
      </c>
      <c r="K123" s="222">
        <v>853</v>
      </c>
    </row>
    <row r="124" spans="1:11" ht="13.5" customHeight="1">
      <c r="A124" s="969"/>
      <c r="B124" s="221" t="s">
        <v>372</v>
      </c>
      <c r="C124" s="222"/>
      <c r="D124" s="222"/>
      <c r="E124" s="222"/>
      <c r="F124" s="222"/>
      <c r="G124" s="222"/>
      <c r="H124" s="222"/>
      <c r="I124" s="222">
        <v>203</v>
      </c>
      <c r="J124" s="222">
        <v>634</v>
      </c>
      <c r="K124" s="222">
        <v>837</v>
      </c>
    </row>
    <row r="125" spans="1:11" ht="13.5" customHeight="1">
      <c r="A125" s="969"/>
      <c r="B125" s="221" t="s">
        <v>392</v>
      </c>
      <c r="C125" s="222">
        <v>22</v>
      </c>
      <c r="D125" s="222">
        <v>82</v>
      </c>
      <c r="E125" s="222">
        <v>104</v>
      </c>
      <c r="F125" s="222"/>
      <c r="G125" s="222"/>
      <c r="H125" s="222"/>
      <c r="I125" s="222">
        <v>252</v>
      </c>
      <c r="J125" s="222">
        <v>470</v>
      </c>
      <c r="K125" s="222">
        <v>722</v>
      </c>
    </row>
    <row r="126" spans="1:11" ht="13.5" customHeight="1">
      <c r="A126" s="969"/>
      <c r="B126" s="221" t="s">
        <v>484</v>
      </c>
      <c r="C126" s="222">
        <v>17</v>
      </c>
      <c r="D126" s="222">
        <v>3</v>
      </c>
      <c r="E126" s="222">
        <v>20</v>
      </c>
      <c r="F126" s="222"/>
      <c r="G126" s="222"/>
      <c r="H126" s="222"/>
      <c r="I126" s="222">
        <v>427</v>
      </c>
      <c r="J126" s="222">
        <v>281</v>
      </c>
      <c r="K126" s="222">
        <v>708</v>
      </c>
    </row>
    <row r="127" spans="1:11" ht="13.5" customHeight="1">
      <c r="A127" s="969"/>
      <c r="B127" s="221" t="s">
        <v>485</v>
      </c>
      <c r="C127" s="222">
        <v>1</v>
      </c>
      <c r="D127" s="222">
        <v>1</v>
      </c>
      <c r="E127" s="222">
        <v>2</v>
      </c>
      <c r="F127" s="222"/>
      <c r="G127" s="222"/>
      <c r="H127" s="222"/>
      <c r="I127" s="222">
        <v>387</v>
      </c>
      <c r="J127" s="222">
        <v>253</v>
      </c>
      <c r="K127" s="222">
        <v>640</v>
      </c>
    </row>
    <row r="128" spans="1:11" ht="13.5" customHeight="1">
      <c r="A128" s="969"/>
      <c r="B128" s="221" t="s">
        <v>491</v>
      </c>
      <c r="C128" s="222">
        <v>4</v>
      </c>
      <c r="D128" s="222">
        <v>7</v>
      </c>
      <c r="E128" s="222">
        <v>11</v>
      </c>
      <c r="F128" s="222">
        <v>1</v>
      </c>
      <c r="G128" s="222">
        <v>12</v>
      </c>
      <c r="H128" s="222">
        <v>13</v>
      </c>
      <c r="I128" s="222">
        <v>376</v>
      </c>
      <c r="J128" s="222">
        <v>235</v>
      </c>
      <c r="K128" s="222">
        <v>611</v>
      </c>
    </row>
    <row r="129" spans="1:11" ht="13.5" customHeight="1">
      <c r="A129" s="969"/>
      <c r="B129" s="221" t="s">
        <v>490</v>
      </c>
      <c r="C129" s="222">
        <v>21</v>
      </c>
      <c r="D129" s="222">
        <v>16</v>
      </c>
      <c r="E129" s="222">
        <v>37</v>
      </c>
      <c r="F129" s="222"/>
      <c r="G129" s="222"/>
      <c r="H129" s="222"/>
      <c r="I129" s="222">
        <v>278</v>
      </c>
      <c r="J129" s="222">
        <v>298</v>
      </c>
      <c r="K129" s="222">
        <v>576</v>
      </c>
    </row>
    <row r="130" spans="1:11" ht="13.5" customHeight="1">
      <c r="A130" s="969"/>
      <c r="B130" s="221" t="s">
        <v>488</v>
      </c>
      <c r="C130" s="222">
        <v>0</v>
      </c>
      <c r="D130" s="222">
        <v>0</v>
      </c>
      <c r="E130" s="222">
        <v>0</v>
      </c>
      <c r="F130" s="222"/>
      <c r="G130" s="222"/>
      <c r="H130" s="222"/>
      <c r="I130" s="222">
        <v>226</v>
      </c>
      <c r="J130" s="222">
        <v>276</v>
      </c>
      <c r="K130" s="222">
        <v>502</v>
      </c>
    </row>
    <row r="131" spans="1:11" ht="13.5" customHeight="1">
      <c r="A131" s="969"/>
      <c r="B131" s="221" t="s">
        <v>489</v>
      </c>
      <c r="C131" s="222">
        <v>1</v>
      </c>
      <c r="D131" s="222">
        <v>3</v>
      </c>
      <c r="E131" s="222">
        <v>4</v>
      </c>
      <c r="F131" s="222">
        <v>0</v>
      </c>
      <c r="G131" s="222">
        <v>18</v>
      </c>
      <c r="H131" s="222">
        <v>18</v>
      </c>
      <c r="I131" s="222">
        <v>285</v>
      </c>
      <c r="J131" s="222">
        <v>170</v>
      </c>
      <c r="K131" s="222">
        <v>455</v>
      </c>
    </row>
    <row r="132" spans="1:11" ht="13.5" customHeight="1">
      <c r="A132" s="969"/>
      <c r="B132" s="221" t="s">
        <v>492</v>
      </c>
      <c r="C132" s="222">
        <v>10</v>
      </c>
      <c r="D132" s="222">
        <v>10</v>
      </c>
      <c r="E132" s="222">
        <v>20</v>
      </c>
      <c r="F132" s="222"/>
      <c r="G132" s="222"/>
      <c r="H132" s="222"/>
      <c r="I132" s="222">
        <v>278</v>
      </c>
      <c r="J132" s="222">
        <v>118</v>
      </c>
      <c r="K132" s="222">
        <v>396</v>
      </c>
    </row>
    <row r="133" spans="1:11" ht="13.5" customHeight="1">
      <c r="A133" s="969"/>
      <c r="B133" s="221" t="s">
        <v>494</v>
      </c>
      <c r="C133" s="222">
        <v>0</v>
      </c>
      <c r="D133" s="222">
        <v>0</v>
      </c>
      <c r="E133" s="222">
        <v>0</v>
      </c>
      <c r="F133" s="222"/>
      <c r="G133" s="222"/>
      <c r="H133" s="222"/>
      <c r="I133" s="222">
        <v>211</v>
      </c>
      <c r="J133" s="222">
        <v>61</v>
      </c>
      <c r="K133" s="222">
        <v>272</v>
      </c>
    </row>
    <row r="134" spans="1:11" ht="13.5" customHeight="1">
      <c r="A134" s="856" t="s">
        <v>372</v>
      </c>
      <c r="B134" s="221" t="s">
        <v>497</v>
      </c>
      <c r="C134" s="222">
        <v>0</v>
      </c>
      <c r="D134" s="222">
        <v>2</v>
      </c>
      <c r="E134" s="222">
        <v>2</v>
      </c>
      <c r="F134" s="222"/>
      <c r="G134" s="222"/>
      <c r="H134" s="222"/>
      <c r="I134" s="222">
        <v>192</v>
      </c>
      <c r="J134" s="222">
        <v>78</v>
      </c>
      <c r="K134" s="222">
        <v>270</v>
      </c>
    </row>
    <row r="135" spans="1:11" ht="13.5" customHeight="1">
      <c r="A135" s="856"/>
      <c r="B135" s="224" t="s">
        <v>496</v>
      </c>
      <c r="C135" s="222">
        <v>1</v>
      </c>
      <c r="D135" s="222">
        <v>12</v>
      </c>
      <c r="E135" s="222">
        <v>13</v>
      </c>
      <c r="F135" s="222"/>
      <c r="G135" s="222"/>
      <c r="H135" s="222"/>
      <c r="I135" s="222">
        <v>25</v>
      </c>
      <c r="J135" s="222">
        <v>142</v>
      </c>
      <c r="K135" s="222">
        <v>167</v>
      </c>
    </row>
    <row r="136" spans="1:11" ht="13.5" customHeight="1">
      <c r="A136" s="856"/>
      <c r="B136" s="221" t="s">
        <v>400</v>
      </c>
      <c r="C136" s="222">
        <v>7</v>
      </c>
      <c r="D136" s="222">
        <v>3</v>
      </c>
      <c r="E136" s="222">
        <v>10</v>
      </c>
      <c r="F136" s="222"/>
      <c r="G136" s="222"/>
      <c r="H136" s="222"/>
      <c r="I136" s="222">
        <v>42</v>
      </c>
      <c r="J136" s="222">
        <v>97</v>
      </c>
      <c r="K136" s="222">
        <v>139</v>
      </c>
    </row>
    <row r="137" spans="1:11" ht="13.5" customHeight="1">
      <c r="A137" s="856"/>
      <c r="B137" s="221" t="s">
        <v>397</v>
      </c>
      <c r="C137" s="222">
        <v>0</v>
      </c>
      <c r="D137" s="222">
        <v>0</v>
      </c>
      <c r="E137" s="222">
        <v>0</v>
      </c>
      <c r="F137" s="222"/>
      <c r="G137" s="222"/>
      <c r="H137" s="222"/>
      <c r="I137" s="222">
        <v>57</v>
      </c>
      <c r="J137" s="222">
        <v>73</v>
      </c>
      <c r="K137" s="222">
        <v>130</v>
      </c>
    </row>
    <row r="138" spans="1:11" ht="13.5" customHeight="1">
      <c r="A138" s="856"/>
      <c r="B138" s="221" t="s">
        <v>500</v>
      </c>
      <c r="C138" s="222">
        <v>4</v>
      </c>
      <c r="D138" s="222">
        <v>6</v>
      </c>
      <c r="E138" s="222">
        <v>10</v>
      </c>
      <c r="F138" s="222"/>
      <c r="G138" s="222"/>
      <c r="H138" s="222"/>
      <c r="I138" s="222">
        <v>30</v>
      </c>
      <c r="J138" s="222">
        <v>70</v>
      </c>
      <c r="K138" s="222">
        <v>100</v>
      </c>
    </row>
    <row r="139" spans="1:11" ht="13.5" customHeight="1">
      <c r="A139" s="856"/>
      <c r="B139" s="224" t="s">
        <v>493</v>
      </c>
      <c r="C139" s="222">
        <v>18</v>
      </c>
      <c r="D139" s="222">
        <v>5</v>
      </c>
      <c r="E139" s="222">
        <v>23</v>
      </c>
      <c r="F139" s="222"/>
      <c r="G139" s="222"/>
      <c r="H139" s="222"/>
      <c r="I139" s="222">
        <v>28</v>
      </c>
      <c r="J139" s="222">
        <v>60</v>
      </c>
      <c r="K139" s="222">
        <v>88</v>
      </c>
    </row>
    <row r="140" spans="1:11" ht="13.5" customHeight="1">
      <c r="A140" s="856"/>
      <c r="B140" s="221" t="s">
        <v>498</v>
      </c>
      <c r="C140" s="222">
        <v>86</v>
      </c>
      <c r="D140" s="222">
        <v>7</v>
      </c>
      <c r="E140" s="222">
        <v>93</v>
      </c>
      <c r="F140" s="222"/>
      <c r="G140" s="222"/>
      <c r="H140" s="222"/>
      <c r="I140" s="222">
        <v>48</v>
      </c>
      <c r="J140" s="222">
        <v>3</v>
      </c>
      <c r="K140" s="222">
        <v>51</v>
      </c>
    </row>
    <row r="141" spans="1:11" ht="13.5" customHeight="1">
      <c r="A141" s="856"/>
      <c r="B141" s="221" t="s">
        <v>501</v>
      </c>
      <c r="C141" s="222">
        <v>70</v>
      </c>
      <c r="D141" s="222">
        <v>13</v>
      </c>
      <c r="E141" s="222">
        <v>83</v>
      </c>
      <c r="F141" s="222"/>
      <c r="G141" s="222"/>
      <c r="H141" s="222"/>
      <c r="I141" s="222">
        <v>34</v>
      </c>
      <c r="J141" s="222">
        <v>13</v>
      </c>
      <c r="K141" s="222">
        <v>47</v>
      </c>
    </row>
    <row r="142" spans="1:11" ht="13.5" customHeight="1">
      <c r="A142" s="856"/>
      <c r="B142" s="224" t="s">
        <v>506</v>
      </c>
      <c r="C142" s="222">
        <v>117</v>
      </c>
      <c r="D142" s="222">
        <v>20</v>
      </c>
      <c r="E142" s="222">
        <v>137</v>
      </c>
      <c r="F142" s="222"/>
      <c r="G142" s="222"/>
      <c r="H142" s="222"/>
      <c r="I142" s="222">
        <v>29</v>
      </c>
      <c r="J142" s="222">
        <v>15</v>
      </c>
      <c r="K142" s="222">
        <v>44</v>
      </c>
    </row>
    <row r="143" spans="1:11" ht="13.5" customHeight="1">
      <c r="A143" s="856"/>
      <c r="B143" s="221" t="s">
        <v>508</v>
      </c>
      <c r="C143" s="222">
        <v>0</v>
      </c>
      <c r="D143" s="222">
        <v>0</v>
      </c>
      <c r="E143" s="222">
        <v>0</v>
      </c>
      <c r="F143" s="222"/>
      <c r="G143" s="222"/>
      <c r="H143" s="222"/>
      <c r="I143" s="222">
        <v>11</v>
      </c>
      <c r="J143" s="222">
        <v>27</v>
      </c>
      <c r="K143" s="222">
        <v>38</v>
      </c>
    </row>
    <row r="144" spans="1:11" ht="13.5" customHeight="1">
      <c r="A144" s="856"/>
      <c r="B144" s="221" t="s">
        <v>503</v>
      </c>
      <c r="C144" s="222">
        <v>0</v>
      </c>
      <c r="D144" s="222">
        <v>1</v>
      </c>
      <c r="E144" s="222">
        <v>1</v>
      </c>
      <c r="F144" s="222"/>
      <c r="G144" s="222"/>
      <c r="H144" s="222"/>
      <c r="I144" s="222">
        <v>19</v>
      </c>
      <c r="J144" s="222">
        <v>16</v>
      </c>
      <c r="K144" s="222">
        <v>35</v>
      </c>
    </row>
    <row r="145" spans="1:11" ht="13.5" customHeight="1">
      <c r="A145" s="856"/>
      <c r="B145" s="221" t="s">
        <v>499</v>
      </c>
      <c r="C145" s="222">
        <v>0</v>
      </c>
      <c r="D145" s="222">
        <v>3</v>
      </c>
      <c r="E145" s="222">
        <v>3</v>
      </c>
      <c r="F145" s="222"/>
      <c r="G145" s="222"/>
      <c r="H145" s="222"/>
      <c r="I145" s="222">
        <v>13</v>
      </c>
      <c r="J145" s="222">
        <v>12</v>
      </c>
      <c r="K145" s="222">
        <v>25</v>
      </c>
    </row>
    <row r="146" spans="1:11" ht="13.5" customHeight="1">
      <c r="A146" s="856"/>
      <c r="B146" s="221" t="s">
        <v>399</v>
      </c>
      <c r="C146" s="222"/>
      <c r="D146" s="222"/>
      <c r="E146" s="222"/>
      <c r="F146" s="222"/>
      <c r="G146" s="222"/>
      <c r="H146" s="222"/>
      <c r="I146" s="222">
        <v>8</v>
      </c>
      <c r="J146" s="222">
        <v>17</v>
      </c>
      <c r="K146" s="222">
        <v>25</v>
      </c>
    </row>
    <row r="147" spans="1:11" ht="13.5" customHeight="1">
      <c r="A147" s="856"/>
      <c r="B147" s="221" t="s">
        <v>505</v>
      </c>
      <c r="C147" s="222">
        <v>57</v>
      </c>
      <c r="D147" s="222">
        <v>0</v>
      </c>
      <c r="E147" s="222">
        <v>57</v>
      </c>
      <c r="F147" s="222"/>
      <c r="G147" s="222"/>
      <c r="H147" s="222"/>
      <c r="I147" s="222">
        <v>23</v>
      </c>
      <c r="J147" s="222">
        <v>1</v>
      </c>
      <c r="K147" s="222">
        <v>24</v>
      </c>
    </row>
    <row r="148" spans="1:11" ht="13.5" customHeight="1">
      <c r="A148" s="856"/>
      <c r="B148" s="224" t="s">
        <v>504</v>
      </c>
      <c r="C148" s="222">
        <v>64</v>
      </c>
      <c r="D148" s="222">
        <v>8</v>
      </c>
      <c r="E148" s="222">
        <v>72</v>
      </c>
      <c r="F148" s="222"/>
      <c r="G148" s="222"/>
      <c r="H148" s="222"/>
      <c r="I148" s="222">
        <v>19</v>
      </c>
      <c r="J148" s="222">
        <v>2</v>
      </c>
      <c r="K148" s="222">
        <v>21</v>
      </c>
    </row>
    <row r="149" spans="1:11" ht="13.5" customHeight="1">
      <c r="A149" s="856"/>
      <c r="B149" s="224" t="s">
        <v>507</v>
      </c>
      <c r="C149" s="222">
        <v>35</v>
      </c>
      <c r="D149" s="222">
        <v>7</v>
      </c>
      <c r="E149" s="222">
        <v>42</v>
      </c>
      <c r="F149" s="222"/>
      <c r="G149" s="222"/>
      <c r="H149" s="222"/>
      <c r="I149" s="222">
        <v>15</v>
      </c>
      <c r="J149" s="222">
        <v>4</v>
      </c>
      <c r="K149" s="222">
        <v>19</v>
      </c>
    </row>
    <row r="150" spans="1:11" ht="13.5" customHeight="1">
      <c r="A150" s="856"/>
      <c r="B150" s="221" t="s">
        <v>502</v>
      </c>
      <c r="C150" s="222">
        <v>0</v>
      </c>
      <c r="D150" s="222">
        <v>3</v>
      </c>
      <c r="E150" s="222">
        <v>3</v>
      </c>
      <c r="F150" s="222"/>
      <c r="G150" s="222"/>
      <c r="H150" s="222"/>
      <c r="I150" s="222">
        <v>10</v>
      </c>
      <c r="J150" s="222">
        <v>7</v>
      </c>
      <c r="K150" s="222">
        <v>17</v>
      </c>
    </row>
    <row r="151" spans="1:11" ht="13.5" customHeight="1">
      <c r="A151" s="856"/>
      <c r="B151" s="221" t="s">
        <v>510</v>
      </c>
      <c r="C151" s="222">
        <v>17</v>
      </c>
      <c r="D151" s="222">
        <v>14</v>
      </c>
      <c r="E151" s="222">
        <v>31</v>
      </c>
      <c r="F151" s="222"/>
      <c r="G151" s="222"/>
      <c r="H151" s="222"/>
      <c r="I151" s="222">
        <v>9</v>
      </c>
      <c r="J151" s="222">
        <v>5</v>
      </c>
      <c r="K151" s="222">
        <v>14</v>
      </c>
    </row>
    <row r="152" spans="1:11" ht="13.5" customHeight="1">
      <c r="A152" s="856"/>
      <c r="B152" s="224" t="s">
        <v>395</v>
      </c>
      <c r="C152" s="222">
        <v>0</v>
      </c>
      <c r="D152" s="222">
        <v>0</v>
      </c>
      <c r="E152" s="222">
        <v>0</v>
      </c>
      <c r="F152" s="222">
        <v>0</v>
      </c>
      <c r="G152" s="222">
        <v>1</v>
      </c>
      <c r="H152" s="222">
        <v>1</v>
      </c>
      <c r="I152" s="222">
        <v>8</v>
      </c>
      <c r="J152" s="222">
        <v>2</v>
      </c>
      <c r="K152" s="222">
        <v>10</v>
      </c>
    </row>
    <row r="153" spans="1:11" ht="13.5" customHeight="1">
      <c r="A153" s="856"/>
      <c r="B153" s="221" t="s">
        <v>509</v>
      </c>
      <c r="C153" s="222">
        <v>43</v>
      </c>
      <c r="D153" s="222">
        <v>18</v>
      </c>
      <c r="E153" s="222">
        <v>61</v>
      </c>
      <c r="F153" s="222"/>
      <c r="G153" s="222"/>
      <c r="H153" s="222"/>
      <c r="I153" s="222">
        <v>4</v>
      </c>
      <c r="J153" s="222">
        <v>1</v>
      </c>
      <c r="K153" s="222">
        <v>5</v>
      </c>
    </row>
    <row r="154" spans="1:11" ht="13.5" customHeight="1">
      <c r="A154" s="856"/>
      <c r="B154" s="221" t="s">
        <v>511</v>
      </c>
      <c r="C154" s="222">
        <v>6</v>
      </c>
      <c r="D154" s="222">
        <v>0</v>
      </c>
      <c r="E154" s="222">
        <v>6</v>
      </c>
      <c r="F154" s="222"/>
      <c r="G154" s="222"/>
      <c r="H154" s="222"/>
      <c r="I154" s="222">
        <v>2</v>
      </c>
      <c r="J154" s="222">
        <v>0</v>
      </c>
      <c r="K154" s="222">
        <v>2</v>
      </c>
    </row>
    <row r="155" spans="1:11" ht="13.5" customHeight="1">
      <c r="A155" s="857"/>
      <c r="B155" s="224" t="s">
        <v>495</v>
      </c>
      <c r="C155" s="222">
        <v>7</v>
      </c>
      <c r="D155" s="222">
        <v>3</v>
      </c>
      <c r="E155" s="222">
        <v>10</v>
      </c>
      <c r="F155" s="222"/>
      <c r="G155" s="222"/>
      <c r="H155" s="222"/>
      <c r="I155" s="222">
        <v>0</v>
      </c>
      <c r="J155" s="222">
        <v>0</v>
      </c>
      <c r="K155" s="222">
        <v>0</v>
      </c>
    </row>
    <row r="156" spans="1:11" ht="13.5" customHeight="1">
      <c r="A156" s="429" t="s">
        <v>403</v>
      </c>
      <c r="B156" s="269"/>
      <c r="C156" s="225">
        <v>1261</v>
      </c>
      <c r="D156" s="225">
        <v>859</v>
      </c>
      <c r="E156" s="225">
        <v>2120</v>
      </c>
      <c r="F156" s="225">
        <v>20</v>
      </c>
      <c r="G156" s="225">
        <v>86</v>
      </c>
      <c r="H156" s="225">
        <v>106</v>
      </c>
      <c r="I156" s="225">
        <v>24233</v>
      </c>
      <c r="J156" s="225">
        <v>33071</v>
      </c>
      <c r="K156" s="225">
        <v>57304</v>
      </c>
    </row>
    <row r="157" spans="1:11" ht="13.5" customHeight="1">
      <c r="A157" s="853" t="s">
        <v>172</v>
      </c>
      <c r="B157" s="221" t="s">
        <v>172</v>
      </c>
      <c r="C157" s="222">
        <v>177</v>
      </c>
      <c r="D157" s="222">
        <v>70</v>
      </c>
      <c r="E157" s="222">
        <v>247</v>
      </c>
      <c r="F157" s="222">
        <v>78</v>
      </c>
      <c r="G157" s="222">
        <v>72</v>
      </c>
      <c r="H157" s="222">
        <v>150</v>
      </c>
      <c r="I157" s="222">
        <v>6905</v>
      </c>
      <c r="J157" s="222">
        <v>5052</v>
      </c>
      <c r="K157" s="222">
        <v>11957</v>
      </c>
    </row>
    <row r="158" spans="1:11" ht="13.5" customHeight="1">
      <c r="A158" s="854"/>
      <c r="B158" s="221" t="s">
        <v>513</v>
      </c>
      <c r="C158" s="222">
        <v>12</v>
      </c>
      <c r="D158" s="222">
        <v>2</v>
      </c>
      <c r="E158" s="222">
        <v>14</v>
      </c>
      <c r="F158" s="222">
        <v>6</v>
      </c>
      <c r="G158" s="222">
        <v>7</v>
      </c>
      <c r="H158" s="222">
        <v>13</v>
      </c>
      <c r="I158" s="222">
        <v>169</v>
      </c>
      <c r="J158" s="222">
        <v>111</v>
      </c>
      <c r="K158" s="222">
        <v>280</v>
      </c>
    </row>
    <row r="159" spans="1:11" ht="13.5" customHeight="1">
      <c r="A159" s="965"/>
      <c r="B159" s="221" t="s">
        <v>512</v>
      </c>
      <c r="C159" s="222">
        <v>19</v>
      </c>
      <c r="D159" s="222">
        <v>7</v>
      </c>
      <c r="E159" s="222">
        <v>26</v>
      </c>
      <c r="F159" s="222">
        <v>10</v>
      </c>
      <c r="G159" s="222">
        <v>2</v>
      </c>
      <c r="H159" s="222">
        <v>12</v>
      </c>
      <c r="I159" s="222">
        <v>78</v>
      </c>
      <c r="J159" s="222">
        <v>27</v>
      </c>
      <c r="K159" s="222">
        <v>105</v>
      </c>
    </row>
    <row r="160" spans="1:11" ht="13.5" customHeight="1">
      <c r="A160" s="429" t="s">
        <v>514</v>
      </c>
      <c r="B160" s="269"/>
      <c r="C160" s="225">
        <v>208</v>
      </c>
      <c r="D160" s="225">
        <v>79</v>
      </c>
      <c r="E160" s="225">
        <v>287</v>
      </c>
      <c r="F160" s="225">
        <v>94</v>
      </c>
      <c r="G160" s="225">
        <v>81</v>
      </c>
      <c r="H160" s="225">
        <v>175</v>
      </c>
      <c r="I160" s="225">
        <v>7152</v>
      </c>
      <c r="J160" s="225">
        <v>5190</v>
      </c>
      <c r="K160" s="225">
        <v>12342</v>
      </c>
    </row>
    <row r="161" spans="1:11" ht="13.5" customHeight="1">
      <c r="A161" s="429" t="s">
        <v>773</v>
      </c>
      <c r="B161" s="269"/>
      <c r="C161" s="222"/>
      <c r="D161" s="222"/>
      <c r="E161" s="222"/>
      <c r="F161" s="222"/>
      <c r="G161" s="222"/>
      <c r="H161" s="222"/>
      <c r="I161" s="222">
        <v>14</v>
      </c>
      <c r="J161" s="222">
        <v>55</v>
      </c>
      <c r="K161" s="222">
        <v>69</v>
      </c>
    </row>
    <row r="162" spans="1:11" ht="13.5" customHeight="1">
      <c r="A162" s="967" t="s">
        <v>409</v>
      </c>
      <c r="B162" s="243" t="s">
        <v>409</v>
      </c>
      <c r="C162" s="222">
        <v>172</v>
      </c>
      <c r="D162" s="222">
        <v>48</v>
      </c>
      <c r="E162" s="222">
        <v>220</v>
      </c>
      <c r="F162" s="222">
        <v>129</v>
      </c>
      <c r="G162" s="222">
        <v>33</v>
      </c>
      <c r="H162" s="222">
        <v>162</v>
      </c>
      <c r="I162" s="222">
        <v>3192</v>
      </c>
      <c r="J162" s="222">
        <v>1332</v>
      </c>
      <c r="K162" s="222">
        <v>4524</v>
      </c>
    </row>
    <row r="163" spans="1:11" ht="13.5" customHeight="1">
      <c r="A163" s="968"/>
      <c r="B163" s="221" t="s">
        <v>515</v>
      </c>
      <c r="C163" s="222">
        <v>0</v>
      </c>
      <c r="D163" s="222">
        <v>4</v>
      </c>
      <c r="E163" s="222">
        <v>4</v>
      </c>
      <c r="F163" s="222">
        <v>39</v>
      </c>
      <c r="G163" s="222">
        <v>10</v>
      </c>
      <c r="H163" s="222">
        <v>49</v>
      </c>
      <c r="I163" s="222">
        <v>1</v>
      </c>
      <c r="J163" s="222">
        <v>1</v>
      </c>
      <c r="K163" s="222">
        <v>2</v>
      </c>
    </row>
    <row r="164" spans="1:11" ht="13.5" customHeight="1">
      <c r="A164" s="429" t="s">
        <v>516</v>
      </c>
      <c r="B164" s="269"/>
      <c r="C164" s="225">
        <v>172</v>
      </c>
      <c r="D164" s="225">
        <v>52</v>
      </c>
      <c r="E164" s="225">
        <v>224</v>
      </c>
      <c r="F164" s="225">
        <v>168</v>
      </c>
      <c r="G164" s="225">
        <v>43</v>
      </c>
      <c r="H164" s="225">
        <v>211</v>
      </c>
      <c r="I164" s="225">
        <v>3193</v>
      </c>
      <c r="J164" s="225">
        <v>1333</v>
      </c>
      <c r="K164" s="225">
        <v>4526</v>
      </c>
    </row>
    <row r="165" spans="1:11" ht="13.5" customHeight="1">
      <c r="A165" s="853" t="s">
        <v>416</v>
      </c>
      <c r="B165" s="221" t="s">
        <v>416</v>
      </c>
      <c r="C165" s="222">
        <v>36</v>
      </c>
      <c r="D165" s="222">
        <v>32</v>
      </c>
      <c r="E165" s="222">
        <v>68</v>
      </c>
      <c r="F165" s="222">
        <v>1</v>
      </c>
      <c r="G165" s="222">
        <v>16</v>
      </c>
      <c r="H165" s="222">
        <v>17</v>
      </c>
      <c r="I165" s="222">
        <v>370</v>
      </c>
      <c r="J165" s="222">
        <v>379</v>
      </c>
      <c r="K165" s="222">
        <v>749</v>
      </c>
    </row>
    <row r="166" spans="1:11" ht="13.5" customHeight="1">
      <c r="A166" s="854"/>
      <c r="B166" s="221" t="s">
        <v>517</v>
      </c>
      <c r="C166" s="222">
        <v>20</v>
      </c>
      <c r="D166" s="222">
        <v>5</v>
      </c>
      <c r="E166" s="222">
        <v>25</v>
      </c>
      <c r="F166" s="222">
        <v>1</v>
      </c>
      <c r="G166" s="222">
        <v>0</v>
      </c>
      <c r="H166" s="222">
        <v>1</v>
      </c>
      <c r="I166" s="222">
        <v>150</v>
      </c>
      <c r="J166" s="222">
        <v>238</v>
      </c>
      <c r="K166" s="222">
        <v>388</v>
      </c>
    </row>
    <row r="167" spans="1:11" ht="13.5" customHeight="1">
      <c r="A167" s="854"/>
      <c r="B167" s="224" t="s">
        <v>518</v>
      </c>
      <c r="C167" s="222">
        <v>5</v>
      </c>
      <c r="D167" s="222">
        <v>2</v>
      </c>
      <c r="E167" s="222">
        <v>7</v>
      </c>
      <c r="F167" s="222"/>
      <c r="G167" s="222"/>
      <c r="H167" s="222"/>
      <c r="I167" s="222">
        <v>197</v>
      </c>
      <c r="J167" s="222">
        <v>48</v>
      </c>
      <c r="K167" s="222">
        <v>245</v>
      </c>
    </row>
    <row r="168" spans="1:11" ht="13.5" customHeight="1">
      <c r="A168" s="854"/>
      <c r="B168" s="221" t="s">
        <v>520</v>
      </c>
      <c r="C168" s="222">
        <v>17</v>
      </c>
      <c r="D168" s="222">
        <v>9</v>
      </c>
      <c r="E168" s="222">
        <v>26</v>
      </c>
      <c r="F168" s="222">
        <v>14</v>
      </c>
      <c r="G168" s="222">
        <v>5</v>
      </c>
      <c r="H168" s="222">
        <v>19</v>
      </c>
      <c r="I168" s="222">
        <v>91</v>
      </c>
      <c r="J168" s="222">
        <v>50</v>
      </c>
      <c r="K168" s="222">
        <v>141</v>
      </c>
    </row>
    <row r="169" spans="1:11" ht="13.5" customHeight="1">
      <c r="A169" s="854"/>
      <c r="B169" s="221" t="s">
        <v>519</v>
      </c>
      <c r="C169" s="222">
        <v>2</v>
      </c>
      <c r="D169" s="222">
        <v>5</v>
      </c>
      <c r="E169" s="222">
        <v>7</v>
      </c>
      <c r="F169" s="222">
        <v>0</v>
      </c>
      <c r="G169" s="222">
        <v>0</v>
      </c>
      <c r="H169" s="222">
        <v>0</v>
      </c>
      <c r="I169" s="222">
        <v>4</v>
      </c>
      <c r="J169" s="222">
        <v>1</v>
      </c>
      <c r="K169" s="222">
        <v>5</v>
      </c>
    </row>
    <row r="170" spans="1:11" ht="13.5" customHeight="1">
      <c r="A170" s="965"/>
      <c r="B170" s="221" t="s">
        <v>521</v>
      </c>
      <c r="C170" s="222">
        <v>0</v>
      </c>
      <c r="D170" s="222">
        <v>0</v>
      </c>
      <c r="E170" s="222">
        <v>0</v>
      </c>
      <c r="F170" s="222"/>
      <c r="G170" s="222"/>
      <c r="H170" s="222"/>
      <c r="I170" s="222">
        <v>0</v>
      </c>
      <c r="J170" s="222">
        <v>1</v>
      </c>
      <c r="K170" s="222">
        <v>1</v>
      </c>
    </row>
    <row r="171" spans="1:11" ht="13.5" customHeight="1">
      <c r="A171" s="429" t="s">
        <v>522</v>
      </c>
      <c r="B171" s="269"/>
      <c r="C171" s="225">
        <v>80</v>
      </c>
      <c r="D171" s="225">
        <v>53</v>
      </c>
      <c r="E171" s="225">
        <v>133</v>
      </c>
      <c r="F171" s="225">
        <v>16</v>
      </c>
      <c r="G171" s="225">
        <v>21</v>
      </c>
      <c r="H171" s="225">
        <v>37</v>
      </c>
      <c r="I171" s="225">
        <v>812</v>
      </c>
      <c r="J171" s="225">
        <v>717</v>
      </c>
      <c r="K171" s="225">
        <v>1529</v>
      </c>
    </row>
    <row r="172" spans="1:11" ht="13.5" customHeight="1">
      <c r="A172" s="853" t="s">
        <v>175</v>
      </c>
      <c r="B172" s="221" t="s">
        <v>523</v>
      </c>
      <c r="C172" s="222">
        <v>540</v>
      </c>
      <c r="D172" s="222">
        <v>528</v>
      </c>
      <c r="E172" s="222">
        <v>1068</v>
      </c>
      <c r="F172" s="222">
        <v>338</v>
      </c>
      <c r="G172" s="222">
        <v>1308</v>
      </c>
      <c r="H172" s="222">
        <v>1646</v>
      </c>
      <c r="I172" s="222">
        <v>18519</v>
      </c>
      <c r="J172" s="222">
        <v>36105</v>
      </c>
      <c r="K172" s="222">
        <v>54624</v>
      </c>
    </row>
    <row r="173" spans="1:11" ht="13.5" customHeight="1">
      <c r="A173" s="854"/>
      <c r="B173" s="221" t="s">
        <v>524</v>
      </c>
      <c r="C173" s="222">
        <v>1060</v>
      </c>
      <c r="D173" s="222">
        <v>749</v>
      </c>
      <c r="E173" s="222">
        <v>1809</v>
      </c>
      <c r="F173" s="222">
        <v>204</v>
      </c>
      <c r="G173" s="222">
        <v>409</v>
      </c>
      <c r="H173" s="222">
        <v>613</v>
      </c>
      <c r="I173" s="222">
        <v>22203</v>
      </c>
      <c r="J173" s="222">
        <v>31490</v>
      </c>
      <c r="K173" s="222">
        <v>53693</v>
      </c>
    </row>
    <row r="174" spans="1:11" ht="13.5" customHeight="1">
      <c r="A174" s="854"/>
      <c r="B174" s="221" t="s">
        <v>526</v>
      </c>
      <c r="C174" s="222">
        <v>675</v>
      </c>
      <c r="D174" s="222">
        <v>570</v>
      </c>
      <c r="E174" s="222">
        <v>1245</v>
      </c>
      <c r="F174" s="222">
        <v>138</v>
      </c>
      <c r="G174" s="222">
        <v>409</v>
      </c>
      <c r="H174" s="222">
        <v>547</v>
      </c>
      <c r="I174" s="222">
        <v>12325</v>
      </c>
      <c r="J174" s="222">
        <v>18939</v>
      </c>
      <c r="K174" s="222">
        <v>31264</v>
      </c>
    </row>
    <row r="175" spans="1:11" ht="13.5" customHeight="1">
      <c r="A175" s="854"/>
      <c r="B175" s="221" t="s">
        <v>525</v>
      </c>
      <c r="C175" s="222">
        <v>876</v>
      </c>
      <c r="D175" s="222">
        <v>522</v>
      </c>
      <c r="E175" s="222">
        <v>1398</v>
      </c>
      <c r="F175" s="222">
        <v>184</v>
      </c>
      <c r="G175" s="222">
        <v>542</v>
      </c>
      <c r="H175" s="222">
        <v>726</v>
      </c>
      <c r="I175" s="222">
        <v>12027</v>
      </c>
      <c r="J175" s="222">
        <v>18759</v>
      </c>
      <c r="K175" s="222">
        <v>30786</v>
      </c>
    </row>
    <row r="176" spans="1:11" ht="13.5" customHeight="1">
      <c r="A176" s="854"/>
      <c r="B176" s="221" t="s">
        <v>527</v>
      </c>
      <c r="C176" s="222">
        <v>271</v>
      </c>
      <c r="D176" s="222">
        <v>310</v>
      </c>
      <c r="E176" s="222">
        <v>581</v>
      </c>
      <c r="F176" s="222">
        <v>90</v>
      </c>
      <c r="G176" s="222">
        <v>226</v>
      </c>
      <c r="H176" s="222">
        <v>316</v>
      </c>
      <c r="I176" s="222">
        <v>6176</v>
      </c>
      <c r="J176" s="222">
        <v>16116</v>
      </c>
      <c r="K176" s="222">
        <v>22292</v>
      </c>
    </row>
    <row r="177" spans="1:11" ht="13.5" customHeight="1">
      <c r="A177" s="854"/>
      <c r="B177" s="221" t="s">
        <v>528</v>
      </c>
      <c r="C177" s="222">
        <v>223</v>
      </c>
      <c r="D177" s="222">
        <v>318</v>
      </c>
      <c r="E177" s="222">
        <v>541</v>
      </c>
      <c r="F177" s="222">
        <v>91</v>
      </c>
      <c r="G177" s="222">
        <v>236</v>
      </c>
      <c r="H177" s="222">
        <v>327</v>
      </c>
      <c r="I177" s="222">
        <v>5048</v>
      </c>
      <c r="J177" s="222">
        <v>14975</v>
      </c>
      <c r="K177" s="222">
        <v>20023</v>
      </c>
    </row>
    <row r="178" spans="1:11" ht="13.5" customHeight="1">
      <c r="A178" s="854"/>
      <c r="B178" s="221" t="s">
        <v>487</v>
      </c>
      <c r="C178" s="222">
        <v>80</v>
      </c>
      <c r="D178" s="222">
        <v>150</v>
      </c>
      <c r="E178" s="222">
        <v>230</v>
      </c>
      <c r="F178" s="222">
        <v>7</v>
      </c>
      <c r="G178" s="222">
        <v>82</v>
      </c>
      <c r="H178" s="222">
        <v>89</v>
      </c>
      <c r="I178" s="222">
        <v>1947</v>
      </c>
      <c r="J178" s="222">
        <v>6691</v>
      </c>
      <c r="K178" s="222">
        <v>8638</v>
      </c>
    </row>
    <row r="179" spans="1:11" ht="13.5" customHeight="1">
      <c r="A179" s="854"/>
      <c r="B179" s="221" t="s">
        <v>496</v>
      </c>
      <c r="C179" s="222">
        <v>228</v>
      </c>
      <c r="D179" s="222">
        <v>367</v>
      </c>
      <c r="E179" s="222">
        <v>595</v>
      </c>
      <c r="F179" s="222">
        <v>48</v>
      </c>
      <c r="G179" s="222">
        <v>121</v>
      </c>
      <c r="H179" s="222">
        <v>169</v>
      </c>
      <c r="I179" s="222">
        <v>2237</v>
      </c>
      <c r="J179" s="222">
        <v>6248</v>
      </c>
      <c r="K179" s="222">
        <v>8485</v>
      </c>
    </row>
    <row r="180" spans="1:11" ht="13.5" customHeight="1">
      <c r="A180" s="854"/>
      <c r="B180" s="224" t="s">
        <v>530</v>
      </c>
      <c r="C180" s="222">
        <v>48</v>
      </c>
      <c r="D180" s="222">
        <v>63</v>
      </c>
      <c r="E180" s="222">
        <v>111</v>
      </c>
      <c r="F180" s="222">
        <v>22</v>
      </c>
      <c r="G180" s="222">
        <v>61</v>
      </c>
      <c r="H180" s="222">
        <v>83</v>
      </c>
      <c r="I180" s="222">
        <v>1580</v>
      </c>
      <c r="J180" s="222">
        <v>2671</v>
      </c>
      <c r="K180" s="222">
        <v>4251</v>
      </c>
    </row>
    <row r="181" spans="1:11" ht="13.5" customHeight="1">
      <c r="A181" s="854"/>
      <c r="B181" s="224" t="s">
        <v>490</v>
      </c>
      <c r="C181" s="222">
        <v>107</v>
      </c>
      <c r="D181" s="222">
        <v>126</v>
      </c>
      <c r="E181" s="222">
        <v>233</v>
      </c>
      <c r="F181" s="222">
        <v>18</v>
      </c>
      <c r="G181" s="222">
        <v>66</v>
      </c>
      <c r="H181" s="222">
        <v>84</v>
      </c>
      <c r="I181" s="222">
        <v>1019</v>
      </c>
      <c r="J181" s="222">
        <v>2743</v>
      </c>
      <c r="K181" s="222">
        <v>3762</v>
      </c>
    </row>
    <row r="182" spans="1:11" ht="13.5" customHeight="1">
      <c r="A182" s="854"/>
      <c r="B182" s="224" t="s">
        <v>529</v>
      </c>
      <c r="C182" s="222">
        <v>152</v>
      </c>
      <c r="D182" s="222">
        <v>151</v>
      </c>
      <c r="E182" s="222">
        <v>303</v>
      </c>
      <c r="F182" s="222">
        <v>19</v>
      </c>
      <c r="G182" s="222">
        <v>56</v>
      </c>
      <c r="H182" s="222">
        <v>75</v>
      </c>
      <c r="I182" s="222">
        <v>1005</v>
      </c>
      <c r="J182" s="222">
        <v>2613</v>
      </c>
      <c r="K182" s="222">
        <v>3618</v>
      </c>
    </row>
    <row r="183" spans="1:11" ht="13.5" customHeight="1">
      <c r="A183" s="854"/>
      <c r="B183" s="221" t="s">
        <v>531</v>
      </c>
      <c r="C183" s="222">
        <v>143</v>
      </c>
      <c r="D183" s="222">
        <v>149</v>
      </c>
      <c r="E183" s="222">
        <v>292</v>
      </c>
      <c r="F183" s="222">
        <v>38</v>
      </c>
      <c r="G183" s="222">
        <v>51</v>
      </c>
      <c r="H183" s="222">
        <v>89</v>
      </c>
      <c r="I183" s="222">
        <v>1300</v>
      </c>
      <c r="J183" s="222">
        <v>2067</v>
      </c>
      <c r="K183" s="222">
        <v>3367</v>
      </c>
    </row>
    <row r="184" spans="1:11" ht="15.75" customHeight="1">
      <c r="A184" s="854"/>
      <c r="B184" s="221" t="s">
        <v>532</v>
      </c>
      <c r="C184" s="222">
        <v>131</v>
      </c>
      <c r="D184" s="222">
        <v>49</v>
      </c>
      <c r="E184" s="222">
        <v>180</v>
      </c>
      <c r="F184" s="222">
        <v>18</v>
      </c>
      <c r="G184" s="222">
        <v>17</v>
      </c>
      <c r="H184" s="222">
        <v>35</v>
      </c>
      <c r="I184" s="222">
        <v>1731</v>
      </c>
      <c r="J184" s="222">
        <v>1456</v>
      </c>
      <c r="K184" s="222">
        <v>3187</v>
      </c>
    </row>
    <row r="185" spans="1:11" ht="15" customHeight="1">
      <c r="A185" s="854"/>
      <c r="B185" s="224" t="s">
        <v>533</v>
      </c>
      <c r="C185" s="222">
        <v>148</v>
      </c>
      <c r="D185" s="222">
        <v>217</v>
      </c>
      <c r="E185" s="222">
        <v>365</v>
      </c>
      <c r="F185" s="222">
        <v>2</v>
      </c>
      <c r="G185" s="222">
        <v>16</v>
      </c>
      <c r="H185" s="222">
        <v>18</v>
      </c>
      <c r="I185" s="222">
        <v>573</v>
      </c>
      <c r="J185" s="222">
        <v>1554</v>
      </c>
      <c r="K185" s="222">
        <v>2127</v>
      </c>
    </row>
    <row r="186" spans="1:11" ht="15" customHeight="1">
      <c r="A186" s="854"/>
      <c r="B186" s="224" t="s">
        <v>534</v>
      </c>
      <c r="C186" s="222">
        <v>55</v>
      </c>
      <c r="D186" s="222">
        <v>38</v>
      </c>
      <c r="E186" s="222">
        <v>93</v>
      </c>
      <c r="F186" s="222">
        <v>25</v>
      </c>
      <c r="G186" s="222">
        <v>27</v>
      </c>
      <c r="H186" s="222">
        <v>52</v>
      </c>
      <c r="I186" s="222">
        <v>880</v>
      </c>
      <c r="J186" s="222">
        <v>738</v>
      </c>
      <c r="K186" s="222">
        <v>1618</v>
      </c>
    </row>
    <row r="187" spans="1:11" ht="15" customHeight="1">
      <c r="A187" s="854"/>
      <c r="B187" s="224" t="s">
        <v>535</v>
      </c>
      <c r="C187" s="222">
        <v>11</v>
      </c>
      <c r="D187" s="222">
        <v>9</v>
      </c>
      <c r="E187" s="222">
        <v>20</v>
      </c>
      <c r="F187" s="222">
        <v>0</v>
      </c>
      <c r="G187" s="222">
        <v>0</v>
      </c>
      <c r="H187" s="222">
        <v>0</v>
      </c>
      <c r="I187" s="222">
        <v>291</v>
      </c>
      <c r="J187" s="222">
        <v>210</v>
      </c>
      <c r="K187" s="222">
        <v>501</v>
      </c>
    </row>
    <row r="188" spans="1:11" ht="14.25" customHeight="1">
      <c r="A188" s="854"/>
      <c r="B188" s="221" t="s">
        <v>536</v>
      </c>
      <c r="C188" s="222">
        <v>30</v>
      </c>
      <c r="D188" s="222">
        <v>29</v>
      </c>
      <c r="E188" s="222">
        <v>59</v>
      </c>
      <c r="F188" s="222">
        <v>0</v>
      </c>
      <c r="G188" s="222">
        <v>5</v>
      </c>
      <c r="H188" s="222">
        <v>5</v>
      </c>
      <c r="I188" s="222">
        <v>101</v>
      </c>
      <c r="J188" s="222">
        <v>367</v>
      </c>
      <c r="K188" s="222">
        <v>468</v>
      </c>
    </row>
    <row r="189" spans="1:11" ht="14.25" customHeight="1">
      <c r="A189" s="965"/>
      <c r="B189" s="221" t="s">
        <v>175</v>
      </c>
      <c r="C189" s="222">
        <v>4</v>
      </c>
      <c r="D189" s="222">
        <v>2</v>
      </c>
      <c r="E189" s="222">
        <v>6</v>
      </c>
      <c r="F189" s="222"/>
      <c r="G189" s="222"/>
      <c r="H189" s="222"/>
      <c r="I189" s="222"/>
      <c r="J189" s="222"/>
      <c r="K189" s="222"/>
    </row>
    <row r="190" spans="1:11" ht="14.25" customHeight="1">
      <c r="A190" s="429" t="s">
        <v>537</v>
      </c>
      <c r="B190" s="269"/>
      <c r="C190" s="225">
        <v>4782</v>
      </c>
      <c r="D190" s="225">
        <v>4347</v>
      </c>
      <c r="E190" s="225">
        <v>9129</v>
      </c>
      <c r="F190" s="225">
        <v>1242</v>
      </c>
      <c r="G190" s="225">
        <v>3632</v>
      </c>
      <c r="H190" s="225">
        <v>4874</v>
      </c>
      <c r="I190" s="225">
        <v>88962</v>
      </c>
      <c r="J190" s="225">
        <v>163742</v>
      </c>
      <c r="K190" s="225">
        <v>252704</v>
      </c>
    </row>
    <row r="191" spans="1:11" ht="14.25" customHeight="1">
      <c r="A191" s="855" t="s">
        <v>374</v>
      </c>
      <c r="B191" s="221" t="s">
        <v>540</v>
      </c>
      <c r="C191" s="222">
        <v>248</v>
      </c>
      <c r="D191" s="222">
        <v>173</v>
      </c>
      <c r="E191" s="222">
        <v>421</v>
      </c>
      <c r="F191" s="222">
        <v>186</v>
      </c>
      <c r="G191" s="222">
        <v>192</v>
      </c>
      <c r="H191" s="222">
        <v>378</v>
      </c>
      <c r="I191" s="222">
        <v>23410</v>
      </c>
      <c r="J191" s="222">
        <v>32168</v>
      </c>
      <c r="K191" s="222">
        <v>55578</v>
      </c>
    </row>
    <row r="192" spans="1:11" ht="14.25" customHeight="1">
      <c r="A192" s="856"/>
      <c r="B192" s="221" t="s">
        <v>539</v>
      </c>
      <c r="C192" s="222">
        <v>444</v>
      </c>
      <c r="D192" s="222">
        <v>257</v>
      </c>
      <c r="E192" s="222">
        <v>701</v>
      </c>
      <c r="F192" s="222">
        <v>232</v>
      </c>
      <c r="G192" s="222">
        <v>416</v>
      </c>
      <c r="H192" s="222">
        <v>648</v>
      </c>
      <c r="I192" s="222">
        <v>22326</v>
      </c>
      <c r="J192" s="222">
        <v>29455</v>
      </c>
      <c r="K192" s="222">
        <v>51781</v>
      </c>
    </row>
    <row r="193" spans="1:11" ht="14.25" customHeight="1">
      <c r="A193" s="856"/>
      <c r="B193" s="221" t="s">
        <v>538</v>
      </c>
      <c r="C193" s="222">
        <v>173</v>
      </c>
      <c r="D193" s="222">
        <v>191</v>
      </c>
      <c r="E193" s="222">
        <v>364</v>
      </c>
      <c r="F193" s="222">
        <v>74</v>
      </c>
      <c r="G193" s="222">
        <v>138</v>
      </c>
      <c r="H193" s="222">
        <v>212</v>
      </c>
      <c r="I193" s="222">
        <v>16369</v>
      </c>
      <c r="J193" s="222">
        <v>34787</v>
      </c>
      <c r="K193" s="222">
        <v>51156</v>
      </c>
    </row>
    <row r="194" spans="1:11">
      <c r="A194" s="856"/>
      <c r="B194" s="224" t="s">
        <v>542</v>
      </c>
      <c r="C194" s="222">
        <v>342</v>
      </c>
      <c r="D194" s="222">
        <v>319</v>
      </c>
      <c r="E194" s="222">
        <v>661</v>
      </c>
      <c r="F194" s="222">
        <v>344</v>
      </c>
      <c r="G194" s="222">
        <v>455</v>
      </c>
      <c r="H194" s="222">
        <v>799</v>
      </c>
      <c r="I194" s="222">
        <v>11898</v>
      </c>
      <c r="J194" s="222">
        <v>21363</v>
      </c>
      <c r="K194" s="222">
        <v>33261</v>
      </c>
    </row>
    <row r="195" spans="1:11">
      <c r="A195" s="856"/>
      <c r="B195" s="224" t="s">
        <v>541</v>
      </c>
      <c r="C195" s="222">
        <v>341</v>
      </c>
      <c r="D195" s="222">
        <v>324</v>
      </c>
      <c r="E195" s="222">
        <v>665</v>
      </c>
      <c r="F195" s="222">
        <v>259</v>
      </c>
      <c r="G195" s="222">
        <v>301</v>
      </c>
      <c r="H195" s="222">
        <v>560</v>
      </c>
      <c r="I195" s="222">
        <v>11584</v>
      </c>
      <c r="J195" s="222">
        <v>19735</v>
      </c>
      <c r="K195" s="222">
        <v>31319</v>
      </c>
    </row>
    <row r="196" spans="1:11" ht="15" customHeight="1">
      <c r="A196" s="856"/>
      <c r="B196" s="221" t="s">
        <v>543</v>
      </c>
      <c r="C196" s="222">
        <v>124</v>
      </c>
      <c r="D196" s="222">
        <v>124</v>
      </c>
      <c r="E196" s="222">
        <v>248</v>
      </c>
      <c r="F196" s="222">
        <v>106</v>
      </c>
      <c r="G196" s="222">
        <v>87</v>
      </c>
      <c r="H196" s="222">
        <v>193</v>
      </c>
      <c r="I196" s="222">
        <v>9624</v>
      </c>
      <c r="J196" s="222">
        <v>12631</v>
      </c>
      <c r="K196" s="222">
        <v>22255</v>
      </c>
    </row>
    <row r="197" spans="1:11">
      <c r="A197" s="856"/>
      <c r="B197" s="221" t="s">
        <v>544</v>
      </c>
      <c r="C197" s="222">
        <v>112</v>
      </c>
      <c r="D197" s="222">
        <v>177</v>
      </c>
      <c r="E197" s="222">
        <v>289</v>
      </c>
      <c r="F197" s="222">
        <v>64</v>
      </c>
      <c r="G197" s="222">
        <v>107</v>
      </c>
      <c r="H197" s="222">
        <v>171</v>
      </c>
      <c r="I197" s="222">
        <v>3378</v>
      </c>
      <c r="J197" s="222">
        <v>8110</v>
      </c>
      <c r="K197" s="222">
        <v>11488</v>
      </c>
    </row>
    <row r="198" spans="1:11">
      <c r="A198" s="856"/>
      <c r="B198" s="224" t="s">
        <v>545</v>
      </c>
      <c r="C198" s="222">
        <v>59</v>
      </c>
      <c r="D198" s="222">
        <v>26</v>
      </c>
      <c r="E198" s="222">
        <v>85</v>
      </c>
      <c r="F198" s="222">
        <v>17</v>
      </c>
      <c r="G198" s="222">
        <v>22</v>
      </c>
      <c r="H198" s="222">
        <v>39</v>
      </c>
      <c r="I198" s="222">
        <v>3456</v>
      </c>
      <c r="J198" s="222">
        <v>2621</v>
      </c>
      <c r="K198" s="222">
        <v>6077</v>
      </c>
    </row>
    <row r="199" spans="1:11">
      <c r="A199" s="856"/>
      <c r="B199" s="224" t="s">
        <v>546</v>
      </c>
      <c r="C199" s="222">
        <v>87</v>
      </c>
      <c r="D199" s="222">
        <v>78</v>
      </c>
      <c r="E199" s="222">
        <v>165</v>
      </c>
      <c r="F199" s="222">
        <v>69</v>
      </c>
      <c r="G199" s="222">
        <v>65</v>
      </c>
      <c r="H199" s="222">
        <v>134</v>
      </c>
      <c r="I199" s="222">
        <v>1401</v>
      </c>
      <c r="J199" s="222">
        <v>1905</v>
      </c>
      <c r="K199" s="222">
        <v>3306</v>
      </c>
    </row>
    <row r="200" spans="1:11">
      <c r="A200" s="856"/>
      <c r="B200" s="224" t="s">
        <v>547</v>
      </c>
      <c r="C200" s="222">
        <v>30</v>
      </c>
      <c r="D200" s="222">
        <v>50</v>
      </c>
      <c r="E200" s="222">
        <v>80</v>
      </c>
      <c r="F200" s="222">
        <v>18</v>
      </c>
      <c r="G200" s="222">
        <v>27</v>
      </c>
      <c r="H200" s="222">
        <v>45</v>
      </c>
      <c r="I200" s="222">
        <v>282</v>
      </c>
      <c r="J200" s="222">
        <v>475</v>
      </c>
      <c r="K200" s="222">
        <v>757</v>
      </c>
    </row>
    <row r="201" spans="1:11">
      <c r="A201" s="856"/>
      <c r="B201" s="221" t="s">
        <v>523</v>
      </c>
      <c r="C201" s="224">
        <v>0</v>
      </c>
      <c r="D201" s="224">
        <v>0</v>
      </c>
      <c r="E201" s="224">
        <v>0</v>
      </c>
      <c r="F201" s="224"/>
      <c r="G201" s="224"/>
      <c r="H201" s="224"/>
      <c r="I201" s="224">
        <v>138</v>
      </c>
      <c r="J201" s="224">
        <v>143</v>
      </c>
      <c r="K201" s="224">
        <v>281</v>
      </c>
    </row>
    <row r="202" spans="1:11">
      <c r="A202" s="856"/>
      <c r="B202" s="221" t="s">
        <v>548</v>
      </c>
      <c r="C202" s="224">
        <v>21</v>
      </c>
      <c r="D202" s="224">
        <v>13</v>
      </c>
      <c r="E202" s="224">
        <v>34</v>
      </c>
      <c r="F202" s="224">
        <v>21</v>
      </c>
      <c r="G202" s="224">
        <v>27</v>
      </c>
      <c r="H202" s="224">
        <v>48</v>
      </c>
      <c r="I202" s="224">
        <v>40</v>
      </c>
      <c r="J202" s="224">
        <v>28</v>
      </c>
      <c r="K202" s="224">
        <v>68</v>
      </c>
    </row>
    <row r="203" spans="1:11">
      <c r="A203" s="857"/>
      <c r="B203" s="221" t="s">
        <v>530</v>
      </c>
      <c r="C203" s="224">
        <v>1</v>
      </c>
      <c r="D203" s="224">
        <v>0</v>
      </c>
      <c r="E203" s="224">
        <v>1</v>
      </c>
      <c r="F203" s="224"/>
      <c r="G203" s="224"/>
      <c r="H203" s="224"/>
      <c r="I203" s="224">
        <v>6</v>
      </c>
      <c r="J203" s="224">
        <v>8</v>
      </c>
      <c r="K203" s="224">
        <v>14</v>
      </c>
    </row>
    <row r="204" spans="1:11" ht="15">
      <c r="A204" s="429" t="s">
        <v>549</v>
      </c>
      <c r="B204" s="269"/>
      <c r="C204" s="230">
        <v>1982</v>
      </c>
      <c r="D204" s="230">
        <v>1732</v>
      </c>
      <c r="E204" s="230">
        <v>3714</v>
      </c>
      <c r="F204" s="230">
        <v>1390</v>
      </c>
      <c r="G204" s="230">
        <v>1837</v>
      </c>
      <c r="H204" s="230">
        <v>3227</v>
      </c>
      <c r="I204" s="230">
        <v>103912</v>
      </c>
      <c r="J204" s="230">
        <v>163429</v>
      </c>
      <c r="K204" s="230">
        <v>267341</v>
      </c>
    </row>
    <row r="205" spans="1:11" ht="15">
      <c r="A205" s="429" t="s">
        <v>411</v>
      </c>
      <c r="B205" s="269"/>
      <c r="C205" s="224">
        <v>78</v>
      </c>
      <c r="D205" s="224">
        <v>73</v>
      </c>
      <c r="E205" s="224">
        <v>151</v>
      </c>
      <c r="F205" s="224">
        <v>105</v>
      </c>
      <c r="G205" s="224">
        <v>121</v>
      </c>
      <c r="H205" s="224">
        <v>226</v>
      </c>
      <c r="I205" s="224">
        <v>9132</v>
      </c>
      <c r="J205" s="224">
        <v>11075</v>
      </c>
      <c r="K205" s="224">
        <v>20207</v>
      </c>
    </row>
    <row r="206" spans="1:11">
      <c r="A206" s="966" t="s">
        <v>415</v>
      </c>
      <c r="B206" s="224" t="s">
        <v>415</v>
      </c>
      <c r="C206" s="224">
        <v>282</v>
      </c>
      <c r="D206" s="224">
        <v>156</v>
      </c>
      <c r="E206" s="224">
        <v>438</v>
      </c>
      <c r="F206" s="224"/>
      <c r="G206" s="224"/>
      <c r="H206" s="224"/>
      <c r="I206" s="224">
        <v>992</v>
      </c>
      <c r="J206" s="224">
        <v>669</v>
      </c>
      <c r="K206" s="224">
        <v>1661</v>
      </c>
    </row>
    <row r="207" spans="1:11">
      <c r="A207" s="852"/>
      <c r="B207" s="221" t="s">
        <v>550</v>
      </c>
      <c r="C207" s="224">
        <v>0</v>
      </c>
      <c r="D207" s="224">
        <v>6</v>
      </c>
      <c r="E207" s="224">
        <v>6</v>
      </c>
      <c r="F207" s="224"/>
      <c r="G207" s="224"/>
      <c r="H207" s="224"/>
      <c r="I207" s="224">
        <v>10</v>
      </c>
      <c r="J207" s="224">
        <v>22</v>
      </c>
      <c r="K207" s="224">
        <v>32</v>
      </c>
    </row>
    <row r="208" spans="1:11" ht="15">
      <c r="A208" s="436" t="s">
        <v>551</v>
      </c>
      <c r="B208" s="224"/>
      <c r="C208" s="230">
        <v>282</v>
      </c>
      <c r="D208" s="230">
        <v>162</v>
      </c>
      <c r="E208" s="230">
        <v>444</v>
      </c>
      <c r="F208" s="230"/>
      <c r="G208" s="230"/>
      <c r="H208" s="230"/>
      <c r="I208" s="230">
        <v>1002</v>
      </c>
      <c r="J208" s="230">
        <v>691</v>
      </c>
      <c r="K208" s="230">
        <v>1693</v>
      </c>
    </row>
    <row r="209" spans="1:11" ht="15">
      <c r="A209" s="429" t="s">
        <v>417</v>
      </c>
      <c r="B209" s="269"/>
      <c r="C209" s="224">
        <v>34</v>
      </c>
      <c r="D209" s="224">
        <v>28</v>
      </c>
      <c r="E209" s="224">
        <v>62</v>
      </c>
      <c r="F209" s="224">
        <v>5</v>
      </c>
      <c r="G209" s="224">
        <v>33</v>
      </c>
      <c r="H209" s="224">
        <v>38</v>
      </c>
      <c r="I209" s="224">
        <v>159</v>
      </c>
      <c r="J209" s="224">
        <v>4392</v>
      </c>
      <c r="K209" s="224">
        <v>4551</v>
      </c>
    </row>
    <row r="210" spans="1:11" ht="22.5" customHeight="1">
      <c r="A210" s="429" t="s">
        <v>60</v>
      </c>
      <c r="B210" s="269"/>
      <c r="C210" s="230">
        <v>21577</v>
      </c>
      <c r="D210" s="230">
        <v>17409</v>
      </c>
      <c r="E210" s="230">
        <v>38986</v>
      </c>
      <c r="F210" s="230">
        <v>6018</v>
      </c>
      <c r="G210" s="230">
        <v>12202</v>
      </c>
      <c r="H210" s="230">
        <v>18220</v>
      </c>
      <c r="I210" s="230">
        <v>656690</v>
      </c>
      <c r="J210" s="230">
        <v>921014</v>
      </c>
      <c r="K210" s="230">
        <v>1577704</v>
      </c>
    </row>
  </sheetData>
  <mergeCells count="25">
    <mergeCell ref="A22:A40"/>
    <mergeCell ref="A17:A18"/>
    <mergeCell ref="A11:A12"/>
    <mergeCell ref="A108:A133"/>
    <mergeCell ref="A5:A8"/>
    <mergeCell ref="A61:A63"/>
    <mergeCell ref="A54:A58"/>
    <mergeCell ref="A49:A52"/>
    <mergeCell ref="A43:A46"/>
    <mergeCell ref="A206:A207"/>
    <mergeCell ref="A191:A203"/>
    <mergeCell ref="A172:A189"/>
    <mergeCell ref="A165:A170"/>
    <mergeCell ref="A162:A163"/>
    <mergeCell ref="A157:A159"/>
    <mergeCell ref="A93:A105"/>
    <mergeCell ref="A85:A89"/>
    <mergeCell ref="A78:A82"/>
    <mergeCell ref="A66:A76"/>
    <mergeCell ref="A134:A155"/>
    <mergeCell ref="A1:K1"/>
    <mergeCell ref="A2:B3"/>
    <mergeCell ref="C2:E2"/>
    <mergeCell ref="F2:H2"/>
    <mergeCell ref="I2:K2"/>
  </mergeCells>
  <pageMargins left="0.5" right="0.2" top="0.4" bottom="0.4" header="0.31496062992126" footer="0.196850393700787"/>
  <pageSetup paperSize="9" scale="79" firstPageNumber="105" orientation="portrait" useFirstPageNumber="1" r:id="rId1"/>
  <headerFooter>
    <oddFooter>&amp;L     AISHE 2019-20&amp;CT-36</oddFooter>
  </headerFooter>
  <rowBreaks count="3" manualBreakCount="3">
    <brk id="65" max="10" man="1"/>
    <brk id="133" max="10" man="1"/>
    <brk id="190" max="10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>
    <tabColor rgb="FF00B050"/>
  </sheetPr>
  <dimension ref="A1:AF42"/>
  <sheetViews>
    <sheetView view="pageBreakPreview" zoomScale="70" zoomScaleSheetLayoutView="70" workbookViewId="0">
      <pane xSplit="2" ySplit="4" topLeftCell="Q23" activePane="bottomRight" state="frozen"/>
      <selection activeCell="B4" sqref="B4"/>
      <selection pane="topRight" activeCell="B4" sqref="B4"/>
      <selection pane="bottomLeft" activeCell="B4" sqref="B4"/>
      <selection pane="bottomRight" activeCell="A43" sqref="A43:XFD49"/>
    </sheetView>
  </sheetViews>
  <sheetFormatPr defaultColWidth="9.140625" defaultRowHeight="14.25"/>
  <cols>
    <col min="1" max="1" width="5.5703125" style="62" customWidth="1"/>
    <col min="2" max="2" width="21.5703125" style="71" customWidth="1"/>
    <col min="3" max="3" width="6.7109375" style="72" customWidth="1"/>
    <col min="4" max="4" width="8.85546875" style="72" customWidth="1"/>
    <col min="5" max="5" width="8.5703125" style="72" customWidth="1"/>
    <col min="6" max="6" width="6.7109375" style="72" customWidth="1"/>
    <col min="7" max="7" width="12.28515625" style="72" customWidth="1"/>
    <col min="8" max="8" width="9.140625" style="72" customWidth="1"/>
    <col min="9" max="9" width="8.5703125" style="72" customWidth="1"/>
    <col min="10" max="10" width="9" style="72" customWidth="1"/>
    <col min="11" max="11" width="6.7109375" style="72" customWidth="1"/>
    <col min="12" max="12" width="12.7109375" style="62" customWidth="1"/>
    <col min="13" max="13" width="8.5703125" style="62" customWidth="1"/>
    <col min="14" max="14" width="7.85546875" style="62" customWidth="1"/>
    <col min="15" max="15" width="5.7109375" style="62" customWidth="1"/>
    <col min="16" max="16" width="11.85546875" style="62" customWidth="1"/>
    <col min="17" max="17" width="8.85546875" style="62" customWidth="1"/>
    <col min="18" max="18" width="9" style="62" customWidth="1"/>
    <col min="19" max="19" width="5.7109375" style="62" customWidth="1"/>
    <col min="20" max="20" width="13.85546875" style="62" customWidth="1"/>
    <col min="21" max="21" width="8.42578125" style="62" customWidth="1"/>
    <col min="22" max="22" width="10" style="62" customWidth="1"/>
    <col min="23" max="23" width="15" style="62" customWidth="1"/>
    <col min="24" max="24" width="8.7109375" style="62" customWidth="1"/>
    <col min="25" max="26" width="7.85546875" style="62" customWidth="1"/>
    <col min="27" max="27" width="11.42578125" style="62" customWidth="1"/>
    <col min="28" max="28" width="9.140625" style="62" customWidth="1"/>
    <col min="29" max="29" width="11.85546875" style="62" customWidth="1"/>
    <col min="30" max="30" width="7.28515625" style="62" customWidth="1"/>
    <col min="31" max="31" width="14" style="62" customWidth="1"/>
    <col min="32" max="32" width="14.28515625" style="62" customWidth="1"/>
    <col min="33" max="16384" width="9.140625" style="62"/>
  </cols>
  <sheetData>
    <row r="1" spans="1:32" ht="24.75" customHeight="1">
      <c r="A1" s="103"/>
      <c r="B1" s="490" t="s">
        <v>53</v>
      </c>
      <c r="C1" s="148" t="s">
        <v>164</v>
      </c>
      <c r="D1" s="148"/>
      <c r="E1" s="317"/>
      <c r="F1" s="317"/>
      <c r="G1" s="317"/>
      <c r="H1" s="317"/>
      <c r="I1" s="317"/>
      <c r="J1" s="317"/>
      <c r="K1" s="317"/>
      <c r="L1" s="103"/>
      <c r="M1" s="148" t="str">
        <f>C1</f>
        <v>37. Number of different types of Institutions attached with University</v>
      </c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48" t="str">
        <f>M1</f>
        <v>37. Number of different types of Institutions attached with University</v>
      </c>
      <c r="Y1" s="103"/>
      <c r="Z1" s="103"/>
      <c r="AA1" s="103"/>
      <c r="AB1" s="103"/>
      <c r="AC1" s="103"/>
      <c r="AD1" s="103"/>
      <c r="AE1" s="103"/>
      <c r="AF1" s="103"/>
    </row>
    <row r="2" spans="1:32" s="68" customFormat="1" ht="60">
      <c r="A2" s="750" t="s">
        <v>80</v>
      </c>
      <c r="B2" s="750" t="s">
        <v>713</v>
      </c>
      <c r="C2" s="971" t="s">
        <v>123</v>
      </c>
      <c r="D2" s="971"/>
      <c r="E2" s="971"/>
      <c r="F2" s="971"/>
      <c r="G2" s="971" t="s">
        <v>157</v>
      </c>
      <c r="H2" s="971" t="s">
        <v>126</v>
      </c>
      <c r="I2" s="971"/>
      <c r="J2" s="971"/>
      <c r="K2" s="971"/>
      <c r="L2" s="971" t="s">
        <v>158</v>
      </c>
      <c r="M2" s="971" t="s">
        <v>128</v>
      </c>
      <c r="N2" s="971"/>
      <c r="O2" s="971"/>
      <c r="P2" s="970" t="s">
        <v>159</v>
      </c>
      <c r="Q2" s="971" t="s">
        <v>130</v>
      </c>
      <c r="R2" s="971"/>
      <c r="S2" s="971"/>
      <c r="T2" s="970" t="s">
        <v>160</v>
      </c>
      <c r="U2" s="971" t="s">
        <v>131</v>
      </c>
      <c r="V2" s="971"/>
      <c r="W2" s="971" t="s">
        <v>161</v>
      </c>
      <c r="X2" s="977" t="s">
        <v>132</v>
      </c>
      <c r="Y2" s="978"/>
      <c r="Z2" s="979"/>
      <c r="AA2" s="972" t="s">
        <v>162</v>
      </c>
      <c r="AB2" s="974" t="s">
        <v>125</v>
      </c>
      <c r="AC2" s="975"/>
      <c r="AD2" s="976"/>
      <c r="AE2" s="972" t="s">
        <v>163</v>
      </c>
      <c r="AF2" s="491" t="s">
        <v>129</v>
      </c>
    </row>
    <row r="3" spans="1:32" s="69" customFormat="1" ht="84.75" customHeight="1">
      <c r="A3" s="750"/>
      <c r="B3" s="750"/>
      <c r="C3" s="492" t="s">
        <v>71</v>
      </c>
      <c r="D3" s="492" t="s">
        <v>72</v>
      </c>
      <c r="E3" s="492" t="s">
        <v>73</v>
      </c>
      <c r="F3" s="492" t="s">
        <v>74</v>
      </c>
      <c r="G3" s="971"/>
      <c r="H3" s="492" t="s">
        <v>71</v>
      </c>
      <c r="I3" s="492" t="s">
        <v>72</v>
      </c>
      <c r="J3" s="492" t="s">
        <v>73</v>
      </c>
      <c r="K3" s="492" t="s">
        <v>74</v>
      </c>
      <c r="L3" s="971"/>
      <c r="M3" s="492" t="s">
        <v>72</v>
      </c>
      <c r="N3" s="492" t="s">
        <v>73</v>
      </c>
      <c r="O3" s="492" t="s">
        <v>74</v>
      </c>
      <c r="P3" s="970"/>
      <c r="Q3" s="492" t="s">
        <v>72</v>
      </c>
      <c r="R3" s="492" t="s">
        <v>73</v>
      </c>
      <c r="S3" s="492" t="s">
        <v>74</v>
      </c>
      <c r="T3" s="970"/>
      <c r="U3" s="492" t="s">
        <v>72</v>
      </c>
      <c r="V3" s="492" t="s">
        <v>73</v>
      </c>
      <c r="W3" s="971"/>
      <c r="X3" s="492" t="s">
        <v>72</v>
      </c>
      <c r="Y3" s="492" t="s">
        <v>73</v>
      </c>
      <c r="Z3" s="492" t="s">
        <v>74</v>
      </c>
      <c r="AA3" s="973"/>
      <c r="AB3" s="493" t="s">
        <v>72</v>
      </c>
      <c r="AC3" s="492" t="s">
        <v>73</v>
      </c>
      <c r="AD3" s="492" t="s">
        <v>74</v>
      </c>
      <c r="AE3" s="973"/>
      <c r="AF3" s="492" t="s">
        <v>72</v>
      </c>
    </row>
    <row r="4" spans="1:32" s="68" customFormat="1">
      <c r="A4" s="144">
        <v>1</v>
      </c>
      <c r="B4" s="144">
        <v>2</v>
      </c>
      <c r="C4" s="144">
        <v>3</v>
      </c>
      <c r="D4" s="144">
        <v>4</v>
      </c>
      <c r="E4" s="144">
        <v>5</v>
      </c>
      <c r="F4" s="144">
        <v>6</v>
      </c>
      <c r="G4" s="144">
        <v>7</v>
      </c>
      <c r="H4" s="144">
        <v>8</v>
      </c>
      <c r="I4" s="144">
        <v>9</v>
      </c>
      <c r="J4" s="144">
        <v>10</v>
      </c>
      <c r="K4" s="144">
        <v>11</v>
      </c>
      <c r="L4" s="144">
        <v>12</v>
      </c>
      <c r="M4" s="144">
        <v>13</v>
      </c>
      <c r="N4" s="144">
        <v>14</v>
      </c>
      <c r="O4" s="144">
        <v>15</v>
      </c>
      <c r="P4" s="144">
        <v>16</v>
      </c>
      <c r="Q4" s="144">
        <v>17</v>
      </c>
      <c r="R4" s="144">
        <v>18</v>
      </c>
      <c r="S4" s="144">
        <v>19</v>
      </c>
      <c r="T4" s="144">
        <v>20</v>
      </c>
      <c r="U4" s="144">
        <v>21</v>
      </c>
      <c r="V4" s="144">
        <v>22</v>
      </c>
      <c r="W4" s="144">
        <v>23</v>
      </c>
      <c r="X4" s="144">
        <v>24</v>
      </c>
      <c r="Y4" s="144">
        <v>25</v>
      </c>
      <c r="Z4" s="144">
        <v>26</v>
      </c>
      <c r="AA4" s="144">
        <v>27</v>
      </c>
      <c r="AB4" s="144">
        <v>28</v>
      </c>
      <c r="AC4" s="144">
        <v>29</v>
      </c>
      <c r="AD4" s="144">
        <v>30</v>
      </c>
      <c r="AE4" s="144">
        <v>31</v>
      </c>
      <c r="AF4" s="144">
        <v>32</v>
      </c>
    </row>
    <row r="5" spans="1:32" ht="29.45" customHeight="1">
      <c r="A5" s="100">
        <v>1</v>
      </c>
      <c r="B5" s="303" t="s">
        <v>154</v>
      </c>
      <c r="C5" s="444">
        <v>8</v>
      </c>
      <c r="D5" s="444">
        <v>0</v>
      </c>
      <c r="E5" s="444">
        <v>0</v>
      </c>
      <c r="F5" s="444">
        <v>0</v>
      </c>
      <c r="G5" s="444">
        <v>8</v>
      </c>
      <c r="H5" s="444">
        <v>0</v>
      </c>
      <c r="I5" s="444">
        <v>0</v>
      </c>
      <c r="J5" s="444">
        <v>0</v>
      </c>
      <c r="K5" s="444">
        <v>0</v>
      </c>
      <c r="L5" s="444">
        <v>0</v>
      </c>
      <c r="M5" s="444">
        <v>0</v>
      </c>
      <c r="N5" s="444">
        <v>0</v>
      </c>
      <c r="O5" s="444">
        <v>0</v>
      </c>
      <c r="P5" s="444">
        <v>0</v>
      </c>
      <c r="Q5" s="444">
        <v>0</v>
      </c>
      <c r="R5" s="444">
        <v>0</v>
      </c>
      <c r="S5" s="444">
        <v>0</v>
      </c>
      <c r="T5" s="444">
        <v>0</v>
      </c>
      <c r="U5" s="444">
        <v>0</v>
      </c>
      <c r="V5" s="444">
        <v>0</v>
      </c>
      <c r="W5" s="444">
        <v>0</v>
      </c>
      <c r="X5" s="444">
        <v>0</v>
      </c>
      <c r="Y5" s="444">
        <v>0</v>
      </c>
      <c r="Z5" s="444">
        <v>0</v>
      </c>
      <c r="AA5" s="444">
        <v>0</v>
      </c>
      <c r="AB5" s="444">
        <v>0</v>
      </c>
      <c r="AC5" s="444">
        <v>0</v>
      </c>
      <c r="AD5" s="444">
        <v>0</v>
      </c>
      <c r="AE5" s="444">
        <v>0</v>
      </c>
      <c r="AF5" s="444">
        <v>0</v>
      </c>
    </row>
    <row r="6" spans="1:32" ht="21" customHeight="1">
      <c r="A6" s="100">
        <v>2</v>
      </c>
      <c r="B6" s="303" t="s">
        <v>15</v>
      </c>
      <c r="C6" s="444">
        <v>0</v>
      </c>
      <c r="D6" s="444">
        <v>2</v>
      </c>
      <c r="E6" s="444">
        <v>0</v>
      </c>
      <c r="F6" s="444">
        <v>0</v>
      </c>
      <c r="G6" s="444">
        <v>2</v>
      </c>
      <c r="H6" s="444">
        <v>2687</v>
      </c>
      <c r="I6" s="444">
        <v>61</v>
      </c>
      <c r="J6" s="444">
        <v>7</v>
      </c>
      <c r="K6" s="444">
        <v>1</v>
      </c>
      <c r="L6" s="444">
        <v>2756</v>
      </c>
      <c r="M6" s="444">
        <v>0</v>
      </c>
      <c r="N6" s="444">
        <v>0</v>
      </c>
      <c r="O6" s="444">
        <v>0</v>
      </c>
      <c r="P6" s="444">
        <v>0</v>
      </c>
      <c r="Q6" s="444">
        <v>0</v>
      </c>
      <c r="R6" s="444">
        <v>0</v>
      </c>
      <c r="S6" s="444">
        <v>0</v>
      </c>
      <c r="T6" s="444">
        <v>0</v>
      </c>
      <c r="U6" s="444">
        <v>0</v>
      </c>
      <c r="V6" s="444">
        <v>0</v>
      </c>
      <c r="W6" s="444">
        <v>0</v>
      </c>
      <c r="X6" s="444">
        <v>1</v>
      </c>
      <c r="Y6" s="444">
        <v>0</v>
      </c>
      <c r="Z6" s="444">
        <v>0</v>
      </c>
      <c r="AA6" s="444">
        <v>1</v>
      </c>
      <c r="AB6" s="444">
        <v>1</v>
      </c>
      <c r="AC6" s="444">
        <v>0</v>
      </c>
      <c r="AD6" s="444">
        <v>0</v>
      </c>
      <c r="AE6" s="444">
        <v>1</v>
      </c>
      <c r="AF6" s="444">
        <v>3</v>
      </c>
    </row>
    <row r="7" spans="1:32" ht="30.6" customHeight="1">
      <c r="A7" s="100">
        <v>3</v>
      </c>
      <c r="B7" s="303" t="s">
        <v>16</v>
      </c>
      <c r="C7" s="444">
        <v>37</v>
      </c>
      <c r="D7" s="444">
        <v>2</v>
      </c>
      <c r="E7" s="444">
        <v>0</v>
      </c>
      <c r="F7" s="444">
        <v>0</v>
      </c>
      <c r="G7" s="444">
        <v>39</v>
      </c>
      <c r="H7" s="444">
        <v>0</v>
      </c>
      <c r="I7" s="444">
        <v>0</v>
      </c>
      <c r="J7" s="444">
        <v>0</v>
      </c>
      <c r="K7" s="444">
        <v>0</v>
      </c>
      <c r="L7" s="444">
        <v>0</v>
      </c>
      <c r="M7" s="444">
        <v>0</v>
      </c>
      <c r="N7" s="444">
        <v>0</v>
      </c>
      <c r="O7" s="444">
        <v>0</v>
      </c>
      <c r="P7" s="444">
        <v>0</v>
      </c>
      <c r="Q7" s="444">
        <v>0</v>
      </c>
      <c r="R7" s="444">
        <v>0</v>
      </c>
      <c r="S7" s="444">
        <v>0</v>
      </c>
      <c r="T7" s="444">
        <v>0</v>
      </c>
      <c r="U7" s="444">
        <v>0</v>
      </c>
      <c r="V7" s="444">
        <v>0</v>
      </c>
      <c r="W7" s="444">
        <v>0</v>
      </c>
      <c r="X7" s="444">
        <v>0</v>
      </c>
      <c r="Y7" s="444">
        <v>0</v>
      </c>
      <c r="Z7" s="444">
        <v>0</v>
      </c>
      <c r="AA7" s="444">
        <v>0</v>
      </c>
      <c r="AB7" s="444">
        <v>0</v>
      </c>
      <c r="AC7" s="444">
        <v>0</v>
      </c>
      <c r="AD7" s="444">
        <v>0</v>
      </c>
      <c r="AE7" s="444">
        <v>0</v>
      </c>
      <c r="AF7" s="444">
        <v>0</v>
      </c>
    </row>
    <row r="8" spans="1:32" ht="21" customHeight="1">
      <c r="A8" s="100">
        <v>4</v>
      </c>
      <c r="B8" s="303" t="s">
        <v>17</v>
      </c>
      <c r="C8" s="444">
        <v>57</v>
      </c>
      <c r="D8" s="444">
        <v>0</v>
      </c>
      <c r="E8" s="444">
        <v>0</v>
      </c>
      <c r="F8" s="444">
        <v>0</v>
      </c>
      <c r="G8" s="444">
        <v>57</v>
      </c>
      <c r="H8" s="444">
        <v>495</v>
      </c>
      <c r="I8" s="444">
        <v>6</v>
      </c>
      <c r="J8" s="444">
        <v>0</v>
      </c>
      <c r="K8" s="444">
        <v>1</v>
      </c>
      <c r="L8" s="444">
        <v>502</v>
      </c>
      <c r="M8" s="444">
        <v>0</v>
      </c>
      <c r="N8" s="444">
        <v>0</v>
      </c>
      <c r="O8" s="444">
        <v>0</v>
      </c>
      <c r="P8" s="444">
        <v>0</v>
      </c>
      <c r="Q8" s="444">
        <v>0</v>
      </c>
      <c r="R8" s="444">
        <v>1</v>
      </c>
      <c r="S8" s="444">
        <v>0</v>
      </c>
      <c r="T8" s="444">
        <v>1</v>
      </c>
      <c r="U8" s="444">
        <v>0</v>
      </c>
      <c r="V8" s="444">
        <v>1</v>
      </c>
      <c r="W8" s="444">
        <v>1</v>
      </c>
      <c r="X8" s="444">
        <v>0</v>
      </c>
      <c r="Y8" s="444">
        <v>0</v>
      </c>
      <c r="Z8" s="444">
        <v>0</v>
      </c>
      <c r="AA8" s="444">
        <v>0</v>
      </c>
      <c r="AB8" s="444">
        <v>0</v>
      </c>
      <c r="AC8" s="444">
        <v>1</v>
      </c>
      <c r="AD8" s="444">
        <v>0</v>
      </c>
      <c r="AE8" s="444">
        <v>1</v>
      </c>
      <c r="AF8" s="444">
        <v>0</v>
      </c>
    </row>
    <row r="9" spans="1:32" ht="21" customHeight="1">
      <c r="A9" s="100">
        <v>5</v>
      </c>
      <c r="B9" s="303" t="s">
        <v>18</v>
      </c>
      <c r="C9" s="444">
        <v>0</v>
      </c>
      <c r="D9" s="444">
        <v>8</v>
      </c>
      <c r="E9" s="444">
        <v>0</v>
      </c>
      <c r="F9" s="444">
        <v>0</v>
      </c>
      <c r="G9" s="444">
        <v>8</v>
      </c>
      <c r="H9" s="444">
        <v>596</v>
      </c>
      <c r="I9" s="444">
        <v>270</v>
      </c>
      <c r="J9" s="444">
        <v>7</v>
      </c>
      <c r="K9" s="444">
        <v>27</v>
      </c>
      <c r="L9" s="444">
        <v>900</v>
      </c>
      <c r="M9" s="444">
        <v>4</v>
      </c>
      <c r="N9" s="444">
        <v>0</v>
      </c>
      <c r="O9" s="444">
        <v>0</v>
      </c>
      <c r="P9" s="444">
        <v>4</v>
      </c>
      <c r="Q9" s="444">
        <v>0</v>
      </c>
      <c r="R9" s="444">
        <v>0</v>
      </c>
      <c r="S9" s="444">
        <v>0</v>
      </c>
      <c r="T9" s="444">
        <v>0</v>
      </c>
      <c r="U9" s="444">
        <v>0</v>
      </c>
      <c r="V9" s="444">
        <v>0</v>
      </c>
      <c r="W9" s="444">
        <v>0</v>
      </c>
      <c r="X9" s="444">
        <v>0</v>
      </c>
      <c r="Y9" s="444">
        <v>1</v>
      </c>
      <c r="Z9" s="444">
        <v>0</v>
      </c>
      <c r="AA9" s="444">
        <v>1</v>
      </c>
      <c r="AB9" s="444">
        <v>1</v>
      </c>
      <c r="AC9" s="444">
        <v>1</v>
      </c>
      <c r="AD9" s="444">
        <v>0</v>
      </c>
      <c r="AE9" s="444">
        <v>2</v>
      </c>
      <c r="AF9" s="444">
        <v>2</v>
      </c>
    </row>
    <row r="10" spans="1:32" ht="21" customHeight="1">
      <c r="A10" s="100">
        <v>6</v>
      </c>
      <c r="B10" s="303" t="s">
        <v>19</v>
      </c>
      <c r="C10" s="444">
        <v>0</v>
      </c>
      <c r="D10" s="444">
        <v>0</v>
      </c>
      <c r="E10" s="444">
        <v>0</v>
      </c>
      <c r="F10" s="444">
        <v>0</v>
      </c>
      <c r="G10" s="444">
        <v>0</v>
      </c>
      <c r="H10" s="444">
        <v>25</v>
      </c>
      <c r="I10" s="444">
        <v>0</v>
      </c>
      <c r="J10" s="444">
        <v>0</v>
      </c>
      <c r="K10" s="444">
        <v>0</v>
      </c>
      <c r="L10" s="444">
        <v>25</v>
      </c>
      <c r="M10" s="444">
        <v>0</v>
      </c>
      <c r="N10" s="444">
        <v>0</v>
      </c>
      <c r="O10" s="444">
        <v>0</v>
      </c>
      <c r="P10" s="444">
        <v>0</v>
      </c>
      <c r="Q10" s="444">
        <v>0</v>
      </c>
      <c r="R10" s="444">
        <v>0</v>
      </c>
      <c r="S10" s="444">
        <v>0</v>
      </c>
      <c r="T10" s="444">
        <v>0</v>
      </c>
      <c r="U10" s="444">
        <v>0</v>
      </c>
      <c r="V10" s="444">
        <v>0</v>
      </c>
      <c r="W10" s="444">
        <v>0</v>
      </c>
      <c r="X10" s="444">
        <v>0</v>
      </c>
      <c r="Y10" s="444">
        <v>0</v>
      </c>
      <c r="Z10" s="444">
        <v>0</v>
      </c>
      <c r="AA10" s="444">
        <v>0</v>
      </c>
      <c r="AB10" s="444">
        <v>0</v>
      </c>
      <c r="AC10" s="444">
        <v>0</v>
      </c>
      <c r="AD10" s="444">
        <v>0</v>
      </c>
      <c r="AE10" s="444">
        <v>0</v>
      </c>
      <c r="AF10" s="444">
        <v>0</v>
      </c>
    </row>
    <row r="11" spans="1:32" ht="21" customHeight="1">
      <c r="A11" s="100">
        <v>7</v>
      </c>
      <c r="B11" s="303" t="s">
        <v>20</v>
      </c>
      <c r="C11" s="444">
        <v>0</v>
      </c>
      <c r="D11" s="444">
        <v>0</v>
      </c>
      <c r="E11" s="444">
        <v>0</v>
      </c>
      <c r="F11" s="444">
        <v>0</v>
      </c>
      <c r="G11" s="444">
        <v>0</v>
      </c>
      <c r="H11" s="444">
        <v>786</v>
      </c>
      <c r="I11" s="444">
        <v>24</v>
      </c>
      <c r="J11" s="444">
        <v>1</v>
      </c>
      <c r="K11" s="444">
        <v>3</v>
      </c>
      <c r="L11" s="444">
        <v>814</v>
      </c>
      <c r="M11" s="444">
        <v>0</v>
      </c>
      <c r="N11" s="444">
        <v>0</v>
      </c>
      <c r="O11" s="444">
        <v>0</v>
      </c>
      <c r="P11" s="444">
        <v>0</v>
      </c>
      <c r="Q11" s="444">
        <v>0</v>
      </c>
      <c r="R11" s="444">
        <v>0</v>
      </c>
      <c r="S11" s="444">
        <v>0</v>
      </c>
      <c r="T11" s="444">
        <v>0</v>
      </c>
      <c r="U11" s="444">
        <v>0</v>
      </c>
      <c r="V11" s="444">
        <v>0</v>
      </c>
      <c r="W11" s="444">
        <v>0</v>
      </c>
      <c r="X11" s="444">
        <v>0</v>
      </c>
      <c r="Y11" s="444">
        <v>0</v>
      </c>
      <c r="Z11" s="444">
        <v>0</v>
      </c>
      <c r="AA11" s="444">
        <v>0</v>
      </c>
      <c r="AB11" s="444">
        <v>0</v>
      </c>
      <c r="AC11" s="444">
        <v>0</v>
      </c>
      <c r="AD11" s="444">
        <v>0</v>
      </c>
      <c r="AE11" s="444">
        <v>0</v>
      </c>
      <c r="AF11" s="444">
        <v>0</v>
      </c>
    </row>
    <row r="12" spans="1:32" ht="30.6" customHeight="1">
      <c r="A12" s="100">
        <v>8</v>
      </c>
      <c r="B12" s="303" t="s">
        <v>155</v>
      </c>
      <c r="C12" s="444">
        <v>0</v>
      </c>
      <c r="D12" s="444">
        <v>0</v>
      </c>
      <c r="E12" s="444">
        <v>0</v>
      </c>
      <c r="F12" s="444">
        <v>0</v>
      </c>
      <c r="G12" s="444">
        <v>0</v>
      </c>
      <c r="H12" s="444">
        <v>8</v>
      </c>
      <c r="I12" s="444">
        <v>0</v>
      </c>
      <c r="J12" s="444">
        <v>0</v>
      </c>
      <c r="K12" s="444">
        <v>1</v>
      </c>
      <c r="L12" s="444">
        <v>9</v>
      </c>
      <c r="M12" s="444">
        <v>0</v>
      </c>
      <c r="N12" s="444">
        <v>0</v>
      </c>
      <c r="O12" s="444">
        <v>0</v>
      </c>
      <c r="P12" s="444">
        <v>0</v>
      </c>
      <c r="Q12" s="444">
        <v>0</v>
      </c>
      <c r="R12" s="444">
        <v>0</v>
      </c>
      <c r="S12" s="444">
        <v>0</v>
      </c>
      <c r="T12" s="444">
        <v>0</v>
      </c>
      <c r="U12" s="444">
        <v>0</v>
      </c>
      <c r="V12" s="444">
        <v>0</v>
      </c>
      <c r="W12" s="444">
        <v>0</v>
      </c>
      <c r="X12" s="444">
        <v>0</v>
      </c>
      <c r="Y12" s="444">
        <v>0</v>
      </c>
      <c r="Z12" s="444">
        <v>0</v>
      </c>
      <c r="AA12" s="444">
        <v>0</v>
      </c>
      <c r="AB12" s="444">
        <v>0</v>
      </c>
      <c r="AC12" s="444">
        <v>0</v>
      </c>
      <c r="AD12" s="444">
        <v>0</v>
      </c>
      <c r="AE12" s="444">
        <v>0</v>
      </c>
      <c r="AF12" s="444">
        <v>0</v>
      </c>
    </row>
    <row r="13" spans="1:32" ht="21" customHeight="1">
      <c r="A13" s="100">
        <v>9</v>
      </c>
      <c r="B13" s="303" t="s">
        <v>156</v>
      </c>
      <c r="C13" s="444">
        <v>0</v>
      </c>
      <c r="D13" s="444">
        <v>0</v>
      </c>
      <c r="E13" s="444">
        <v>0</v>
      </c>
      <c r="F13" s="444">
        <v>0</v>
      </c>
      <c r="G13" s="444">
        <v>0</v>
      </c>
      <c r="H13" s="444">
        <v>10</v>
      </c>
      <c r="I13" s="444">
        <v>0</v>
      </c>
      <c r="J13" s="444">
        <v>0</v>
      </c>
      <c r="K13" s="444">
        <v>0</v>
      </c>
      <c r="L13" s="444">
        <v>10</v>
      </c>
      <c r="M13" s="444">
        <v>0</v>
      </c>
      <c r="N13" s="444">
        <v>0</v>
      </c>
      <c r="O13" s="444">
        <v>0</v>
      </c>
      <c r="P13" s="444">
        <v>0</v>
      </c>
      <c r="Q13" s="444">
        <v>0</v>
      </c>
      <c r="R13" s="444">
        <v>0</v>
      </c>
      <c r="S13" s="444">
        <v>0</v>
      </c>
      <c r="T13" s="444">
        <v>0</v>
      </c>
      <c r="U13" s="444">
        <v>0</v>
      </c>
      <c r="V13" s="444">
        <v>0</v>
      </c>
      <c r="W13" s="444">
        <v>0</v>
      </c>
      <c r="X13" s="444">
        <v>0</v>
      </c>
      <c r="Y13" s="444">
        <v>0</v>
      </c>
      <c r="Z13" s="444">
        <v>0</v>
      </c>
      <c r="AA13" s="444">
        <v>0</v>
      </c>
      <c r="AB13" s="444">
        <v>0</v>
      </c>
      <c r="AC13" s="444">
        <v>0</v>
      </c>
      <c r="AD13" s="444">
        <v>0</v>
      </c>
      <c r="AE13" s="444">
        <v>0</v>
      </c>
      <c r="AF13" s="444">
        <v>0</v>
      </c>
    </row>
    <row r="14" spans="1:32" ht="21" customHeight="1">
      <c r="A14" s="100">
        <v>10</v>
      </c>
      <c r="B14" s="303" t="s">
        <v>23</v>
      </c>
      <c r="C14" s="444">
        <v>9</v>
      </c>
      <c r="D14" s="444">
        <v>69</v>
      </c>
      <c r="E14" s="444">
        <v>0</v>
      </c>
      <c r="F14" s="444">
        <v>4</v>
      </c>
      <c r="G14" s="444">
        <v>82</v>
      </c>
      <c r="H14" s="444">
        <v>100</v>
      </c>
      <c r="I14" s="444">
        <v>1</v>
      </c>
      <c r="J14" s="444">
        <v>0</v>
      </c>
      <c r="K14" s="444">
        <v>2</v>
      </c>
      <c r="L14" s="444">
        <v>103</v>
      </c>
      <c r="M14" s="444">
        <v>0</v>
      </c>
      <c r="N14" s="444">
        <v>0</v>
      </c>
      <c r="O14" s="444">
        <v>0</v>
      </c>
      <c r="P14" s="444">
        <v>0</v>
      </c>
      <c r="Q14" s="444">
        <v>1</v>
      </c>
      <c r="R14" s="444">
        <v>0</v>
      </c>
      <c r="S14" s="444">
        <v>0</v>
      </c>
      <c r="T14" s="444">
        <v>1</v>
      </c>
      <c r="U14" s="444">
        <v>0</v>
      </c>
      <c r="V14" s="444">
        <v>0</v>
      </c>
      <c r="W14" s="444">
        <v>0</v>
      </c>
      <c r="X14" s="444">
        <v>1</v>
      </c>
      <c r="Y14" s="444">
        <v>0</v>
      </c>
      <c r="Z14" s="444">
        <v>0</v>
      </c>
      <c r="AA14" s="444">
        <v>1</v>
      </c>
      <c r="AB14" s="444">
        <v>0</v>
      </c>
      <c r="AC14" s="444">
        <v>1</v>
      </c>
      <c r="AD14" s="444">
        <v>0</v>
      </c>
      <c r="AE14" s="444">
        <v>1</v>
      </c>
      <c r="AF14" s="444">
        <v>0</v>
      </c>
    </row>
    <row r="15" spans="1:32" ht="21" customHeight="1">
      <c r="A15" s="100">
        <v>11</v>
      </c>
      <c r="B15" s="303" t="s">
        <v>24</v>
      </c>
      <c r="C15" s="444">
        <v>0</v>
      </c>
      <c r="D15" s="444">
        <v>0</v>
      </c>
      <c r="E15" s="444">
        <v>0</v>
      </c>
      <c r="F15" s="444">
        <v>0</v>
      </c>
      <c r="G15" s="444">
        <v>0</v>
      </c>
      <c r="H15" s="444">
        <v>57</v>
      </c>
      <c r="I15" s="444">
        <v>1</v>
      </c>
      <c r="J15" s="444">
        <v>2</v>
      </c>
      <c r="K15" s="444">
        <v>8</v>
      </c>
      <c r="L15" s="444">
        <v>68</v>
      </c>
      <c r="M15" s="444">
        <v>0</v>
      </c>
      <c r="N15" s="444">
        <v>0</v>
      </c>
      <c r="O15" s="444">
        <v>0</v>
      </c>
      <c r="P15" s="444">
        <v>0</v>
      </c>
      <c r="Q15" s="444">
        <v>0</v>
      </c>
      <c r="R15" s="444">
        <v>0</v>
      </c>
      <c r="S15" s="444">
        <v>0</v>
      </c>
      <c r="T15" s="444">
        <v>0</v>
      </c>
      <c r="U15" s="444">
        <v>0</v>
      </c>
      <c r="V15" s="444">
        <v>0</v>
      </c>
      <c r="W15" s="444">
        <v>0</v>
      </c>
      <c r="X15" s="444">
        <v>0</v>
      </c>
      <c r="Y15" s="444">
        <v>1</v>
      </c>
      <c r="Z15" s="444">
        <v>0</v>
      </c>
      <c r="AA15" s="444">
        <v>1</v>
      </c>
      <c r="AB15" s="444">
        <v>0</v>
      </c>
      <c r="AC15" s="444">
        <v>0</v>
      </c>
      <c r="AD15" s="444">
        <v>0</v>
      </c>
      <c r="AE15" s="444">
        <v>0</v>
      </c>
      <c r="AF15" s="444">
        <v>0</v>
      </c>
    </row>
    <row r="16" spans="1:32" ht="21" customHeight="1">
      <c r="A16" s="100">
        <v>12</v>
      </c>
      <c r="B16" s="303" t="s">
        <v>25</v>
      </c>
      <c r="C16" s="444">
        <v>1</v>
      </c>
      <c r="D16" s="444">
        <v>0</v>
      </c>
      <c r="E16" s="444">
        <v>0</v>
      </c>
      <c r="F16" s="444">
        <v>0</v>
      </c>
      <c r="G16" s="444">
        <v>1</v>
      </c>
      <c r="H16" s="444">
        <v>2200</v>
      </c>
      <c r="I16" s="444">
        <v>74</v>
      </c>
      <c r="J16" s="444">
        <v>23</v>
      </c>
      <c r="K16" s="444">
        <v>54</v>
      </c>
      <c r="L16" s="444">
        <v>2351</v>
      </c>
      <c r="M16" s="444">
        <v>196</v>
      </c>
      <c r="N16" s="444">
        <v>0</v>
      </c>
      <c r="O16" s="444">
        <v>8</v>
      </c>
      <c r="P16" s="444">
        <v>204</v>
      </c>
      <c r="Q16" s="444">
        <v>1</v>
      </c>
      <c r="R16" s="444">
        <v>0</v>
      </c>
      <c r="S16" s="444">
        <v>0</v>
      </c>
      <c r="T16" s="444">
        <v>1</v>
      </c>
      <c r="U16" s="444">
        <v>8</v>
      </c>
      <c r="V16" s="444">
        <v>2</v>
      </c>
      <c r="W16" s="444">
        <v>10</v>
      </c>
      <c r="X16" s="444">
        <v>6</v>
      </c>
      <c r="Y16" s="444">
        <v>0</v>
      </c>
      <c r="Z16" s="444">
        <v>0</v>
      </c>
      <c r="AA16" s="444">
        <v>6</v>
      </c>
      <c r="AB16" s="444">
        <v>1</v>
      </c>
      <c r="AC16" s="444">
        <v>1</v>
      </c>
      <c r="AD16" s="444">
        <v>0</v>
      </c>
      <c r="AE16" s="444">
        <v>2</v>
      </c>
      <c r="AF16" s="444">
        <v>0</v>
      </c>
    </row>
    <row r="17" spans="1:32" ht="21" customHeight="1">
      <c r="A17" s="100">
        <v>13</v>
      </c>
      <c r="B17" s="303" t="s">
        <v>26</v>
      </c>
      <c r="C17" s="444">
        <v>0</v>
      </c>
      <c r="D17" s="444">
        <v>1</v>
      </c>
      <c r="E17" s="444">
        <v>0</v>
      </c>
      <c r="F17" s="444">
        <v>0</v>
      </c>
      <c r="G17" s="444">
        <v>1</v>
      </c>
      <c r="H17" s="444">
        <v>1064</v>
      </c>
      <c r="I17" s="444">
        <v>22</v>
      </c>
      <c r="J17" s="444">
        <v>0</v>
      </c>
      <c r="K17" s="444">
        <v>1</v>
      </c>
      <c r="L17" s="444">
        <v>1087</v>
      </c>
      <c r="M17" s="444">
        <v>5</v>
      </c>
      <c r="N17" s="444">
        <v>0</v>
      </c>
      <c r="O17" s="444">
        <v>0</v>
      </c>
      <c r="P17" s="444">
        <v>5</v>
      </c>
      <c r="Q17" s="444">
        <v>0</v>
      </c>
      <c r="R17" s="444">
        <v>0</v>
      </c>
      <c r="S17" s="444">
        <v>0</v>
      </c>
      <c r="T17" s="444">
        <v>0</v>
      </c>
      <c r="U17" s="444">
        <v>1</v>
      </c>
      <c r="V17" s="444">
        <v>0</v>
      </c>
      <c r="W17" s="444">
        <v>1</v>
      </c>
      <c r="X17" s="444">
        <v>1</v>
      </c>
      <c r="Y17" s="444">
        <v>0</v>
      </c>
      <c r="Z17" s="444">
        <v>0</v>
      </c>
      <c r="AA17" s="444">
        <v>1</v>
      </c>
      <c r="AB17" s="444">
        <v>1</v>
      </c>
      <c r="AC17" s="444">
        <v>0</v>
      </c>
      <c r="AD17" s="444">
        <v>0</v>
      </c>
      <c r="AE17" s="444">
        <v>1</v>
      </c>
      <c r="AF17" s="444">
        <v>0</v>
      </c>
    </row>
    <row r="18" spans="1:32" ht="21" customHeight="1">
      <c r="A18" s="100">
        <v>14</v>
      </c>
      <c r="B18" s="303" t="s">
        <v>27</v>
      </c>
      <c r="C18" s="444">
        <v>0</v>
      </c>
      <c r="D18" s="444">
        <v>0</v>
      </c>
      <c r="E18" s="444">
        <v>0</v>
      </c>
      <c r="F18" s="444">
        <v>0</v>
      </c>
      <c r="G18" s="444">
        <v>0</v>
      </c>
      <c r="H18" s="444">
        <v>336</v>
      </c>
      <c r="I18" s="444">
        <v>8</v>
      </c>
      <c r="J18" s="444">
        <v>0</v>
      </c>
      <c r="K18" s="444">
        <v>7</v>
      </c>
      <c r="L18" s="444">
        <v>351</v>
      </c>
      <c r="M18" s="444">
        <v>0</v>
      </c>
      <c r="N18" s="444">
        <v>0</v>
      </c>
      <c r="O18" s="444">
        <v>0</v>
      </c>
      <c r="P18" s="444">
        <v>0</v>
      </c>
      <c r="Q18" s="444">
        <v>0</v>
      </c>
      <c r="R18" s="444">
        <v>0</v>
      </c>
      <c r="S18" s="444">
        <v>0</v>
      </c>
      <c r="T18" s="444">
        <v>0</v>
      </c>
      <c r="U18" s="444">
        <v>0</v>
      </c>
      <c r="V18" s="444">
        <v>0</v>
      </c>
      <c r="W18" s="444">
        <v>0</v>
      </c>
      <c r="X18" s="444">
        <v>0</v>
      </c>
      <c r="Y18" s="444">
        <v>0</v>
      </c>
      <c r="Z18" s="444">
        <v>0</v>
      </c>
      <c r="AA18" s="444">
        <v>0</v>
      </c>
      <c r="AB18" s="444">
        <v>0</v>
      </c>
      <c r="AC18" s="444">
        <v>1</v>
      </c>
      <c r="AD18" s="444">
        <v>0</v>
      </c>
      <c r="AE18" s="444">
        <v>1</v>
      </c>
      <c r="AF18" s="444">
        <v>0</v>
      </c>
    </row>
    <row r="19" spans="1:32" ht="27.75" customHeight="1">
      <c r="A19" s="100">
        <v>15</v>
      </c>
      <c r="B19" s="303" t="s">
        <v>57</v>
      </c>
      <c r="C19" s="444">
        <v>0</v>
      </c>
      <c r="D19" s="444">
        <v>2</v>
      </c>
      <c r="E19" s="444">
        <v>0</v>
      </c>
      <c r="F19" s="444">
        <v>0</v>
      </c>
      <c r="G19" s="444">
        <v>2</v>
      </c>
      <c r="H19" s="444">
        <v>292</v>
      </c>
      <c r="I19" s="444">
        <v>22</v>
      </c>
      <c r="J19" s="444">
        <v>10</v>
      </c>
      <c r="K19" s="444">
        <v>1</v>
      </c>
      <c r="L19" s="444">
        <v>325</v>
      </c>
      <c r="M19" s="444">
        <v>0</v>
      </c>
      <c r="N19" s="444">
        <v>0</v>
      </c>
      <c r="O19" s="444">
        <v>0</v>
      </c>
      <c r="P19" s="444">
        <v>0</v>
      </c>
      <c r="Q19" s="444">
        <v>0</v>
      </c>
      <c r="R19" s="444">
        <v>0</v>
      </c>
      <c r="S19" s="444">
        <v>0</v>
      </c>
      <c r="T19" s="444">
        <v>0</v>
      </c>
      <c r="U19" s="444">
        <v>0</v>
      </c>
      <c r="V19" s="444">
        <v>0</v>
      </c>
      <c r="W19" s="444">
        <v>0</v>
      </c>
      <c r="X19" s="444">
        <v>0</v>
      </c>
      <c r="Y19" s="444">
        <v>0</v>
      </c>
      <c r="Z19" s="444">
        <v>0</v>
      </c>
      <c r="AA19" s="444">
        <v>0</v>
      </c>
      <c r="AB19" s="444">
        <v>0</v>
      </c>
      <c r="AC19" s="444">
        <v>0</v>
      </c>
      <c r="AD19" s="444">
        <v>0</v>
      </c>
      <c r="AE19" s="444">
        <v>0</v>
      </c>
      <c r="AF19" s="444">
        <v>0</v>
      </c>
    </row>
    <row r="20" spans="1:32" ht="21" customHeight="1">
      <c r="A20" s="100">
        <v>16</v>
      </c>
      <c r="B20" s="303" t="s">
        <v>29</v>
      </c>
      <c r="C20" s="444">
        <v>0</v>
      </c>
      <c r="D20" s="444">
        <v>0</v>
      </c>
      <c r="E20" s="444">
        <v>0</v>
      </c>
      <c r="F20" s="444">
        <v>0</v>
      </c>
      <c r="G20" s="444">
        <v>0</v>
      </c>
      <c r="H20" s="444">
        <v>246</v>
      </c>
      <c r="I20" s="444">
        <v>77</v>
      </c>
      <c r="J20" s="444">
        <v>0</v>
      </c>
      <c r="K20" s="444">
        <v>0</v>
      </c>
      <c r="L20" s="444">
        <v>323</v>
      </c>
      <c r="M20" s="444">
        <v>0</v>
      </c>
      <c r="N20" s="444">
        <v>0</v>
      </c>
      <c r="O20" s="444">
        <v>0</v>
      </c>
      <c r="P20" s="444">
        <v>0</v>
      </c>
      <c r="Q20" s="444">
        <v>0</v>
      </c>
      <c r="R20" s="444">
        <v>0</v>
      </c>
      <c r="S20" s="444">
        <v>0</v>
      </c>
      <c r="T20" s="444">
        <v>0</v>
      </c>
      <c r="U20" s="444">
        <v>0</v>
      </c>
      <c r="V20" s="444">
        <v>0</v>
      </c>
      <c r="W20" s="444">
        <v>0</v>
      </c>
      <c r="X20" s="444">
        <v>0</v>
      </c>
      <c r="Y20" s="444">
        <v>2</v>
      </c>
      <c r="Z20" s="444">
        <v>0</v>
      </c>
      <c r="AA20" s="444">
        <v>2</v>
      </c>
      <c r="AB20" s="444">
        <v>0</v>
      </c>
      <c r="AC20" s="444">
        <v>0</v>
      </c>
      <c r="AD20" s="444">
        <v>0</v>
      </c>
      <c r="AE20" s="444">
        <v>0</v>
      </c>
      <c r="AF20" s="444">
        <v>0</v>
      </c>
    </row>
    <row r="21" spans="1:32" ht="21" customHeight="1">
      <c r="A21" s="100">
        <v>17</v>
      </c>
      <c r="B21" s="303" t="s">
        <v>30</v>
      </c>
      <c r="C21" s="444">
        <v>0</v>
      </c>
      <c r="D21" s="444">
        <v>2</v>
      </c>
      <c r="E21" s="444">
        <v>0</v>
      </c>
      <c r="F21" s="444">
        <v>0</v>
      </c>
      <c r="G21" s="444">
        <v>2</v>
      </c>
      <c r="H21" s="444">
        <v>3983</v>
      </c>
      <c r="I21" s="444">
        <v>62</v>
      </c>
      <c r="J21" s="444">
        <v>29</v>
      </c>
      <c r="K21" s="444">
        <v>55</v>
      </c>
      <c r="L21" s="444">
        <v>4129</v>
      </c>
      <c r="M21" s="444">
        <v>8</v>
      </c>
      <c r="N21" s="444">
        <v>0</v>
      </c>
      <c r="O21" s="444">
        <v>0</v>
      </c>
      <c r="P21" s="444">
        <v>8</v>
      </c>
      <c r="Q21" s="444">
        <v>0</v>
      </c>
      <c r="R21" s="444">
        <v>1</v>
      </c>
      <c r="S21" s="444">
        <v>0</v>
      </c>
      <c r="T21" s="444">
        <v>1</v>
      </c>
      <c r="U21" s="444">
        <v>0</v>
      </c>
      <c r="V21" s="444">
        <v>0</v>
      </c>
      <c r="W21" s="444">
        <v>0</v>
      </c>
      <c r="X21" s="444">
        <v>51</v>
      </c>
      <c r="Y21" s="444">
        <v>3</v>
      </c>
      <c r="Z21" s="444">
        <v>0</v>
      </c>
      <c r="AA21" s="444">
        <v>54</v>
      </c>
      <c r="AB21" s="444">
        <v>4</v>
      </c>
      <c r="AC21" s="444">
        <v>1</v>
      </c>
      <c r="AD21" s="444">
        <v>1</v>
      </c>
      <c r="AE21" s="444">
        <v>6</v>
      </c>
      <c r="AF21" s="444">
        <v>0</v>
      </c>
    </row>
    <row r="22" spans="1:32" ht="21" customHeight="1">
      <c r="A22" s="100">
        <v>18</v>
      </c>
      <c r="B22" s="303" t="s">
        <v>31</v>
      </c>
      <c r="C22" s="444">
        <v>2</v>
      </c>
      <c r="D22" s="444">
        <v>1</v>
      </c>
      <c r="E22" s="444">
        <v>1</v>
      </c>
      <c r="F22" s="444">
        <v>0</v>
      </c>
      <c r="G22" s="444">
        <v>4</v>
      </c>
      <c r="H22" s="444">
        <v>1351</v>
      </c>
      <c r="I22" s="444">
        <v>63</v>
      </c>
      <c r="J22" s="444">
        <v>3</v>
      </c>
      <c r="K22" s="444">
        <v>62</v>
      </c>
      <c r="L22" s="444">
        <v>1479</v>
      </c>
      <c r="M22" s="444">
        <v>0</v>
      </c>
      <c r="N22" s="444">
        <v>0</v>
      </c>
      <c r="O22" s="444">
        <v>0</v>
      </c>
      <c r="P22" s="444">
        <v>0</v>
      </c>
      <c r="Q22" s="444">
        <v>0</v>
      </c>
      <c r="R22" s="444">
        <v>1</v>
      </c>
      <c r="S22" s="444">
        <v>0</v>
      </c>
      <c r="T22" s="444">
        <v>1</v>
      </c>
      <c r="U22" s="444">
        <v>1</v>
      </c>
      <c r="V22" s="444">
        <v>0</v>
      </c>
      <c r="W22" s="444">
        <v>1</v>
      </c>
      <c r="X22" s="444">
        <v>0</v>
      </c>
      <c r="Y22" s="444">
        <v>0</v>
      </c>
      <c r="Z22" s="444">
        <v>0</v>
      </c>
      <c r="AA22" s="444">
        <v>0</v>
      </c>
      <c r="AB22" s="444">
        <v>0</v>
      </c>
      <c r="AC22" s="444">
        <v>1</v>
      </c>
      <c r="AD22" s="444">
        <v>1</v>
      </c>
      <c r="AE22" s="444">
        <v>2</v>
      </c>
      <c r="AF22" s="444">
        <v>0</v>
      </c>
    </row>
    <row r="23" spans="1:32" ht="21" customHeight="1">
      <c r="A23" s="100">
        <v>19</v>
      </c>
      <c r="B23" s="448" t="s">
        <v>761</v>
      </c>
      <c r="C23" s="444">
        <v>0</v>
      </c>
      <c r="D23" s="444">
        <v>0</v>
      </c>
      <c r="E23" s="444">
        <v>0</v>
      </c>
      <c r="F23" s="444">
        <v>0</v>
      </c>
      <c r="G23" s="444">
        <v>0</v>
      </c>
      <c r="H23" s="444">
        <v>5</v>
      </c>
      <c r="I23" s="444">
        <v>0</v>
      </c>
      <c r="J23" s="444">
        <v>2</v>
      </c>
      <c r="K23" s="444">
        <v>0</v>
      </c>
      <c r="L23" s="444">
        <v>7</v>
      </c>
      <c r="M23" s="444">
        <v>0</v>
      </c>
      <c r="N23" s="444">
        <v>0</v>
      </c>
      <c r="O23" s="444">
        <v>0</v>
      </c>
      <c r="P23" s="444">
        <v>0</v>
      </c>
      <c r="Q23" s="444">
        <v>0</v>
      </c>
      <c r="R23" s="444">
        <v>0</v>
      </c>
      <c r="S23" s="444">
        <v>0</v>
      </c>
      <c r="T23" s="444">
        <v>0</v>
      </c>
      <c r="U23" s="444">
        <v>0</v>
      </c>
      <c r="V23" s="444">
        <v>0</v>
      </c>
      <c r="W23" s="444">
        <v>0</v>
      </c>
      <c r="X23" s="444">
        <v>0</v>
      </c>
      <c r="Y23" s="444">
        <v>0</v>
      </c>
      <c r="Z23" s="444">
        <v>0</v>
      </c>
      <c r="AA23" s="444">
        <v>0</v>
      </c>
      <c r="AB23" s="444">
        <v>0</v>
      </c>
      <c r="AC23" s="444">
        <v>0</v>
      </c>
      <c r="AD23" s="444">
        <v>0</v>
      </c>
      <c r="AE23" s="444">
        <v>0</v>
      </c>
      <c r="AF23" s="444">
        <v>0</v>
      </c>
    </row>
    <row r="24" spans="1:32" ht="21" customHeight="1">
      <c r="A24" s="100">
        <v>20</v>
      </c>
      <c r="B24" s="303" t="s">
        <v>32</v>
      </c>
      <c r="C24" s="444">
        <v>0</v>
      </c>
      <c r="D24" s="444">
        <v>0</v>
      </c>
      <c r="E24" s="444">
        <v>0</v>
      </c>
      <c r="F24" s="444">
        <v>0</v>
      </c>
      <c r="G24" s="444">
        <v>0</v>
      </c>
      <c r="H24" s="444">
        <v>0</v>
      </c>
      <c r="I24" s="444">
        <v>0</v>
      </c>
      <c r="J24" s="444">
        <v>3</v>
      </c>
      <c r="K24" s="444">
        <v>0</v>
      </c>
      <c r="L24" s="444">
        <v>3</v>
      </c>
      <c r="M24" s="444">
        <v>0</v>
      </c>
      <c r="N24" s="444">
        <v>0</v>
      </c>
      <c r="O24" s="444">
        <v>0</v>
      </c>
      <c r="P24" s="444">
        <v>0</v>
      </c>
      <c r="Q24" s="444">
        <v>0</v>
      </c>
      <c r="R24" s="444">
        <v>0</v>
      </c>
      <c r="S24" s="444">
        <v>0</v>
      </c>
      <c r="T24" s="444">
        <v>0</v>
      </c>
      <c r="U24" s="444">
        <v>0</v>
      </c>
      <c r="V24" s="444">
        <v>0</v>
      </c>
      <c r="W24" s="444">
        <v>0</v>
      </c>
      <c r="X24" s="444">
        <v>0</v>
      </c>
      <c r="Y24" s="444">
        <v>0</v>
      </c>
      <c r="Z24" s="444">
        <v>0</v>
      </c>
      <c r="AA24" s="444">
        <v>0</v>
      </c>
      <c r="AB24" s="444">
        <v>0</v>
      </c>
      <c r="AC24" s="444">
        <v>0</v>
      </c>
      <c r="AD24" s="444">
        <v>0</v>
      </c>
      <c r="AE24" s="444">
        <v>0</v>
      </c>
      <c r="AF24" s="444">
        <v>0</v>
      </c>
    </row>
    <row r="25" spans="1:32" ht="21" customHeight="1">
      <c r="A25" s="100">
        <v>21</v>
      </c>
      <c r="B25" s="303" t="s">
        <v>33</v>
      </c>
      <c r="C25" s="444">
        <v>37</v>
      </c>
      <c r="D25" s="444">
        <v>1</v>
      </c>
      <c r="E25" s="444">
        <v>0</v>
      </c>
      <c r="F25" s="444">
        <v>0</v>
      </c>
      <c r="G25" s="444">
        <v>38</v>
      </c>
      <c r="H25" s="444">
        <v>2345</v>
      </c>
      <c r="I25" s="444">
        <v>28</v>
      </c>
      <c r="J25" s="444">
        <v>1</v>
      </c>
      <c r="K25" s="444">
        <v>753</v>
      </c>
      <c r="L25" s="444">
        <v>3127</v>
      </c>
      <c r="M25" s="444">
        <v>40</v>
      </c>
      <c r="N25" s="444">
        <v>0</v>
      </c>
      <c r="O25" s="444">
        <v>0</v>
      </c>
      <c r="P25" s="444">
        <v>40</v>
      </c>
      <c r="Q25" s="444">
        <v>1</v>
      </c>
      <c r="R25" s="444">
        <v>1</v>
      </c>
      <c r="S25" s="444">
        <v>0</v>
      </c>
      <c r="T25" s="444">
        <v>2</v>
      </c>
      <c r="U25" s="444">
        <v>0</v>
      </c>
      <c r="V25" s="444">
        <v>0</v>
      </c>
      <c r="W25" s="444">
        <v>0</v>
      </c>
      <c r="X25" s="444">
        <v>0</v>
      </c>
      <c r="Y25" s="444">
        <v>0</v>
      </c>
      <c r="Z25" s="444">
        <v>0</v>
      </c>
      <c r="AA25" s="444">
        <v>0</v>
      </c>
      <c r="AB25" s="444">
        <v>2</v>
      </c>
      <c r="AC25" s="444">
        <v>1</v>
      </c>
      <c r="AD25" s="444">
        <v>0</v>
      </c>
      <c r="AE25" s="444">
        <v>3</v>
      </c>
      <c r="AF25" s="444">
        <v>0</v>
      </c>
    </row>
    <row r="26" spans="1:32" ht="21" customHeight="1">
      <c r="A26" s="100">
        <v>22</v>
      </c>
      <c r="B26" s="303" t="s">
        <v>34</v>
      </c>
      <c r="C26" s="444">
        <v>1</v>
      </c>
      <c r="D26" s="444">
        <v>3</v>
      </c>
      <c r="E26" s="444">
        <v>0</v>
      </c>
      <c r="F26" s="444">
        <v>1</v>
      </c>
      <c r="G26" s="444">
        <v>5</v>
      </c>
      <c r="H26" s="444">
        <v>4420</v>
      </c>
      <c r="I26" s="444">
        <v>70</v>
      </c>
      <c r="J26" s="444">
        <v>2</v>
      </c>
      <c r="K26" s="444">
        <v>137</v>
      </c>
      <c r="L26" s="444">
        <v>4629</v>
      </c>
      <c r="M26" s="444">
        <v>0</v>
      </c>
      <c r="N26" s="444">
        <v>0</v>
      </c>
      <c r="O26" s="444">
        <v>0</v>
      </c>
      <c r="P26" s="444">
        <v>0</v>
      </c>
      <c r="Q26" s="444">
        <v>2</v>
      </c>
      <c r="R26" s="444">
        <v>2</v>
      </c>
      <c r="S26" s="444">
        <v>0</v>
      </c>
      <c r="T26" s="444">
        <v>4</v>
      </c>
      <c r="U26" s="444">
        <v>0</v>
      </c>
      <c r="V26" s="444">
        <v>1</v>
      </c>
      <c r="W26" s="444">
        <v>1</v>
      </c>
      <c r="X26" s="444">
        <v>88</v>
      </c>
      <c r="Y26" s="444">
        <v>4</v>
      </c>
      <c r="Z26" s="444">
        <v>0</v>
      </c>
      <c r="AA26" s="444">
        <v>92</v>
      </c>
      <c r="AB26" s="444">
        <v>0</v>
      </c>
      <c r="AC26" s="444">
        <v>1</v>
      </c>
      <c r="AD26" s="444">
        <v>0</v>
      </c>
      <c r="AE26" s="444">
        <v>1</v>
      </c>
      <c r="AF26" s="444">
        <v>0</v>
      </c>
    </row>
    <row r="27" spans="1:32" ht="21" customHeight="1">
      <c r="A27" s="100">
        <v>23</v>
      </c>
      <c r="B27" s="303" t="s">
        <v>35</v>
      </c>
      <c r="C27" s="444">
        <v>99</v>
      </c>
      <c r="D27" s="444">
        <v>3</v>
      </c>
      <c r="E27" s="444">
        <v>0</v>
      </c>
      <c r="F27" s="444">
        <v>0</v>
      </c>
      <c r="G27" s="444">
        <v>102</v>
      </c>
      <c r="H27" s="444">
        <v>0</v>
      </c>
      <c r="I27" s="444">
        <v>0</v>
      </c>
      <c r="J27" s="444">
        <v>0</v>
      </c>
      <c r="K27" s="444">
        <v>0</v>
      </c>
      <c r="L27" s="444">
        <v>0</v>
      </c>
      <c r="M27" s="444">
        <v>0</v>
      </c>
      <c r="N27" s="444">
        <v>0</v>
      </c>
      <c r="O27" s="444">
        <v>0</v>
      </c>
      <c r="P27" s="444">
        <v>0</v>
      </c>
      <c r="Q27" s="444">
        <v>0</v>
      </c>
      <c r="R27" s="444">
        <v>0</v>
      </c>
      <c r="S27" s="444">
        <v>0</v>
      </c>
      <c r="T27" s="444">
        <v>0</v>
      </c>
      <c r="U27" s="444">
        <v>0</v>
      </c>
      <c r="V27" s="444">
        <v>0</v>
      </c>
      <c r="W27" s="444">
        <v>0</v>
      </c>
      <c r="X27" s="444">
        <v>0</v>
      </c>
      <c r="Y27" s="444">
        <v>0</v>
      </c>
      <c r="Z27" s="444">
        <v>0</v>
      </c>
      <c r="AA27" s="444">
        <v>0</v>
      </c>
      <c r="AB27" s="444">
        <v>0</v>
      </c>
      <c r="AC27" s="444">
        <v>0</v>
      </c>
      <c r="AD27" s="444">
        <v>0</v>
      </c>
      <c r="AE27" s="444">
        <v>0</v>
      </c>
      <c r="AF27" s="444">
        <v>0</v>
      </c>
    </row>
    <row r="28" spans="1:32" ht="21" customHeight="1">
      <c r="A28" s="100">
        <v>24</v>
      </c>
      <c r="B28" s="303" t="s">
        <v>36</v>
      </c>
      <c r="C28" s="444">
        <v>63</v>
      </c>
      <c r="D28" s="444">
        <v>3</v>
      </c>
      <c r="E28" s="444">
        <v>1</v>
      </c>
      <c r="F28" s="444">
        <v>0</v>
      </c>
      <c r="G28" s="444">
        <v>67</v>
      </c>
      <c r="H28" s="444">
        <v>1</v>
      </c>
      <c r="I28" s="444">
        <v>0</v>
      </c>
      <c r="J28" s="444">
        <v>0</v>
      </c>
      <c r="K28" s="444">
        <v>3</v>
      </c>
      <c r="L28" s="444">
        <v>4</v>
      </c>
      <c r="M28" s="444">
        <v>0</v>
      </c>
      <c r="N28" s="444">
        <v>0</v>
      </c>
      <c r="O28" s="444">
        <v>0</v>
      </c>
      <c r="P28" s="444">
        <v>0</v>
      </c>
      <c r="Q28" s="444">
        <v>0</v>
      </c>
      <c r="R28" s="444">
        <v>0</v>
      </c>
      <c r="S28" s="444">
        <v>0</v>
      </c>
      <c r="T28" s="444">
        <v>0</v>
      </c>
      <c r="U28" s="444">
        <v>0</v>
      </c>
      <c r="V28" s="444">
        <v>0</v>
      </c>
      <c r="W28" s="444">
        <v>0</v>
      </c>
      <c r="X28" s="444">
        <v>0</v>
      </c>
      <c r="Y28" s="444">
        <v>0</v>
      </c>
      <c r="Z28" s="444">
        <v>0</v>
      </c>
      <c r="AA28" s="444">
        <v>0</v>
      </c>
      <c r="AB28" s="444">
        <v>0</v>
      </c>
      <c r="AC28" s="444">
        <v>1</v>
      </c>
      <c r="AD28" s="444">
        <v>0</v>
      </c>
      <c r="AE28" s="444">
        <v>1</v>
      </c>
      <c r="AF28" s="444">
        <v>0</v>
      </c>
    </row>
    <row r="29" spans="1:32" ht="21" customHeight="1">
      <c r="A29" s="100">
        <v>25</v>
      </c>
      <c r="B29" s="303" t="s">
        <v>37</v>
      </c>
      <c r="C29" s="444">
        <v>32</v>
      </c>
      <c r="D29" s="444">
        <v>3</v>
      </c>
      <c r="E29" s="444">
        <v>0</v>
      </c>
      <c r="F29" s="444">
        <v>0</v>
      </c>
      <c r="G29" s="444">
        <v>35</v>
      </c>
      <c r="H29" s="444">
        <v>0</v>
      </c>
      <c r="I29" s="444">
        <v>0</v>
      </c>
      <c r="J29" s="444">
        <v>0</v>
      </c>
      <c r="K29" s="444">
        <v>0</v>
      </c>
      <c r="L29" s="444">
        <v>0</v>
      </c>
      <c r="M29" s="444">
        <v>0</v>
      </c>
      <c r="N29" s="444">
        <v>0</v>
      </c>
      <c r="O29" s="444">
        <v>0</v>
      </c>
      <c r="P29" s="444">
        <v>0</v>
      </c>
      <c r="Q29" s="444">
        <v>0</v>
      </c>
      <c r="R29" s="444">
        <v>0</v>
      </c>
      <c r="S29" s="444">
        <v>0</v>
      </c>
      <c r="T29" s="444">
        <v>0</v>
      </c>
      <c r="U29" s="444">
        <v>0</v>
      </c>
      <c r="V29" s="444">
        <v>0</v>
      </c>
      <c r="W29" s="444">
        <v>0</v>
      </c>
      <c r="X29" s="444">
        <v>0</v>
      </c>
      <c r="Y29" s="444">
        <v>0</v>
      </c>
      <c r="Z29" s="444">
        <v>0</v>
      </c>
      <c r="AA29" s="444">
        <v>0</v>
      </c>
      <c r="AB29" s="444">
        <v>0</v>
      </c>
      <c r="AC29" s="444">
        <v>0</v>
      </c>
      <c r="AD29" s="444">
        <v>0</v>
      </c>
      <c r="AE29" s="444">
        <v>0</v>
      </c>
      <c r="AF29" s="444">
        <v>0</v>
      </c>
    </row>
    <row r="30" spans="1:32" ht="21" customHeight="1">
      <c r="A30" s="100">
        <v>26</v>
      </c>
      <c r="B30" s="303" t="s">
        <v>38</v>
      </c>
      <c r="C30" s="444">
        <v>66</v>
      </c>
      <c r="D30" s="444">
        <v>1</v>
      </c>
      <c r="E30" s="444">
        <v>0</v>
      </c>
      <c r="F30" s="444">
        <v>0</v>
      </c>
      <c r="G30" s="444">
        <v>67</v>
      </c>
      <c r="H30" s="444">
        <v>0</v>
      </c>
      <c r="I30" s="444">
        <v>0</v>
      </c>
      <c r="J30" s="444">
        <v>0</v>
      </c>
      <c r="K30" s="444">
        <v>2</v>
      </c>
      <c r="L30" s="444">
        <v>2</v>
      </c>
      <c r="M30" s="444">
        <v>0</v>
      </c>
      <c r="N30" s="444">
        <v>0</v>
      </c>
      <c r="O30" s="444">
        <v>0</v>
      </c>
      <c r="P30" s="444">
        <v>0</v>
      </c>
      <c r="Q30" s="444">
        <v>0</v>
      </c>
      <c r="R30" s="444">
        <v>0</v>
      </c>
      <c r="S30" s="444">
        <v>0</v>
      </c>
      <c r="T30" s="444">
        <v>0</v>
      </c>
      <c r="U30" s="444">
        <v>0</v>
      </c>
      <c r="V30" s="444">
        <v>0</v>
      </c>
      <c r="W30" s="444">
        <v>0</v>
      </c>
      <c r="X30" s="444">
        <v>0</v>
      </c>
      <c r="Y30" s="444">
        <v>0</v>
      </c>
      <c r="Z30" s="444">
        <v>0</v>
      </c>
      <c r="AA30" s="444">
        <v>0</v>
      </c>
      <c r="AB30" s="444">
        <v>0</v>
      </c>
      <c r="AC30" s="444">
        <v>0</v>
      </c>
      <c r="AD30" s="444">
        <v>0</v>
      </c>
      <c r="AE30" s="444">
        <v>0</v>
      </c>
      <c r="AF30" s="444">
        <v>0</v>
      </c>
    </row>
    <row r="31" spans="1:32" ht="21" customHeight="1">
      <c r="A31" s="100">
        <v>27</v>
      </c>
      <c r="B31" s="303" t="s">
        <v>39</v>
      </c>
      <c r="C31" s="444">
        <v>0</v>
      </c>
      <c r="D31" s="444">
        <v>1</v>
      </c>
      <c r="E31" s="444">
        <v>0</v>
      </c>
      <c r="F31" s="444">
        <v>0</v>
      </c>
      <c r="G31" s="444">
        <v>1</v>
      </c>
      <c r="H31" s="444">
        <v>1061</v>
      </c>
      <c r="I31" s="444">
        <v>25</v>
      </c>
      <c r="J31" s="444">
        <v>1</v>
      </c>
      <c r="K31" s="444">
        <v>2</v>
      </c>
      <c r="L31" s="444">
        <v>1089</v>
      </c>
      <c r="M31" s="444">
        <v>5</v>
      </c>
      <c r="N31" s="444">
        <v>0</v>
      </c>
      <c r="O31" s="444">
        <v>0</v>
      </c>
      <c r="P31" s="444">
        <v>5</v>
      </c>
      <c r="Q31" s="444">
        <v>2</v>
      </c>
      <c r="R31" s="444">
        <v>1</v>
      </c>
      <c r="S31" s="444">
        <v>0</v>
      </c>
      <c r="T31" s="444">
        <v>3</v>
      </c>
      <c r="U31" s="444">
        <v>0</v>
      </c>
      <c r="V31" s="444">
        <v>0</v>
      </c>
      <c r="W31" s="444">
        <v>0</v>
      </c>
      <c r="X31" s="444">
        <v>8</v>
      </c>
      <c r="Y31" s="444">
        <v>0</v>
      </c>
      <c r="Z31" s="444">
        <v>1</v>
      </c>
      <c r="AA31" s="444">
        <v>9</v>
      </c>
      <c r="AB31" s="444">
        <v>0</v>
      </c>
      <c r="AC31" s="444">
        <v>1</v>
      </c>
      <c r="AD31" s="444">
        <v>0</v>
      </c>
      <c r="AE31" s="444">
        <v>1</v>
      </c>
      <c r="AF31" s="444">
        <v>0</v>
      </c>
    </row>
    <row r="32" spans="1:32" ht="21" customHeight="1">
      <c r="A32" s="100">
        <v>28</v>
      </c>
      <c r="B32" s="303" t="s">
        <v>40</v>
      </c>
      <c r="C32" s="444">
        <v>78</v>
      </c>
      <c r="D32" s="444">
        <v>1</v>
      </c>
      <c r="E32" s="444">
        <v>1</v>
      </c>
      <c r="F32" s="444">
        <v>0</v>
      </c>
      <c r="G32" s="444">
        <v>80</v>
      </c>
      <c r="H32" s="444">
        <v>0</v>
      </c>
      <c r="I32" s="444">
        <v>0</v>
      </c>
      <c r="J32" s="444">
        <v>0</v>
      </c>
      <c r="K32" s="444">
        <v>0</v>
      </c>
      <c r="L32" s="444">
        <v>0</v>
      </c>
      <c r="M32" s="444">
        <v>0</v>
      </c>
      <c r="N32" s="444">
        <v>0</v>
      </c>
      <c r="O32" s="444">
        <v>0</v>
      </c>
      <c r="P32" s="444">
        <v>0</v>
      </c>
      <c r="Q32" s="444">
        <v>0</v>
      </c>
      <c r="R32" s="444">
        <v>0</v>
      </c>
      <c r="S32" s="444">
        <v>0</v>
      </c>
      <c r="T32" s="444">
        <v>0</v>
      </c>
      <c r="U32" s="444">
        <v>0</v>
      </c>
      <c r="V32" s="444">
        <v>0</v>
      </c>
      <c r="W32" s="444">
        <v>0</v>
      </c>
      <c r="X32" s="444">
        <v>7</v>
      </c>
      <c r="Y32" s="444">
        <v>1</v>
      </c>
      <c r="Z32" s="444">
        <v>0</v>
      </c>
      <c r="AA32" s="444">
        <v>8</v>
      </c>
      <c r="AB32" s="444">
        <v>0</v>
      </c>
      <c r="AC32" s="444">
        <v>0</v>
      </c>
      <c r="AD32" s="444">
        <v>0</v>
      </c>
      <c r="AE32" s="444">
        <v>0</v>
      </c>
      <c r="AF32" s="444">
        <v>0</v>
      </c>
    </row>
    <row r="33" spans="1:32" ht="21" customHeight="1">
      <c r="A33" s="100">
        <v>29</v>
      </c>
      <c r="B33" s="303" t="s">
        <v>41</v>
      </c>
      <c r="C33" s="444">
        <v>0</v>
      </c>
      <c r="D33" s="444">
        <v>0</v>
      </c>
      <c r="E33" s="444">
        <v>0</v>
      </c>
      <c r="F33" s="444">
        <v>0</v>
      </c>
      <c r="G33" s="444">
        <v>0</v>
      </c>
      <c r="H33" s="444">
        <v>1018</v>
      </c>
      <c r="I33" s="444">
        <v>61</v>
      </c>
      <c r="J33" s="444">
        <v>19</v>
      </c>
      <c r="K33" s="444">
        <v>1</v>
      </c>
      <c r="L33" s="444">
        <v>1099</v>
      </c>
      <c r="M33" s="444">
        <v>10</v>
      </c>
      <c r="N33" s="444">
        <v>0</v>
      </c>
      <c r="O33" s="444">
        <v>0</v>
      </c>
      <c r="P33" s="444">
        <v>10</v>
      </c>
      <c r="Q33" s="444">
        <v>0</v>
      </c>
      <c r="R33" s="444">
        <v>0</v>
      </c>
      <c r="S33" s="444">
        <v>0</v>
      </c>
      <c r="T33" s="444">
        <v>0</v>
      </c>
      <c r="U33" s="444">
        <v>0</v>
      </c>
      <c r="V33" s="444">
        <v>0</v>
      </c>
      <c r="W33" s="444">
        <v>0</v>
      </c>
      <c r="X33" s="444">
        <v>0</v>
      </c>
      <c r="Y33" s="444">
        <v>0</v>
      </c>
      <c r="Z33" s="444">
        <v>0</v>
      </c>
      <c r="AA33" s="444">
        <v>0</v>
      </c>
      <c r="AB33" s="444">
        <v>1</v>
      </c>
      <c r="AC33" s="444">
        <v>0</v>
      </c>
      <c r="AD33" s="444">
        <v>0</v>
      </c>
      <c r="AE33" s="444">
        <v>1</v>
      </c>
      <c r="AF33" s="444">
        <v>0</v>
      </c>
    </row>
    <row r="34" spans="1:32" ht="21" customHeight="1">
      <c r="A34" s="100">
        <v>30</v>
      </c>
      <c r="B34" s="303" t="s">
        <v>42</v>
      </c>
      <c r="C34" s="444">
        <v>0</v>
      </c>
      <c r="D34" s="444">
        <v>0</v>
      </c>
      <c r="E34" s="444">
        <v>0</v>
      </c>
      <c r="F34" s="444">
        <v>0</v>
      </c>
      <c r="G34" s="444">
        <v>0</v>
      </c>
      <c r="H34" s="444">
        <v>3354</v>
      </c>
      <c r="I34" s="444">
        <v>26</v>
      </c>
      <c r="J34" s="444">
        <v>0</v>
      </c>
      <c r="K34" s="444">
        <v>77</v>
      </c>
      <c r="L34" s="444">
        <v>3457</v>
      </c>
      <c r="M34" s="444">
        <v>5</v>
      </c>
      <c r="N34" s="444">
        <v>0</v>
      </c>
      <c r="O34" s="444">
        <v>0</v>
      </c>
      <c r="P34" s="444">
        <v>5</v>
      </c>
      <c r="Q34" s="444">
        <v>0</v>
      </c>
      <c r="R34" s="444">
        <v>1</v>
      </c>
      <c r="S34" s="444">
        <v>0</v>
      </c>
      <c r="T34" s="444">
        <v>1</v>
      </c>
      <c r="U34" s="444">
        <v>0</v>
      </c>
      <c r="V34" s="444">
        <v>0</v>
      </c>
      <c r="W34" s="444">
        <v>0</v>
      </c>
      <c r="X34" s="444">
        <v>2</v>
      </c>
      <c r="Y34" s="444">
        <v>0</v>
      </c>
      <c r="Z34" s="444">
        <v>0</v>
      </c>
      <c r="AA34" s="444">
        <v>2</v>
      </c>
      <c r="AB34" s="444">
        <v>1</v>
      </c>
      <c r="AC34" s="444">
        <v>1</v>
      </c>
      <c r="AD34" s="444">
        <v>0</v>
      </c>
      <c r="AE34" s="444">
        <v>2</v>
      </c>
      <c r="AF34" s="444">
        <v>0</v>
      </c>
    </row>
    <row r="35" spans="1:32" ht="21" customHeight="1">
      <c r="A35" s="100">
        <v>31</v>
      </c>
      <c r="B35" s="303" t="s">
        <v>43</v>
      </c>
      <c r="C35" s="444">
        <v>17</v>
      </c>
      <c r="D35" s="444">
        <v>2</v>
      </c>
      <c r="E35" s="444">
        <v>0</v>
      </c>
      <c r="F35" s="444">
        <v>0</v>
      </c>
      <c r="G35" s="444">
        <v>19</v>
      </c>
      <c r="H35" s="444">
        <v>3</v>
      </c>
      <c r="I35" s="444">
        <v>0</v>
      </c>
      <c r="J35" s="444">
        <v>0</v>
      </c>
      <c r="K35" s="444">
        <v>0</v>
      </c>
      <c r="L35" s="444">
        <v>3</v>
      </c>
      <c r="M35" s="444">
        <v>7</v>
      </c>
      <c r="N35" s="444">
        <v>0</v>
      </c>
      <c r="O35" s="444">
        <v>0</v>
      </c>
      <c r="P35" s="444">
        <v>7</v>
      </c>
      <c r="Q35" s="444">
        <v>0</v>
      </c>
      <c r="R35" s="444">
        <v>0</v>
      </c>
      <c r="S35" s="444">
        <v>0</v>
      </c>
      <c r="T35" s="444">
        <v>0</v>
      </c>
      <c r="U35" s="444">
        <v>0</v>
      </c>
      <c r="V35" s="444">
        <v>0</v>
      </c>
      <c r="W35" s="444">
        <v>0</v>
      </c>
      <c r="X35" s="444">
        <v>0</v>
      </c>
      <c r="Y35" s="444">
        <v>0</v>
      </c>
      <c r="Z35" s="444">
        <v>0</v>
      </c>
      <c r="AA35" s="444">
        <v>0</v>
      </c>
      <c r="AB35" s="444">
        <v>0</v>
      </c>
      <c r="AC35" s="444">
        <v>0</v>
      </c>
      <c r="AD35" s="444">
        <v>0</v>
      </c>
      <c r="AE35" s="444">
        <v>0</v>
      </c>
      <c r="AF35" s="444">
        <v>0</v>
      </c>
    </row>
    <row r="36" spans="1:32" ht="21" customHeight="1">
      <c r="A36" s="100">
        <v>32</v>
      </c>
      <c r="B36" s="303" t="s">
        <v>44</v>
      </c>
      <c r="C36" s="444">
        <v>0</v>
      </c>
      <c r="D36" s="444">
        <v>1</v>
      </c>
      <c r="E36" s="444">
        <v>0</v>
      </c>
      <c r="F36" s="444">
        <v>0</v>
      </c>
      <c r="G36" s="444">
        <v>1</v>
      </c>
      <c r="H36" s="444">
        <v>2516</v>
      </c>
      <c r="I36" s="444">
        <v>93</v>
      </c>
      <c r="J36" s="444">
        <v>3</v>
      </c>
      <c r="K36" s="444">
        <v>0</v>
      </c>
      <c r="L36" s="444">
        <v>2612</v>
      </c>
      <c r="M36" s="444">
        <v>0</v>
      </c>
      <c r="N36" s="444">
        <v>0</v>
      </c>
      <c r="O36" s="444">
        <v>0</v>
      </c>
      <c r="P36" s="444">
        <v>0</v>
      </c>
      <c r="Q36" s="444">
        <v>2</v>
      </c>
      <c r="R36" s="444">
        <v>0</v>
      </c>
      <c r="S36" s="444">
        <v>0</v>
      </c>
      <c r="T36" s="444">
        <v>2</v>
      </c>
      <c r="U36" s="444">
        <v>0</v>
      </c>
      <c r="V36" s="444">
        <v>0</v>
      </c>
      <c r="W36" s="444">
        <v>0</v>
      </c>
      <c r="X36" s="444">
        <v>39</v>
      </c>
      <c r="Y36" s="444">
        <v>5</v>
      </c>
      <c r="Z36" s="444">
        <v>0</v>
      </c>
      <c r="AA36" s="444">
        <v>44</v>
      </c>
      <c r="AB36" s="444">
        <v>2</v>
      </c>
      <c r="AC36" s="444">
        <v>1</v>
      </c>
      <c r="AD36" s="444">
        <v>0</v>
      </c>
      <c r="AE36" s="444">
        <v>3</v>
      </c>
      <c r="AF36" s="444">
        <v>0</v>
      </c>
    </row>
    <row r="37" spans="1:32" ht="21" customHeight="1">
      <c r="A37" s="100">
        <v>33</v>
      </c>
      <c r="B37" s="303" t="s">
        <v>134</v>
      </c>
      <c r="C37" s="444">
        <v>0</v>
      </c>
      <c r="D37" s="444">
        <v>1</v>
      </c>
      <c r="E37" s="444">
        <v>0</v>
      </c>
      <c r="F37" s="444">
        <v>2</v>
      </c>
      <c r="G37" s="444">
        <v>3</v>
      </c>
      <c r="H37" s="444">
        <v>2041</v>
      </c>
      <c r="I37" s="444">
        <v>29</v>
      </c>
      <c r="J37" s="444">
        <v>4</v>
      </c>
      <c r="K37" s="444">
        <v>0</v>
      </c>
      <c r="L37" s="444">
        <v>2074</v>
      </c>
      <c r="M37" s="444">
        <v>0</v>
      </c>
      <c r="N37" s="444">
        <v>0</v>
      </c>
      <c r="O37" s="444">
        <v>0</v>
      </c>
      <c r="P37" s="444">
        <v>0</v>
      </c>
      <c r="Q37" s="444">
        <v>0</v>
      </c>
      <c r="R37" s="444">
        <v>0</v>
      </c>
      <c r="S37" s="444">
        <v>0</v>
      </c>
      <c r="T37" s="444">
        <v>0</v>
      </c>
      <c r="U37" s="444">
        <v>0</v>
      </c>
      <c r="V37" s="444">
        <v>1</v>
      </c>
      <c r="W37" s="444">
        <v>1</v>
      </c>
      <c r="X37" s="444">
        <v>0</v>
      </c>
      <c r="Y37" s="444">
        <v>3</v>
      </c>
      <c r="Z37" s="444">
        <v>0</v>
      </c>
      <c r="AA37" s="444">
        <v>3</v>
      </c>
      <c r="AB37" s="444">
        <v>2</v>
      </c>
      <c r="AC37" s="444">
        <v>1</v>
      </c>
      <c r="AD37" s="444">
        <v>0</v>
      </c>
      <c r="AE37" s="444">
        <v>3</v>
      </c>
      <c r="AF37" s="444">
        <v>0</v>
      </c>
    </row>
    <row r="38" spans="1:32" ht="21" customHeight="1">
      <c r="A38" s="100">
        <v>34</v>
      </c>
      <c r="B38" s="303" t="s">
        <v>45</v>
      </c>
      <c r="C38" s="444">
        <v>52</v>
      </c>
      <c r="D38" s="444">
        <v>1</v>
      </c>
      <c r="E38" s="444">
        <v>0</v>
      </c>
      <c r="F38" s="444">
        <v>0</v>
      </c>
      <c r="G38" s="444">
        <v>53</v>
      </c>
      <c r="H38" s="444">
        <v>0</v>
      </c>
      <c r="I38" s="444">
        <v>0</v>
      </c>
      <c r="J38" s="444">
        <v>0</v>
      </c>
      <c r="K38" s="444">
        <v>0</v>
      </c>
      <c r="L38" s="444">
        <v>0</v>
      </c>
      <c r="M38" s="444">
        <v>0</v>
      </c>
      <c r="N38" s="444">
        <v>0</v>
      </c>
      <c r="O38" s="444">
        <v>0</v>
      </c>
      <c r="P38" s="444">
        <v>0</v>
      </c>
      <c r="Q38" s="444">
        <v>0</v>
      </c>
      <c r="R38" s="444">
        <v>1</v>
      </c>
      <c r="S38" s="444">
        <v>0</v>
      </c>
      <c r="T38" s="444">
        <v>1</v>
      </c>
      <c r="U38" s="444">
        <v>0</v>
      </c>
      <c r="V38" s="444">
        <v>0</v>
      </c>
      <c r="W38" s="444">
        <v>0</v>
      </c>
      <c r="X38" s="444">
        <v>0</v>
      </c>
      <c r="Y38" s="444">
        <v>0</v>
      </c>
      <c r="Z38" s="444">
        <v>0</v>
      </c>
      <c r="AA38" s="444">
        <v>0</v>
      </c>
      <c r="AB38" s="444">
        <v>0</v>
      </c>
      <c r="AC38" s="444">
        <v>0</v>
      </c>
      <c r="AD38" s="444">
        <v>0</v>
      </c>
      <c r="AE38" s="444">
        <v>0</v>
      </c>
      <c r="AF38" s="444">
        <v>0</v>
      </c>
    </row>
    <row r="39" spans="1:32" ht="21" customHeight="1">
      <c r="A39" s="100">
        <v>35</v>
      </c>
      <c r="B39" s="303" t="s">
        <v>47</v>
      </c>
      <c r="C39" s="444">
        <v>5</v>
      </c>
      <c r="D39" s="444">
        <v>15</v>
      </c>
      <c r="E39" s="444">
        <v>2</v>
      </c>
      <c r="F39" s="444">
        <v>1</v>
      </c>
      <c r="G39" s="444">
        <v>23</v>
      </c>
      <c r="H39" s="444">
        <v>7748</v>
      </c>
      <c r="I39" s="444">
        <v>20</v>
      </c>
      <c r="J39" s="444">
        <v>0</v>
      </c>
      <c r="K39" s="444">
        <v>44</v>
      </c>
      <c r="L39" s="444">
        <v>7812</v>
      </c>
      <c r="M39" s="444">
        <v>4</v>
      </c>
      <c r="N39" s="444">
        <v>2</v>
      </c>
      <c r="O39" s="444">
        <v>1</v>
      </c>
      <c r="P39" s="444">
        <v>7</v>
      </c>
      <c r="Q39" s="444">
        <v>1</v>
      </c>
      <c r="R39" s="444">
        <v>2</v>
      </c>
      <c r="S39" s="444">
        <v>0</v>
      </c>
      <c r="T39" s="444">
        <v>3</v>
      </c>
      <c r="U39" s="444">
        <v>18</v>
      </c>
      <c r="V39" s="444">
        <v>0</v>
      </c>
      <c r="W39" s="444">
        <v>18</v>
      </c>
      <c r="X39" s="444">
        <v>0</v>
      </c>
      <c r="Y39" s="444">
        <v>3</v>
      </c>
      <c r="Z39" s="444">
        <v>0</v>
      </c>
      <c r="AA39" s="444">
        <v>3</v>
      </c>
      <c r="AB39" s="444">
        <v>1</v>
      </c>
      <c r="AC39" s="444">
        <v>2</v>
      </c>
      <c r="AD39" s="444">
        <v>0</v>
      </c>
      <c r="AE39" s="444">
        <v>3</v>
      </c>
      <c r="AF39" s="444">
        <v>0</v>
      </c>
    </row>
    <row r="40" spans="1:32" ht="21" customHeight="1">
      <c r="A40" s="100">
        <v>36</v>
      </c>
      <c r="B40" s="303" t="s">
        <v>46</v>
      </c>
      <c r="C40" s="444">
        <v>113</v>
      </c>
      <c r="D40" s="444">
        <v>0</v>
      </c>
      <c r="E40" s="444">
        <v>0</v>
      </c>
      <c r="F40" s="444">
        <v>0</v>
      </c>
      <c r="G40" s="444">
        <v>113</v>
      </c>
      <c r="H40" s="444">
        <v>325</v>
      </c>
      <c r="I40" s="444">
        <v>16</v>
      </c>
      <c r="J40" s="444">
        <v>2</v>
      </c>
      <c r="K40" s="444">
        <v>3</v>
      </c>
      <c r="L40" s="444">
        <v>346</v>
      </c>
      <c r="M40" s="444">
        <v>8</v>
      </c>
      <c r="N40" s="444">
        <v>0</v>
      </c>
      <c r="O40" s="444">
        <v>0</v>
      </c>
      <c r="P40" s="444">
        <v>8</v>
      </c>
      <c r="Q40" s="444">
        <v>0</v>
      </c>
      <c r="R40" s="444">
        <v>1</v>
      </c>
      <c r="S40" s="444">
        <v>0</v>
      </c>
      <c r="T40" s="444">
        <v>1</v>
      </c>
      <c r="U40" s="444">
        <v>0</v>
      </c>
      <c r="V40" s="444">
        <v>0</v>
      </c>
      <c r="W40" s="444">
        <v>0</v>
      </c>
      <c r="X40" s="444">
        <v>0</v>
      </c>
      <c r="Y40" s="444">
        <v>0</v>
      </c>
      <c r="Z40" s="444">
        <v>0</v>
      </c>
      <c r="AA40" s="444">
        <v>0</v>
      </c>
      <c r="AB40" s="444">
        <v>0</v>
      </c>
      <c r="AC40" s="444">
        <v>0</v>
      </c>
      <c r="AD40" s="444">
        <v>0</v>
      </c>
      <c r="AE40" s="444">
        <v>0</v>
      </c>
      <c r="AF40" s="444">
        <v>0</v>
      </c>
    </row>
    <row r="41" spans="1:32" ht="21" customHeight="1">
      <c r="A41" s="100">
        <v>37</v>
      </c>
      <c r="B41" s="303" t="s">
        <v>48</v>
      </c>
      <c r="C41" s="444">
        <v>0</v>
      </c>
      <c r="D41" s="444">
        <v>2</v>
      </c>
      <c r="E41" s="444">
        <v>1</v>
      </c>
      <c r="F41" s="444">
        <v>0</v>
      </c>
      <c r="G41" s="444">
        <v>3</v>
      </c>
      <c r="H41" s="444">
        <v>1364</v>
      </c>
      <c r="I41" s="444">
        <v>45</v>
      </c>
      <c r="J41" s="444">
        <v>0</v>
      </c>
      <c r="K41" s="444">
        <v>15</v>
      </c>
      <c r="L41" s="444">
        <v>1424</v>
      </c>
      <c r="M41" s="444">
        <v>0</v>
      </c>
      <c r="N41" s="444">
        <v>0</v>
      </c>
      <c r="O41" s="444">
        <v>0</v>
      </c>
      <c r="P41" s="444">
        <v>0</v>
      </c>
      <c r="Q41" s="444">
        <v>3</v>
      </c>
      <c r="R41" s="444">
        <v>1</v>
      </c>
      <c r="S41" s="444">
        <v>1</v>
      </c>
      <c r="T41" s="444">
        <v>5</v>
      </c>
      <c r="U41" s="444">
        <v>0</v>
      </c>
      <c r="V41" s="444">
        <v>0</v>
      </c>
      <c r="W41" s="444">
        <v>0</v>
      </c>
      <c r="X41" s="444">
        <v>3</v>
      </c>
      <c r="Y41" s="444">
        <v>2</v>
      </c>
      <c r="Z41" s="444">
        <v>0</v>
      </c>
      <c r="AA41" s="444">
        <v>5</v>
      </c>
      <c r="AB41" s="444">
        <v>1</v>
      </c>
      <c r="AC41" s="444">
        <v>1</v>
      </c>
      <c r="AD41" s="444">
        <v>0</v>
      </c>
      <c r="AE41" s="444">
        <v>2</v>
      </c>
      <c r="AF41" s="444">
        <v>0</v>
      </c>
    </row>
    <row r="42" spans="1:32" s="70" customFormat="1" ht="21" customHeight="1">
      <c r="A42" s="892" t="s">
        <v>49</v>
      </c>
      <c r="B42" s="892"/>
      <c r="C42" s="445">
        <f>SUM(C5:C41)</f>
        <v>677</v>
      </c>
      <c r="D42" s="445">
        <f t="shared" ref="D42:AF42" si="0">SUM(D5:D41)</f>
        <v>125</v>
      </c>
      <c r="E42" s="445">
        <f t="shared" si="0"/>
        <v>6</v>
      </c>
      <c r="F42" s="445">
        <f t="shared" si="0"/>
        <v>8</v>
      </c>
      <c r="G42" s="445">
        <f t="shared" si="0"/>
        <v>816</v>
      </c>
      <c r="H42" s="445">
        <f t="shared" si="0"/>
        <v>40437</v>
      </c>
      <c r="I42" s="445">
        <f t="shared" si="0"/>
        <v>1104</v>
      </c>
      <c r="J42" s="445">
        <f t="shared" si="0"/>
        <v>119</v>
      </c>
      <c r="K42" s="445">
        <f t="shared" si="0"/>
        <v>1260</v>
      </c>
      <c r="L42" s="445">
        <f t="shared" si="0"/>
        <v>42920</v>
      </c>
      <c r="M42" s="445">
        <f t="shared" si="0"/>
        <v>292</v>
      </c>
      <c r="N42" s="445">
        <f t="shared" si="0"/>
        <v>2</v>
      </c>
      <c r="O42" s="445">
        <f t="shared" si="0"/>
        <v>9</v>
      </c>
      <c r="P42" s="445">
        <f t="shared" si="0"/>
        <v>303</v>
      </c>
      <c r="Q42" s="445">
        <f t="shared" si="0"/>
        <v>13</v>
      </c>
      <c r="R42" s="445">
        <f t="shared" si="0"/>
        <v>13</v>
      </c>
      <c r="S42" s="445">
        <f t="shared" si="0"/>
        <v>1</v>
      </c>
      <c r="T42" s="445">
        <f t="shared" si="0"/>
        <v>27</v>
      </c>
      <c r="U42" s="445">
        <f t="shared" si="0"/>
        <v>28</v>
      </c>
      <c r="V42" s="445">
        <f t="shared" si="0"/>
        <v>5</v>
      </c>
      <c r="W42" s="445">
        <f t="shared" si="0"/>
        <v>33</v>
      </c>
      <c r="X42" s="445">
        <f t="shared" si="0"/>
        <v>207</v>
      </c>
      <c r="Y42" s="445">
        <f t="shared" si="0"/>
        <v>25</v>
      </c>
      <c r="Z42" s="445">
        <f t="shared" si="0"/>
        <v>1</v>
      </c>
      <c r="AA42" s="445">
        <f t="shared" si="0"/>
        <v>233</v>
      </c>
      <c r="AB42" s="445">
        <f t="shared" si="0"/>
        <v>18</v>
      </c>
      <c r="AC42" s="445">
        <f t="shared" si="0"/>
        <v>17</v>
      </c>
      <c r="AD42" s="445">
        <f t="shared" si="0"/>
        <v>2</v>
      </c>
      <c r="AE42" s="445">
        <f t="shared" si="0"/>
        <v>37</v>
      </c>
      <c r="AF42" s="445">
        <f t="shared" si="0"/>
        <v>5</v>
      </c>
    </row>
  </sheetData>
  <mergeCells count="17">
    <mergeCell ref="AA2:AA3"/>
    <mergeCell ref="AB2:AD2"/>
    <mergeCell ref="AE2:AE3"/>
    <mergeCell ref="A2:A3"/>
    <mergeCell ref="W2:W3"/>
    <mergeCell ref="X2:Z2"/>
    <mergeCell ref="A42:B42"/>
    <mergeCell ref="P2:P3"/>
    <mergeCell ref="Q2:S2"/>
    <mergeCell ref="T2:T3"/>
    <mergeCell ref="U2:V2"/>
    <mergeCell ref="B2:B3"/>
    <mergeCell ref="C2:F2"/>
    <mergeCell ref="G2:G3"/>
    <mergeCell ref="H2:K2"/>
    <mergeCell ref="L2:L3"/>
    <mergeCell ref="M2:O2"/>
  </mergeCells>
  <pageMargins left="0.5" right="0.2" top="0.5" bottom="0.5" header="0.31496062992126" footer="0.31496062992126"/>
  <pageSetup paperSize="9" scale="74" firstPageNumber="126" orientation="portrait" useFirstPageNumber="1" r:id="rId1"/>
  <headerFooter>
    <oddFooter>&amp;L     AISHE 2019-20&amp;CT-37</oddFooter>
  </headerFooter>
  <colBreaks count="2" manualBreakCount="2">
    <brk id="12" max="40" man="1"/>
    <brk id="23" max="40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>
    <tabColor rgb="FF00B050"/>
  </sheetPr>
  <dimension ref="A1:K42"/>
  <sheetViews>
    <sheetView view="pageBreakPreview" topLeftCell="A31" zoomScaleSheetLayoutView="100" workbookViewId="0">
      <selection activeCell="H42" sqref="H42"/>
    </sheetView>
  </sheetViews>
  <sheetFormatPr defaultColWidth="9.140625" defaultRowHeight="14.25"/>
  <cols>
    <col min="1" max="1" width="5.42578125" style="163" customWidth="1"/>
    <col min="2" max="2" width="25.140625" style="163" customWidth="1"/>
    <col min="3" max="4" width="10.140625" style="163" customWidth="1"/>
    <col min="5" max="5" width="11.140625" style="163" customWidth="1"/>
    <col min="6" max="7" width="9.85546875" style="163" customWidth="1"/>
    <col min="8" max="8" width="10.140625" style="163" customWidth="1"/>
    <col min="9" max="9" width="9" style="163" customWidth="1"/>
    <col min="10" max="10" width="9.28515625" style="163" customWidth="1"/>
    <col min="11" max="11" width="10.28515625" style="163" customWidth="1"/>
    <col min="12" max="16384" width="9.140625" style="163"/>
  </cols>
  <sheetData>
    <row r="1" spans="1:11" ht="29.25" customHeight="1">
      <c r="A1" s="881" t="s">
        <v>826</v>
      </c>
      <c r="B1" s="882"/>
      <c r="C1" s="882"/>
      <c r="D1" s="882"/>
      <c r="E1" s="882"/>
      <c r="F1" s="882"/>
      <c r="G1" s="882"/>
      <c r="H1" s="882"/>
      <c r="I1" s="882"/>
      <c r="J1" s="882"/>
      <c r="K1" s="882"/>
    </row>
    <row r="2" spans="1:11" ht="19.899999999999999" customHeight="1">
      <c r="A2" s="883" t="s">
        <v>80</v>
      </c>
      <c r="B2" s="883" t="s">
        <v>713</v>
      </c>
      <c r="C2" s="885" t="s">
        <v>843</v>
      </c>
      <c r="D2" s="885"/>
      <c r="E2" s="885"/>
      <c r="F2" s="885" t="s">
        <v>110</v>
      </c>
      <c r="G2" s="885"/>
      <c r="H2" s="885"/>
      <c r="I2" s="885" t="s">
        <v>111</v>
      </c>
      <c r="J2" s="885"/>
      <c r="K2" s="885"/>
    </row>
    <row r="3" spans="1:11" ht="19.899999999999999" customHeight="1">
      <c r="A3" s="884"/>
      <c r="B3" s="884"/>
      <c r="C3" s="399" t="s">
        <v>87</v>
      </c>
      <c r="D3" s="399" t="s">
        <v>88</v>
      </c>
      <c r="E3" s="399" t="s">
        <v>12</v>
      </c>
      <c r="F3" s="399" t="s">
        <v>87</v>
      </c>
      <c r="G3" s="399" t="s">
        <v>88</v>
      </c>
      <c r="H3" s="399" t="s">
        <v>12</v>
      </c>
      <c r="I3" s="399" t="s">
        <v>87</v>
      </c>
      <c r="J3" s="399" t="s">
        <v>88</v>
      </c>
      <c r="K3" s="399" t="s">
        <v>12</v>
      </c>
    </row>
    <row r="4" spans="1:11" s="438" customFormat="1">
      <c r="A4" s="437">
        <v>1</v>
      </c>
      <c r="B4" s="437">
        <v>2</v>
      </c>
      <c r="C4" s="437">
        <v>3</v>
      </c>
      <c r="D4" s="437">
        <v>4</v>
      </c>
      <c r="E4" s="437">
        <v>5</v>
      </c>
      <c r="F4" s="437">
        <v>6</v>
      </c>
      <c r="G4" s="437">
        <v>7</v>
      </c>
      <c r="H4" s="437">
        <v>8</v>
      </c>
      <c r="I4" s="437">
        <v>9</v>
      </c>
      <c r="J4" s="437">
        <v>10</v>
      </c>
      <c r="K4" s="437">
        <v>11</v>
      </c>
    </row>
    <row r="5" spans="1:11" ht="31.9" customHeight="1">
      <c r="A5" s="301">
        <v>1</v>
      </c>
      <c r="B5" s="443" t="s">
        <v>154</v>
      </c>
      <c r="C5" s="440">
        <v>25566</v>
      </c>
      <c r="D5" s="440">
        <v>25125</v>
      </c>
      <c r="E5" s="440">
        <f>C5+D5</f>
        <v>50691</v>
      </c>
      <c r="F5" s="440">
        <v>0</v>
      </c>
      <c r="G5" s="440">
        <v>0</v>
      </c>
      <c r="H5" s="440">
        <f>F5+G5</f>
        <v>0</v>
      </c>
      <c r="I5" s="440">
        <v>1735.9304824223761</v>
      </c>
      <c r="J5" s="440">
        <v>1734.724438153848</v>
      </c>
      <c r="K5" s="440">
        <f>I5+J5</f>
        <v>3470.654920576224</v>
      </c>
    </row>
    <row r="6" spans="1:11" ht="22.5" customHeight="1">
      <c r="A6" s="301">
        <v>2</v>
      </c>
      <c r="B6" s="439" t="s">
        <v>800</v>
      </c>
      <c r="C6" s="440">
        <v>2665126</v>
      </c>
      <c r="D6" s="440">
        <v>2722965</v>
      </c>
      <c r="E6" s="440">
        <f t="shared" ref="E6:E41" si="0">C6+D6</f>
        <v>5388091</v>
      </c>
      <c r="F6" s="440">
        <v>500386.21383752959</v>
      </c>
      <c r="G6" s="440">
        <v>514596.74342031678</v>
      </c>
      <c r="H6" s="440">
        <f t="shared" ref="H6:H41" si="1">F6+G6</f>
        <v>1014982.9572578464</v>
      </c>
      <c r="I6" s="440">
        <v>140554.33904335042</v>
      </c>
      <c r="J6" s="440">
        <v>159784.85058781612</v>
      </c>
      <c r="K6" s="440">
        <f t="shared" ref="K6:K41" si="2">I6+J6</f>
        <v>300339.18963116652</v>
      </c>
    </row>
    <row r="7" spans="1:11" ht="22.5" customHeight="1">
      <c r="A7" s="301">
        <v>3</v>
      </c>
      <c r="B7" s="439" t="s">
        <v>16</v>
      </c>
      <c r="C7" s="440">
        <v>78884</v>
      </c>
      <c r="D7" s="440">
        <v>78875</v>
      </c>
      <c r="E7" s="440">
        <f t="shared" si="0"/>
        <v>157759</v>
      </c>
      <c r="F7" s="440">
        <v>0</v>
      </c>
      <c r="G7" s="440">
        <v>0</v>
      </c>
      <c r="H7" s="440">
        <f t="shared" si="1"/>
        <v>0</v>
      </c>
      <c r="I7" s="440">
        <v>51607.662411150523</v>
      </c>
      <c r="J7" s="440">
        <v>57281.756103034248</v>
      </c>
      <c r="K7" s="440">
        <f t="shared" si="2"/>
        <v>108889.41851418477</v>
      </c>
    </row>
    <row r="8" spans="1:11" ht="22.5" customHeight="1">
      <c r="A8" s="301">
        <v>4</v>
      </c>
      <c r="B8" s="439" t="s">
        <v>17</v>
      </c>
      <c r="C8" s="440">
        <v>1819013</v>
      </c>
      <c r="D8" s="440">
        <v>1940915</v>
      </c>
      <c r="E8" s="440">
        <f t="shared" si="0"/>
        <v>3759928</v>
      </c>
      <c r="F8" s="440">
        <v>141619.91020403043</v>
      </c>
      <c r="G8" s="440">
        <v>139355.53264939698</v>
      </c>
      <c r="H8" s="440">
        <f t="shared" si="1"/>
        <v>280975.44285342738</v>
      </c>
      <c r="I8" s="440">
        <v>221317.629268788</v>
      </c>
      <c r="J8" s="440">
        <v>245998.26518779856</v>
      </c>
      <c r="K8" s="440">
        <f t="shared" si="2"/>
        <v>467315.89445658657</v>
      </c>
    </row>
    <row r="9" spans="1:11" ht="22.5" customHeight="1">
      <c r="A9" s="301">
        <v>5</v>
      </c>
      <c r="B9" s="439" t="s">
        <v>18</v>
      </c>
      <c r="C9" s="440">
        <v>6153333</v>
      </c>
      <c r="D9" s="440">
        <v>5870119</v>
      </c>
      <c r="E9" s="440">
        <f t="shared" si="0"/>
        <v>12023452</v>
      </c>
      <c r="F9" s="440">
        <v>870090.3803147414</v>
      </c>
      <c r="G9" s="440">
        <v>872358.26529174484</v>
      </c>
      <c r="H9" s="440">
        <f t="shared" si="1"/>
        <v>1742448.6456064861</v>
      </c>
      <c r="I9" s="440">
        <v>71258.195364911604</v>
      </c>
      <c r="J9" s="440">
        <v>71070.923321815149</v>
      </c>
      <c r="K9" s="440">
        <f t="shared" si="2"/>
        <v>142329.11868672675</v>
      </c>
    </row>
    <row r="10" spans="1:11" ht="22.5" customHeight="1">
      <c r="A10" s="301">
        <v>6</v>
      </c>
      <c r="B10" s="439" t="s">
        <v>19</v>
      </c>
      <c r="C10" s="440">
        <v>123050</v>
      </c>
      <c r="D10" s="440">
        <v>81501</v>
      </c>
      <c r="E10" s="440">
        <f t="shared" si="0"/>
        <v>204551</v>
      </c>
      <c r="F10" s="440">
        <v>20481.978619981823</v>
      </c>
      <c r="G10" s="440">
        <v>15758.905989543426</v>
      </c>
      <c r="H10" s="440">
        <f t="shared" si="1"/>
        <v>36240.884609525252</v>
      </c>
      <c r="I10" s="440">
        <v>0</v>
      </c>
      <c r="J10" s="440">
        <v>0</v>
      </c>
      <c r="K10" s="440">
        <f t="shared" si="2"/>
        <v>0</v>
      </c>
    </row>
    <row r="11" spans="1:11" ht="22.5" customHeight="1">
      <c r="A11" s="301">
        <v>7</v>
      </c>
      <c r="B11" s="439" t="s">
        <v>20</v>
      </c>
      <c r="C11" s="440">
        <v>1569585</v>
      </c>
      <c r="D11" s="440">
        <v>1600507</v>
      </c>
      <c r="E11" s="440">
        <f t="shared" si="0"/>
        <v>3170092</v>
      </c>
      <c r="F11" s="440">
        <v>208893.97001793</v>
      </c>
      <c r="G11" s="440">
        <v>207388.19864583472</v>
      </c>
      <c r="H11" s="440">
        <f t="shared" si="1"/>
        <v>416282.16866376472</v>
      </c>
      <c r="I11" s="440">
        <v>446646.40856871795</v>
      </c>
      <c r="J11" s="440">
        <v>478971.15973779443</v>
      </c>
      <c r="K11" s="440">
        <f t="shared" si="2"/>
        <v>925617.56830651243</v>
      </c>
    </row>
    <row r="12" spans="1:11" ht="22.5" customHeight="1">
      <c r="A12" s="301">
        <v>8</v>
      </c>
      <c r="B12" s="439" t="s">
        <v>155</v>
      </c>
      <c r="C12" s="440">
        <v>42453</v>
      </c>
      <c r="D12" s="440">
        <v>25265</v>
      </c>
      <c r="E12" s="440">
        <f t="shared" si="0"/>
        <v>67718</v>
      </c>
      <c r="F12" s="440">
        <v>584.31319984707068</v>
      </c>
      <c r="G12" s="440">
        <v>431.19155093031929</v>
      </c>
      <c r="H12" s="440">
        <f t="shared" si="1"/>
        <v>1015.50475077739</v>
      </c>
      <c r="I12" s="440">
        <v>12701.808342566032</v>
      </c>
      <c r="J12" s="440">
        <v>13791.158865667419</v>
      </c>
      <c r="K12" s="440">
        <f t="shared" si="2"/>
        <v>26492.967208233451</v>
      </c>
    </row>
    <row r="13" spans="1:11" ht="22.5" customHeight="1">
      <c r="A13" s="301">
        <v>9</v>
      </c>
      <c r="B13" s="439" t="s">
        <v>156</v>
      </c>
      <c r="C13" s="440">
        <v>49443</v>
      </c>
      <c r="D13" s="440">
        <v>15247</v>
      </c>
      <c r="E13" s="440">
        <f t="shared" si="0"/>
        <v>64690</v>
      </c>
      <c r="F13" s="440">
        <v>558.29925601826278</v>
      </c>
      <c r="G13" s="440">
        <v>426.21243371403386</v>
      </c>
      <c r="H13" s="440">
        <f t="shared" si="1"/>
        <v>984.51168973229665</v>
      </c>
      <c r="I13" s="440">
        <v>1354.7261517002289</v>
      </c>
      <c r="J13" s="440">
        <v>1205.9421897843342</v>
      </c>
      <c r="K13" s="440">
        <f t="shared" si="2"/>
        <v>2560.6683414845629</v>
      </c>
    </row>
    <row r="14" spans="1:11" ht="22.5" customHeight="1">
      <c r="A14" s="301">
        <v>10</v>
      </c>
      <c r="B14" s="439" t="s">
        <v>23</v>
      </c>
      <c r="C14" s="440">
        <v>1289642</v>
      </c>
      <c r="D14" s="440">
        <v>1069489</v>
      </c>
      <c r="E14" s="440">
        <f t="shared" si="0"/>
        <v>2359131</v>
      </c>
      <c r="F14" s="440">
        <v>230420.50853626855</v>
      </c>
      <c r="G14" s="440">
        <v>198971.49890342582</v>
      </c>
      <c r="H14" s="440">
        <f t="shared" si="1"/>
        <v>429392.00743969437</v>
      </c>
      <c r="I14" s="440">
        <v>0</v>
      </c>
      <c r="J14" s="440">
        <v>0</v>
      </c>
      <c r="K14" s="440">
        <f t="shared" si="2"/>
        <v>0</v>
      </c>
    </row>
    <row r="15" spans="1:11" ht="22.5" customHeight="1">
      <c r="A15" s="301">
        <v>11</v>
      </c>
      <c r="B15" s="439" t="s">
        <v>24</v>
      </c>
      <c r="C15" s="440">
        <v>105400</v>
      </c>
      <c r="D15" s="440">
        <v>80168</v>
      </c>
      <c r="E15" s="440">
        <f t="shared" si="0"/>
        <v>185568</v>
      </c>
      <c r="F15" s="440">
        <v>1827.9798221243118</v>
      </c>
      <c r="G15" s="440">
        <v>1625.1838593955683</v>
      </c>
      <c r="H15" s="440">
        <f t="shared" si="1"/>
        <v>3453.1636815198799</v>
      </c>
      <c r="I15" s="440">
        <v>8964.8052579276591</v>
      </c>
      <c r="J15" s="440">
        <v>8109.9861218857286</v>
      </c>
      <c r="K15" s="440">
        <f t="shared" si="2"/>
        <v>17074.791379813389</v>
      </c>
    </row>
    <row r="16" spans="1:11" ht="22.5" customHeight="1">
      <c r="A16" s="301">
        <v>12</v>
      </c>
      <c r="B16" s="439" t="s">
        <v>25</v>
      </c>
      <c r="C16" s="440">
        <v>3783047</v>
      </c>
      <c r="D16" s="440">
        <v>3462885</v>
      </c>
      <c r="E16" s="440">
        <f t="shared" si="0"/>
        <v>7245932</v>
      </c>
      <c r="F16" s="440">
        <v>268014.65951410047</v>
      </c>
      <c r="G16" s="440">
        <v>243326.47088953981</v>
      </c>
      <c r="H16" s="440">
        <f t="shared" si="1"/>
        <v>511341.13040364027</v>
      </c>
      <c r="I16" s="440">
        <v>482999.89453317592</v>
      </c>
      <c r="J16" s="440">
        <v>482264.34786464559</v>
      </c>
      <c r="K16" s="440">
        <f t="shared" si="2"/>
        <v>965264.24239782151</v>
      </c>
    </row>
    <row r="17" spans="1:11" ht="22.5" customHeight="1">
      <c r="A17" s="301">
        <v>13</v>
      </c>
      <c r="B17" s="439" t="s">
        <v>26</v>
      </c>
      <c r="C17" s="440">
        <v>1728023</v>
      </c>
      <c r="D17" s="440">
        <v>1454188</v>
      </c>
      <c r="E17" s="440">
        <f t="shared" si="0"/>
        <v>3182211</v>
      </c>
      <c r="F17" s="440">
        <v>368253.38884060521</v>
      </c>
      <c r="G17" s="440">
        <v>305320.46352606657</v>
      </c>
      <c r="H17" s="440">
        <f t="shared" si="1"/>
        <v>673573.85236667178</v>
      </c>
      <c r="I17" s="440">
        <v>0</v>
      </c>
      <c r="J17" s="440">
        <v>0</v>
      </c>
      <c r="K17" s="440">
        <f t="shared" si="2"/>
        <v>0</v>
      </c>
    </row>
    <row r="18" spans="1:11" ht="22.5" customHeight="1">
      <c r="A18" s="301">
        <v>14</v>
      </c>
      <c r="B18" s="439" t="s">
        <v>27</v>
      </c>
      <c r="C18" s="440">
        <v>369943</v>
      </c>
      <c r="D18" s="440">
        <v>338781</v>
      </c>
      <c r="E18" s="440">
        <f t="shared" si="0"/>
        <v>708724</v>
      </c>
      <c r="F18" s="440">
        <v>97238.120959481865</v>
      </c>
      <c r="G18" s="440">
        <v>91857.741876363609</v>
      </c>
      <c r="H18" s="440">
        <f t="shared" si="1"/>
        <v>189095.86283584547</v>
      </c>
      <c r="I18" s="440">
        <v>21371.45539166683</v>
      </c>
      <c r="J18" s="440">
        <v>21009.883005838052</v>
      </c>
      <c r="K18" s="440">
        <f t="shared" si="2"/>
        <v>42381.338397504878</v>
      </c>
    </row>
    <row r="19" spans="1:11" ht="22.5" customHeight="1">
      <c r="A19" s="301">
        <v>15</v>
      </c>
      <c r="B19" s="439" t="s">
        <v>57</v>
      </c>
      <c r="C19" s="440">
        <v>628889.81150636671</v>
      </c>
      <c r="D19" s="440">
        <v>590762.91986799112</v>
      </c>
      <c r="E19" s="440">
        <f t="shared" si="0"/>
        <v>1219652.7313743578</v>
      </c>
      <c r="F19" s="440">
        <v>53622.742521582033</v>
      </c>
      <c r="G19" s="440">
        <v>49643.790293252372</v>
      </c>
      <c r="H19" s="440">
        <f t="shared" si="1"/>
        <v>103266.53281483441</v>
      </c>
      <c r="I19" s="440">
        <v>53343.083365261708</v>
      </c>
      <c r="J19" s="440">
        <v>52596.073830558344</v>
      </c>
      <c r="K19" s="440">
        <f t="shared" si="2"/>
        <v>105939.15719582005</v>
      </c>
    </row>
    <row r="20" spans="1:11" ht="22.5" customHeight="1">
      <c r="A20" s="301">
        <v>16</v>
      </c>
      <c r="B20" s="439" t="s">
        <v>29</v>
      </c>
      <c r="C20" s="440">
        <v>1950742</v>
      </c>
      <c r="D20" s="440">
        <v>1958590</v>
      </c>
      <c r="E20" s="440">
        <f t="shared" si="0"/>
        <v>3909332</v>
      </c>
      <c r="F20" s="440">
        <v>230094.33370210734</v>
      </c>
      <c r="G20" s="440">
        <v>223887.00145371817</v>
      </c>
      <c r="H20" s="440">
        <f t="shared" si="1"/>
        <v>453981.33515582548</v>
      </c>
      <c r="I20" s="440">
        <v>466814.21879015188</v>
      </c>
      <c r="J20" s="440">
        <v>514838.72851702821</v>
      </c>
      <c r="K20" s="440">
        <f t="shared" si="2"/>
        <v>981652.94730718015</v>
      </c>
    </row>
    <row r="21" spans="1:11" ht="22.5" customHeight="1">
      <c r="A21" s="301">
        <v>17</v>
      </c>
      <c r="B21" s="439" t="s">
        <v>30</v>
      </c>
      <c r="C21" s="440">
        <v>3486851</v>
      </c>
      <c r="D21" s="440">
        <v>3356029</v>
      </c>
      <c r="E21" s="440">
        <f t="shared" si="0"/>
        <v>6842880</v>
      </c>
      <c r="F21" s="440">
        <v>632737.1557480956</v>
      </c>
      <c r="G21" s="440">
        <v>618884.35351541534</v>
      </c>
      <c r="H21" s="440">
        <f t="shared" si="1"/>
        <v>1251621.5092635108</v>
      </c>
      <c r="I21" s="440">
        <v>257360.94897990249</v>
      </c>
      <c r="J21" s="440">
        <v>247657.30704426489</v>
      </c>
      <c r="K21" s="440">
        <f t="shared" si="2"/>
        <v>505018.25602416741</v>
      </c>
    </row>
    <row r="22" spans="1:11" ht="22.5" customHeight="1">
      <c r="A22" s="301">
        <v>18</v>
      </c>
      <c r="B22" s="439" t="s">
        <v>31</v>
      </c>
      <c r="C22" s="440">
        <v>1473915</v>
      </c>
      <c r="D22" s="440">
        <v>1459713</v>
      </c>
      <c r="E22" s="440">
        <f t="shared" si="0"/>
        <v>2933628</v>
      </c>
      <c r="F22" s="440">
        <v>136011.90423632012</v>
      </c>
      <c r="G22" s="440">
        <v>134483.96436498329</v>
      </c>
      <c r="H22" s="440">
        <f t="shared" si="1"/>
        <v>270495.86860130343</v>
      </c>
      <c r="I22" s="440">
        <v>22799.220693347943</v>
      </c>
      <c r="J22" s="440">
        <v>23976.441043300918</v>
      </c>
      <c r="K22" s="440">
        <f t="shared" si="2"/>
        <v>46775.661736648864</v>
      </c>
    </row>
    <row r="23" spans="1:11" ht="22.5" customHeight="1">
      <c r="A23" s="301">
        <v>19</v>
      </c>
      <c r="B23" s="439" t="s">
        <v>761</v>
      </c>
      <c r="C23" s="440">
        <v>19856.188493633341</v>
      </c>
      <c r="D23" s="440">
        <v>16732.080132008872</v>
      </c>
      <c r="E23" s="440">
        <f t="shared" si="0"/>
        <v>36588.268625642217</v>
      </c>
      <c r="F23" s="440">
        <v>1693.0522065602288</v>
      </c>
      <c r="G23" s="440">
        <v>1406.0528332227661</v>
      </c>
      <c r="H23" s="440">
        <f t="shared" si="1"/>
        <v>3099.1050397829949</v>
      </c>
      <c r="I23" s="440">
        <v>17870.569644270006</v>
      </c>
      <c r="J23" s="440">
        <v>15058.872118807985</v>
      </c>
      <c r="K23" s="440">
        <v>32929.441763077994</v>
      </c>
    </row>
    <row r="24" spans="1:11" ht="22.5" customHeight="1">
      <c r="A24" s="301">
        <v>20</v>
      </c>
      <c r="B24" s="439" t="s">
        <v>32</v>
      </c>
      <c r="C24" s="440">
        <v>3741</v>
      </c>
      <c r="D24" s="440">
        <v>3702</v>
      </c>
      <c r="E24" s="440">
        <f t="shared" si="0"/>
        <v>7443</v>
      </c>
      <c r="F24" s="440">
        <v>0</v>
      </c>
      <c r="G24" s="440">
        <v>0</v>
      </c>
      <c r="H24" s="440">
        <f t="shared" si="1"/>
        <v>0</v>
      </c>
      <c r="I24" s="440">
        <v>3317.7783744741205</v>
      </c>
      <c r="J24" s="440">
        <v>3535.1732235626641</v>
      </c>
      <c r="K24" s="440">
        <f t="shared" si="2"/>
        <v>6852.9515980367851</v>
      </c>
    </row>
    <row r="25" spans="1:11" ht="22.5" customHeight="1">
      <c r="A25" s="301">
        <v>21</v>
      </c>
      <c r="B25" s="439" t="s">
        <v>801</v>
      </c>
      <c r="C25" s="440">
        <v>4736897</v>
      </c>
      <c r="D25" s="440">
        <v>4284146</v>
      </c>
      <c r="E25" s="440">
        <f t="shared" si="0"/>
        <v>9021043</v>
      </c>
      <c r="F25" s="440">
        <v>769899.67673068983</v>
      </c>
      <c r="G25" s="440">
        <v>658014.23989475938</v>
      </c>
      <c r="H25" s="440">
        <f t="shared" si="1"/>
        <v>1427913.9166254492</v>
      </c>
      <c r="I25" s="440">
        <v>859561.73681818193</v>
      </c>
      <c r="J25" s="440">
        <v>875237.19086620118</v>
      </c>
      <c r="K25" s="440">
        <f t="shared" si="2"/>
        <v>1734798.927684383</v>
      </c>
    </row>
    <row r="26" spans="1:11" ht="22.5" customHeight="1">
      <c r="A26" s="301">
        <v>22</v>
      </c>
      <c r="B26" s="439" t="s">
        <v>34</v>
      </c>
      <c r="C26" s="440">
        <v>6901934</v>
      </c>
      <c r="D26" s="440">
        <v>6291151</v>
      </c>
      <c r="E26" s="440">
        <f t="shared" si="0"/>
        <v>13193085</v>
      </c>
      <c r="F26" s="440">
        <v>849621.40866667405</v>
      </c>
      <c r="G26" s="440">
        <v>789846.32643034903</v>
      </c>
      <c r="H26" s="440">
        <f t="shared" si="1"/>
        <v>1639467.7350970232</v>
      </c>
      <c r="I26" s="440">
        <v>607928.85816212278</v>
      </c>
      <c r="J26" s="440">
        <v>613780.75836872275</v>
      </c>
      <c r="K26" s="440">
        <f t="shared" si="2"/>
        <v>1221709.6165308454</v>
      </c>
    </row>
    <row r="27" spans="1:11" ht="22.5" customHeight="1">
      <c r="A27" s="301">
        <v>23</v>
      </c>
      <c r="B27" s="439" t="s">
        <v>35</v>
      </c>
      <c r="C27" s="440">
        <v>161373</v>
      </c>
      <c r="D27" s="440">
        <v>163590</v>
      </c>
      <c r="E27" s="440">
        <f t="shared" si="0"/>
        <v>324963</v>
      </c>
      <c r="F27" s="440">
        <v>4880.616076804813</v>
      </c>
      <c r="G27" s="440">
        <v>4945.2592192147013</v>
      </c>
      <c r="H27" s="440">
        <f t="shared" si="1"/>
        <v>9825.8752960195143</v>
      </c>
      <c r="I27" s="440">
        <v>76603.060285430518</v>
      </c>
      <c r="J27" s="440">
        <v>76209.372289021732</v>
      </c>
      <c r="K27" s="440">
        <f t="shared" si="2"/>
        <v>152812.43257445225</v>
      </c>
    </row>
    <row r="28" spans="1:11" ht="22.5" customHeight="1">
      <c r="A28" s="301">
        <v>24</v>
      </c>
      <c r="B28" s="439" t="s">
        <v>36</v>
      </c>
      <c r="C28" s="440">
        <v>164917</v>
      </c>
      <c r="D28" s="440">
        <v>170324</v>
      </c>
      <c r="E28" s="440">
        <f t="shared" si="0"/>
        <v>335241</v>
      </c>
      <c r="F28" s="440">
        <v>1126.6038750476055</v>
      </c>
      <c r="G28" s="440">
        <v>1000.8025604733739</v>
      </c>
      <c r="H28" s="440">
        <f t="shared" si="1"/>
        <v>2127.4064355209794</v>
      </c>
      <c r="I28" s="440">
        <v>141644.92361155813</v>
      </c>
      <c r="J28" s="440">
        <v>149685.20922630274</v>
      </c>
      <c r="K28" s="440">
        <f t="shared" si="2"/>
        <v>291330.13283786085</v>
      </c>
    </row>
    <row r="29" spans="1:11" ht="22.5" customHeight="1">
      <c r="A29" s="301">
        <v>25</v>
      </c>
      <c r="B29" s="439" t="s">
        <v>37</v>
      </c>
      <c r="C29" s="440">
        <v>63109</v>
      </c>
      <c r="D29" s="440">
        <v>63994</v>
      </c>
      <c r="E29" s="440">
        <f t="shared" si="0"/>
        <v>127103</v>
      </c>
      <c r="F29" s="440">
        <v>107.05738421855575</v>
      </c>
      <c r="G29" s="440">
        <v>60.745230038682401</v>
      </c>
      <c r="H29" s="440">
        <f t="shared" si="1"/>
        <v>167.80261425723816</v>
      </c>
      <c r="I29" s="440">
        <v>59549.91956934581</v>
      </c>
      <c r="J29" s="440">
        <v>61761.965774247888</v>
      </c>
      <c r="K29" s="440">
        <f t="shared" si="2"/>
        <v>121311.88534359369</v>
      </c>
    </row>
    <row r="30" spans="1:11" ht="22.5" customHeight="1">
      <c r="A30" s="301">
        <v>26</v>
      </c>
      <c r="B30" s="439" t="s">
        <v>38</v>
      </c>
      <c r="C30" s="440">
        <v>122569</v>
      </c>
      <c r="D30" s="440">
        <v>118451</v>
      </c>
      <c r="E30" s="440">
        <f t="shared" si="0"/>
        <v>241020</v>
      </c>
      <c r="F30" s="440">
        <v>0</v>
      </c>
      <c r="G30" s="440">
        <v>0</v>
      </c>
      <c r="H30" s="440">
        <f t="shared" si="1"/>
        <v>0</v>
      </c>
      <c r="I30" s="440">
        <v>106124.8843859231</v>
      </c>
      <c r="J30" s="440">
        <v>106379.83514938173</v>
      </c>
      <c r="K30" s="440">
        <f t="shared" si="2"/>
        <v>212504.71953530482</v>
      </c>
    </row>
    <row r="31" spans="1:11" ht="22.5" customHeight="1">
      <c r="A31" s="301">
        <v>27</v>
      </c>
      <c r="B31" s="439" t="s">
        <v>39</v>
      </c>
      <c r="C31" s="440">
        <v>2296327</v>
      </c>
      <c r="D31" s="440">
        <v>2294076</v>
      </c>
      <c r="E31" s="440">
        <f t="shared" si="0"/>
        <v>4590403</v>
      </c>
      <c r="F31" s="440">
        <v>406607.94740727922</v>
      </c>
      <c r="G31" s="440">
        <v>406367.66413680662</v>
      </c>
      <c r="H31" s="440">
        <f t="shared" si="1"/>
        <v>812975.6115440859</v>
      </c>
      <c r="I31" s="440">
        <v>479755.1553086827</v>
      </c>
      <c r="J31" s="440">
        <v>521792.56362129247</v>
      </c>
      <c r="K31" s="440">
        <f t="shared" si="2"/>
        <v>1001547.7189299752</v>
      </c>
    </row>
    <row r="32" spans="1:11" ht="22.5" customHeight="1">
      <c r="A32" s="301">
        <v>28</v>
      </c>
      <c r="B32" s="439" t="s">
        <v>40</v>
      </c>
      <c r="C32" s="440">
        <v>93078</v>
      </c>
      <c r="D32" s="440">
        <v>79839</v>
      </c>
      <c r="E32" s="440">
        <f t="shared" si="0"/>
        <v>172917</v>
      </c>
      <c r="F32" s="440">
        <v>14664.860565339923</v>
      </c>
      <c r="G32" s="440">
        <v>13479.46612792795</v>
      </c>
      <c r="H32" s="440">
        <f t="shared" si="1"/>
        <v>28144.326693267874</v>
      </c>
      <c r="I32" s="440">
        <v>0</v>
      </c>
      <c r="J32" s="440">
        <v>0</v>
      </c>
      <c r="K32" s="440">
        <f t="shared" si="2"/>
        <v>0</v>
      </c>
    </row>
    <row r="33" spans="1:11" ht="22.5" customHeight="1">
      <c r="A33" s="301">
        <v>29</v>
      </c>
      <c r="B33" s="439" t="s">
        <v>41</v>
      </c>
      <c r="C33" s="440">
        <v>1695437</v>
      </c>
      <c r="D33" s="440">
        <v>1383145</v>
      </c>
      <c r="E33" s="440">
        <f t="shared" si="0"/>
        <v>3078582</v>
      </c>
      <c r="F33" s="440">
        <v>576401.95931420976</v>
      </c>
      <c r="G33" s="440">
        <v>482682.59371081361</v>
      </c>
      <c r="H33" s="440">
        <f t="shared" si="1"/>
        <v>1059084.5530250233</v>
      </c>
      <c r="I33" s="440">
        <v>0</v>
      </c>
      <c r="J33" s="440">
        <v>0</v>
      </c>
      <c r="K33" s="440">
        <f t="shared" si="2"/>
        <v>0</v>
      </c>
    </row>
    <row r="34" spans="1:11" ht="22.5" customHeight="1">
      <c r="A34" s="301">
        <v>30</v>
      </c>
      <c r="B34" s="439" t="s">
        <v>42</v>
      </c>
      <c r="C34" s="440">
        <v>4739484</v>
      </c>
      <c r="D34" s="440">
        <v>4416819</v>
      </c>
      <c r="E34" s="440">
        <f t="shared" si="0"/>
        <v>9156303</v>
      </c>
      <c r="F34" s="440">
        <v>866139.2624616659</v>
      </c>
      <c r="G34" s="440">
        <v>770080.22690513905</v>
      </c>
      <c r="H34" s="440">
        <f t="shared" si="1"/>
        <v>1636219.4893668049</v>
      </c>
      <c r="I34" s="440">
        <v>575559.50774867681</v>
      </c>
      <c r="J34" s="440">
        <v>564449.65663665312</v>
      </c>
      <c r="K34" s="440">
        <f t="shared" si="2"/>
        <v>1140009.1643853299</v>
      </c>
    </row>
    <row r="35" spans="1:11" ht="22.5" customHeight="1">
      <c r="A35" s="301">
        <v>31</v>
      </c>
      <c r="B35" s="439" t="s">
        <v>43</v>
      </c>
      <c r="C35" s="440">
        <v>39534</v>
      </c>
      <c r="D35" s="440">
        <v>37037</v>
      </c>
      <c r="E35" s="440">
        <f t="shared" si="0"/>
        <v>76571</v>
      </c>
      <c r="F35" s="440">
        <v>1815.9733865110159</v>
      </c>
      <c r="G35" s="440">
        <v>1925.9225392592091</v>
      </c>
      <c r="H35" s="440">
        <f t="shared" si="1"/>
        <v>3741.8959257702249</v>
      </c>
      <c r="I35" s="440">
        <v>12743.830867212568</v>
      </c>
      <c r="J35" s="440">
        <v>12904.87600116861</v>
      </c>
      <c r="K35" s="440">
        <f t="shared" si="2"/>
        <v>25648.706868381178</v>
      </c>
    </row>
    <row r="36" spans="1:11" ht="22.5" customHeight="1">
      <c r="A36" s="301">
        <v>32</v>
      </c>
      <c r="B36" s="439" t="s">
        <v>802</v>
      </c>
      <c r="C36" s="440">
        <v>3435979</v>
      </c>
      <c r="D36" s="440">
        <v>3416864</v>
      </c>
      <c r="E36" s="440">
        <f t="shared" si="0"/>
        <v>6852843</v>
      </c>
      <c r="F36" s="440">
        <v>768436.89265846997</v>
      </c>
      <c r="G36" s="440">
        <v>780903.83190990041</v>
      </c>
      <c r="H36" s="440">
        <f t="shared" si="1"/>
        <v>1549340.7245683703</v>
      </c>
      <c r="I36" s="440">
        <v>39383.109884213009</v>
      </c>
      <c r="J36" s="440">
        <v>41131.49150029078</v>
      </c>
      <c r="K36" s="440">
        <f t="shared" si="2"/>
        <v>80514.601384503796</v>
      </c>
    </row>
    <row r="37" spans="1:11" ht="22.5" customHeight="1">
      <c r="A37" s="301">
        <v>33</v>
      </c>
      <c r="B37" s="439" t="s">
        <v>134</v>
      </c>
      <c r="C37" s="440">
        <v>1933891</v>
      </c>
      <c r="D37" s="441">
        <v>1968358</v>
      </c>
      <c r="E37" s="440">
        <f t="shared" si="0"/>
        <v>3902249</v>
      </c>
      <c r="F37" s="440">
        <v>322035.61548352346</v>
      </c>
      <c r="G37" s="440">
        <v>323331.92214425752</v>
      </c>
      <c r="H37" s="440">
        <f t="shared" si="1"/>
        <v>645367.53762778104</v>
      </c>
      <c r="I37" s="440">
        <v>177556.17253092639</v>
      </c>
      <c r="J37" s="440">
        <v>182583.23249774391</v>
      </c>
      <c r="K37" s="440">
        <f t="shared" si="2"/>
        <v>360139.40502867033</v>
      </c>
    </row>
    <row r="38" spans="1:11" ht="22.5" customHeight="1">
      <c r="A38" s="301">
        <v>34</v>
      </c>
      <c r="B38" s="439" t="s">
        <v>45</v>
      </c>
      <c r="C38" s="440">
        <v>208976</v>
      </c>
      <c r="D38" s="440">
        <v>217989</v>
      </c>
      <c r="E38" s="440">
        <f t="shared" si="0"/>
        <v>426965</v>
      </c>
      <c r="F38" s="440">
        <v>41214.091315240643</v>
      </c>
      <c r="G38" s="440">
        <v>40791.915706140113</v>
      </c>
      <c r="H38" s="440">
        <f t="shared" si="1"/>
        <v>82006.007021380763</v>
      </c>
      <c r="I38" s="440">
        <v>66229.499915542809</v>
      </c>
      <c r="J38" s="440">
        <v>74505.518377608852</v>
      </c>
      <c r="K38" s="440">
        <f t="shared" si="2"/>
        <v>140735.01829315166</v>
      </c>
    </row>
    <row r="39" spans="1:11" ht="22.5" customHeight="1">
      <c r="A39" s="301">
        <v>35</v>
      </c>
      <c r="B39" s="439" t="s">
        <v>47</v>
      </c>
      <c r="C39" s="440">
        <v>13212217</v>
      </c>
      <c r="D39" s="440">
        <v>12077139</v>
      </c>
      <c r="E39" s="440">
        <f t="shared" si="0"/>
        <v>25289356</v>
      </c>
      <c r="F39" s="440">
        <v>2677629.2458074167</v>
      </c>
      <c r="G39" s="440">
        <v>2315769.4924723809</v>
      </c>
      <c r="H39" s="440">
        <f t="shared" si="1"/>
        <v>4993398.7382797971</v>
      </c>
      <c r="I39" s="440">
        <v>63490.031523109108</v>
      </c>
      <c r="J39" s="440">
        <v>63563.410383099959</v>
      </c>
      <c r="K39" s="440">
        <f t="shared" si="2"/>
        <v>127053.44190620907</v>
      </c>
    </row>
    <row r="40" spans="1:11" ht="22.5" customHeight="1">
      <c r="A40" s="301">
        <v>36</v>
      </c>
      <c r="B40" s="439" t="s">
        <v>46</v>
      </c>
      <c r="C40" s="440">
        <v>611331</v>
      </c>
      <c r="D40" s="440">
        <v>577456</v>
      </c>
      <c r="E40" s="440">
        <f t="shared" si="0"/>
        <v>1188787</v>
      </c>
      <c r="F40" s="440">
        <v>117126.78155290664</v>
      </c>
      <c r="G40" s="440">
        <v>110166.95170408844</v>
      </c>
      <c r="H40" s="440">
        <f t="shared" si="1"/>
        <v>227293.7332569951</v>
      </c>
      <c r="I40" s="440">
        <v>19026.198301869685</v>
      </c>
      <c r="J40" s="440">
        <v>19051.098292951359</v>
      </c>
      <c r="K40" s="440">
        <f t="shared" si="2"/>
        <v>38077.296594821048</v>
      </c>
    </row>
    <row r="41" spans="1:11" ht="22.5" customHeight="1">
      <c r="A41" s="301">
        <v>37</v>
      </c>
      <c r="B41" s="439" t="s">
        <v>48</v>
      </c>
      <c r="C41" s="440">
        <v>5259366</v>
      </c>
      <c r="D41" s="440">
        <v>5573845</v>
      </c>
      <c r="E41" s="440">
        <f t="shared" si="0"/>
        <v>10833211</v>
      </c>
      <c r="F41" s="440">
        <v>1318094.5166440629</v>
      </c>
      <c r="G41" s="440">
        <v>1336906.914100847</v>
      </c>
      <c r="H41" s="440">
        <f t="shared" si="1"/>
        <v>2655001.4307449097</v>
      </c>
      <c r="I41" s="440">
        <v>312413.45787576784</v>
      </c>
      <c r="J41" s="440">
        <v>344195.41910393682</v>
      </c>
      <c r="K41" s="440">
        <f t="shared" si="2"/>
        <v>656608.87697970471</v>
      </c>
    </row>
    <row r="42" spans="1:11" ht="25.9" customHeight="1">
      <c r="A42" s="980" t="s">
        <v>49</v>
      </c>
      <c r="B42" s="981"/>
      <c r="C42" s="442">
        <f>SUM(C5:C41)</f>
        <v>73042922</v>
      </c>
      <c r="D42" s="442">
        <f t="shared" ref="D42:K42" si="3">SUM(D5:D41)</f>
        <v>69285782</v>
      </c>
      <c r="E42" s="442">
        <f t="shared" si="3"/>
        <v>142328704</v>
      </c>
      <c r="F42" s="442">
        <f t="shared" si="3"/>
        <v>12498331.420867385</v>
      </c>
      <c r="G42" s="442">
        <f t="shared" si="3"/>
        <v>11655995.84628926</v>
      </c>
      <c r="H42" s="442">
        <f t="shared" si="3"/>
        <v>24154327.267156646</v>
      </c>
      <c r="I42" s="442">
        <f t="shared" si="3"/>
        <v>5879589.0214523477</v>
      </c>
      <c r="J42" s="442">
        <f t="shared" si="3"/>
        <v>6106117.1912903823</v>
      </c>
      <c r="K42" s="442">
        <f t="shared" si="3"/>
        <v>11985706.212742725</v>
      </c>
    </row>
  </sheetData>
  <sortState xmlns:xlrd2="http://schemas.microsoft.com/office/spreadsheetml/2017/richdata2" ref="B5:M40">
    <sortCondition ref="B5:B40"/>
  </sortState>
  <mergeCells count="7">
    <mergeCell ref="A42:B42"/>
    <mergeCell ref="A1:K1"/>
    <mergeCell ref="A2:A3"/>
    <mergeCell ref="B2:B3"/>
    <mergeCell ref="C2:E2"/>
    <mergeCell ref="F2:H2"/>
    <mergeCell ref="I2:K2"/>
  </mergeCells>
  <pageMargins left="0.5" right="0.3" top="0.5" bottom="0.5" header="0.31496062992126" footer="0.31496062992126"/>
  <pageSetup paperSize="9" scale="80" firstPageNumber="42" orientation="portrait" useFirstPageNumber="1" r:id="rId1"/>
  <headerFooter>
    <oddFooter>&amp;L     AISHE 2019-20&amp;CT-38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>
    <tabColor rgb="FF00B050"/>
  </sheetPr>
  <dimension ref="A1:AL43"/>
  <sheetViews>
    <sheetView view="pageBreakPreview" topLeftCell="X25" zoomScaleSheetLayoutView="100" workbookViewId="0">
      <selection activeCell="AM1" sqref="AM1:AW1048576"/>
    </sheetView>
  </sheetViews>
  <sheetFormatPr defaultColWidth="9.140625" defaultRowHeight="15"/>
  <cols>
    <col min="1" max="1" width="5.140625" style="149" customWidth="1"/>
    <col min="2" max="2" width="21.42578125" style="149" customWidth="1"/>
    <col min="3" max="5" width="8.140625" style="149" customWidth="1"/>
    <col min="6" max="6" width="8.7109375" style="149" customWidth="1"/>
    <col min="7" max="7" width="8.85546875" style="149" customWidth="1"/>
    <col min="8" max="8" width="9" style="149" customWidth="1"/>
    <col min="9" max="9" width="8.28515625" style="149" customWidth="1"/>
    <col min="10" max="10" width="7.5703125" style="149" customWidth="1"/>
    <col min="11" max="11" width="8.28515625" style="149" customWidth="1"/>
    <col min="12" max="14" width="9.140625" style="149" customWidth="1"/>
    <col min="15" max="15" width="8.5703125" style="149" customWidth="1"/>
    <col min="16" max="16" width="8.42578125" style="149" customWidth="1"/>
    <col min="17" max="17" width="9.7109375" style="149" customWidth="1"/>
    <col min="18" max="18" width="7.85546875" style="149" customWidth="1"/>
    <col min="19" max="19" width="8.5703125" style="149" customWidth="1"/>
    <col min="20" max="20" width="9.140625" style="149" customWidth="1"/>
    <col min="21" max="26" width="8.140625" style="149" customWidth="1"/>
    <col min="27" max="27" width="6.7109375" style="149" customWidth="1"/>
    <col min="28" max="28" width="7.5703125" style="149" customWidth="1"/>
    <col min="29" max="29" width="6.7109375" style="149" customWidth="1"/>
    <col min="30" max="35" width="7.85546875" style="149" customWidth="1"/>
    <col min="36" max="37" width="9" style="149" customWidth="1"/>
    <col min="38" max="38" width="10.42578125" style="149" customWidth="1"/>
    <col min="39" max="16384" width="9.140625" style="149"/>
  </cols>
  <sheetData>
    <row r="1" spans="1:38" s="175" customFormat="1" ht="43.5" customHeight="1">
      <c r="B1" s="150" t="s">
        <v>141</v>
      </c>
      <c r="C1" s="982" t="s">
        <v>876</v>
      </c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  <c r="O1" s="779" t="str">
        <f>C1</f>
        <v>Enrolment by Type in  University teaching departments and its Constituent Units/Off-campus Centres (Based on actual Response)</v>
      </c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 t="str">
        <f>O1</f>
        <v>Enrolment by Type in  University teaching departments and its Constituent Units/Off-campus Centres (Based on actual Response)</v>
      </c>
      <c r="AB1" s="779"/>
      <c r="AC1" s="779"/>
      <c r="AD1" s="779"/>
      <c r="AE1" s="779"/>
      <c r="AF1" s="779"/>
      <c r="AG1" s="779"/>
      <c r="AH1" s="779"/>
      <c r="AI1" s="779"/>
      <c r="AJ1" s="779"/>
      <c r="AK1" s="779"/>
      <c r="AL1" s="779"/>
    </row>
    <row r="2" spans="1:38" s="450" customFormat="1" ht="45" customHeight="1">
      <c r="A2" s="789" t="s">
        <v>165</v>
      </c>
      <c r="B2" s="791" t="s">
        <v>713</v>
      </c>
      <c r="C2" s="785" t="s">
        <v>123</v>
      </c>
      <c r="D2" s="786"/>
      <c r="E2" s="787"/>
      <c r="F2" s="785" t="s">
        <v>124</v>
      </c>
      <c r="G2" s="786"/>
      <c r="H2" s="787"/>
      <c r="I2" s="785" t="s">
        <v>125</v>
      </c>
      <c r="J2" s="786"/>
      <c r="K2" s="787"/>
      <c r="L2" s="785" t="s">
        <v>126</v>
      </c>
      <c r="M2" s="786"/>
      <c r="N2" s="787"/>
      <c r="O2" s="785" t="s">
        <v>127</v>
      </c>
      <c r="P2" s="786"/>
      <c r="Q2" s="787"/>
      <c r="R2" s="785" t="s">
        <v>128</v>
      </c>
      <c r="S2" s="786"/>
      <c r="T2" s="787"/>
      <c r="U2" s="785" t="s">
        <v>136</v>
      </c>
      <c r="V2" s="786"/>
      <c r="W2" s="787"/>
      <c r="X2" s="785" t="s">
        <v>129</v>
      </c>
      <c r="Y2" s="786"/>
      <c r="Z2" s="787"/>
      <c r="AA2" s="785" t="s">
        <v>130</v>
      </c>
      <c r="AB2" s="786"/>
      <c r="AC2" s="787"/>
      <c r="AD2" s="785" t="s">
        <v>131</v>
      </c>
      <c r="AE2" s="786"/>
      <c r="AF2" s="787"/>
      <c r="AG2" s="785" t="s">
        <v>132</v>
      </c>
      <c r="AH2" s="786"/>
      <c r="AI2" s="787"/>
      <c r="AJ2" s="785" t="s">
        <v>60</v>
      </c>
      <c r="AK2" s="786"/>
      <c r="AL2" s="787"/>
    </row>
    <row r="3" spans="1:38" s="340" customFormat="1" ht="24.75" customHeight="1">
      <c r="A3" s="790"/>
      <c r="B3" s="791"/>
      <c r="C3" s="371" t="s">
        <v>87</v>
      </c>
      <c r="D3" s="371" t="s">
        <v>88</v>
      </c>
      <c r="E3" s="371" t="s">
        <v>12</v>
      </c>
      <c r="F3" s="371" t="s">
        <v>87</v>
      </c>
      <c r="G3" s="371" t="s">
        <v>88</v>
      </c>
      <c r="H3" s="371" t="s">
        <v>12</v>
      </c>
      <c r="I3" s="371" t="s">
        <v>87</v>
      </c>
      <c r="J3" s="371" t="s">
        <v>88</v>
      </c>
      <c r="K3" s="371" t="s">
        <v>12</v>
      </c>
      <c r="L3" s="371" t="s">
        <v>87</v>
      </c>
      <c r="M3" s="371" t="s">
        <v>88</v>
      </c>
      <c r="N3" s="371" t="s">
        <v>12</v>
      </c>
      <c r="O3" s="371" t="s">
        <v>87</v>
      </c>
      <c r="P3" s="371" t="s">
        <v>88</v>
      </c>
      <c r="Q3" s="371" t="s">
        <v>12</v>
      </c>
      <c r="R3" s="371" t="s">
        <v>87</v>
      </c>
      <c r="S3" s="371" t="s">
        <v>88</v>
      </c>
      <c r="T3" s="371" t="s">
        <v>12</v>
      </c>
      <c r="U3" s="371" t="s">
        <v>87</v>
      </c>
      <c r="V3" s="371" t="s">
        <v>88</v>
      </c>
      <c r="W3" s="371" t="s">
        <v>12</v>
      </c>
      <c r="X3" s="371" t="s">
        <v>87</v>
      </c>
      <c r="Y3" s="371" t="s">
        <v>88</v>
      </c>
      <c r="Z3" s="371" t="s">
        <v>12</v>
      </c>
      <c r="AA3" s="371" t="s">
        <v>87</v>
      </c>
      <c r="AB3" s="371" t="s">
        <v>88</v>
      </c>
      <c r="AC3" s="371" t="s">
        <v>12</v>
      </c>
      <c r="AD3" s="371" t="s">
        <v>87</v>
      </c>
      <c r="AE3" s="371" t="s">
        <v>88</v>
      </c>
      <c r="AF3" s="371" t="s">
        <v>12</v>
      </c>
      <c r="AG3" s="371" t="s">
        <v>87</v>
      </c>
      <c r="AH3" s="371" t="s">
        <v>88</v>
      </c>
      <c r="AI3" s="371" t="s">
        <v>12</v>
      </c>
      <c r="AJ3" s="371" t="s">
        <v>87</v>
      </c>
      <c r="AK3" s="371" t="s">
        <v>88</v>
      </c>
      <c r="AL3" s="371" t="s">
        <v>12</v>
      </c>
    </row>
    <row r="4" spans="1:38" s="203" customFormat="1" ht="15" customHeight="1">
      <c r="A4" s="164">
        <v>1</v>
      </c>
      <c r="B4" s="164">
        <v>2</v>
      </c>
      <c r="C4" s="164">
        <v>3</v>
      </c>
      <c r="D4" s="164">
        <v>4</v>
      </c>
      <c r="E4" s="164">
        <v>5</v>
      </c>
      <c r="F4" s="164">
        <v>6</v>
      </c>
      <c r="G4" s="164">
        <v>7</v>
      </c>
      <c r="H4" s="164">
        <v>8</v>
      </c>
      <c r="I4" s="164">
        <v>9</v>
      </c>
      <c r="J4" s="164">
        <v>10</v>
      </c>
      <c r="K4" s="164">
        <v>11</v>
      </c>
      <c r="L4" s="164">
        <v>12</v>
      </c>
      <c r="M4" s="164">
        <v>13</v>
      </c>
      <c r="N4" s="164">
        <v>14</v>
      </c>
      <c r="O4" s="164">
        <v>15</v>
      </c>
      <c r="P4" s="164">
        <v>16</v>
      </c>
      <c r="Q4" s="164">
        <v>17</v>
      </c>
      <c r="R4" s="164">
        <v>18</v>
      </c>
      <c r="S4" s="164">
        <v>19</v>
      </c>
      <c r="T4" s="164">
        <v>20</v>
      </c>
      <c r="U4" s="164">
        <v>21</v>
      </c>
      <c r="V4" s="164">
        <v>22</v>
      </c>
      <c r="W4" s="164">
        <v>23</v>
      </c>
      <c r="X4" s="164">
        <v>24</v>
      </c>
      <c r="Y4" s="164">
        <v>25</v>
      </c>
      <c r="Z4" s="164">
        <v>26</v>
      </c>
      <c r="AA4" s="164">
        <v>27</v>
      </c>
      <c r="AB4" s="164">
        <v>28</v>
      </c>
      <c r="AC4" s="164">
        <v>29</v>
      </c>
      <c r="AD4" s="164">
        <v>30</v>
      </c>
      <c r="AE4" s="164">
        <v>31</v>
      </c>
      <c r="AF4" s="164">
        <v>32</v>
      </c>
      <c r="AG4" s="164">
        <v>33</v>
      </c>
      <c r="AH4" s="164">
        <v>34</v>
      </c>
      <c r="AI4" s="164">
        <v>35</v>
      </c>
      <c r="AJ4" s="164">
        <v>39</v>
      </c>
      <c r="AK4" s="164">
        <v>40</v>
      </c>
      <c r="AL4" s="164">
        <v>41</v>
      </c>
    </row>
    <row r="5" spans="1:38" s="203" customFormat="1" ht="30.75" customHeight="1">
      <c r="A5" s="166">
        <v>1</v>
      </c>
      <c r="B5" s="167" t="s">
        <v>154</v>
      </c>
      <c r="C5" s="168">
        <v>0</v>
      </c>
      <c r="D5" s="168">
        <v>0</v>
      </c>
      <c r="E5" s="170">
        <v>0</v>
      </c>
      <c r="F5" s="168">
        <v>2041</v>
      </c>
      <c r="G5" s="168">
        <v>2059</v>
      </c>
      <c r="H5" s="170">
        <v>4100</v>
      </c>
      <c r="I5" s="168">
        <v>0</v>
      </c>
      <c r="J5" s="168">
        <v>0</v>
      </c>
      <c r="K5" s="170">
        <v>0</v>
      </c>
      <c r="L5" s="168">
        <v>0</v>
      </c>
      <c r="M5" s="168">
        <v>0</v>
      </c>
      <c r="N5" s="170">
        <v>0</v>
      </c>
      <c r="O5" s="168">
        <v>0</v>
      </c>
      <c r="P5" s="168">
        <v>0</v>
      </c>
      <c r="Q5" s="170">
        <v>0</v>
      </c>
      <c r="R5" s="168">
        <v>0</v>
      </c>
      <c r="S5" s="168">
        <v>0</v>
      </c>
      <c r="T5" s="170">
        <v>0</v>
      </c>
      <c r="U5" s="168">
        <v>0</v>
      </c>
      <c r="V5" s="168">
        <v>0</v>
      </c>
      <c r="W5" s="170">
        <v>0</v>
      </c>
      <c r="X5" s="168">
        <v>0</v>
      </c>
      <c r="Y5" s="168">
        <v>0</v>
      </c>
      <c r="Z5" s="170">
        <v>0</v>
      </c>
      <c r="AA5" s="168">
        <v>0</v>
      </c>
      <c r="AB5" s="168">
        <v>0</v>
      </c>
      <c r="AC5" s="170">
        <v>0</v>
      </c>
      <c r="AD5" s="168">
        <v>0</v>
      </c>
      <c r="AE5" s="168">
        <v>0</v>
      </c>
      <c r="AF5" s="170">
        <v>0</v>
      </c>
      <c r="AG5" s="168">
        <v>0</v>
      </c>
      <c r="AH5" s="168">
        <v>0</v>
      </c>
      <c r="AI5" s="170">
        <v>0</v>
      </c>
      <c r="AJ5" s="170">
        <v>2041</v>
      </c>
      <c r="AK5" s="170">
        <v>2059</v>
      </c>
      <c r="AL5" s="172">
        <f>AJ5+AK5</f>
        <v>4100</v>
      </c>
    </row>
    <row r="6" spans="1:38" s="203" customFormat="1" ht="23.25" customHeight="1">
      <c r="A6" s="166">
        <v>2</v>
      </c>
      <c r="B6" s="171" t="s">
        <v>15</v>
      </c>
      <c r="C6" s="168">
        <v>0</v>
      </c>
      <c r="D6" s="168">
        <v>0</v>
      </c>
      <c r="E6" s="170">
        <v>0</v>
      </c>
      <c r="F6" s="168">
        <v>5849</v>
      </c>
      <c r="G6" s="168">
        <v>2090</v>
      </c>
      <c r="H6" s="170">
        <v>7939</v>
      </c>
      <c r="I6" s="168">
        <v>3925</v>
      </c>
      <c r="J6" s="168">
        <v>1577</v>
      </c>
      <c r="K6" s="170">
        <v>5502</v>
      </c>
      <c r="L6" s="168">
        <v>147191</v>
      </c>
      <c r="M6" s="168">
        <v>130318</v>
      </c>
      <c r="N6" s="170">
        <v>277509</v>
      </c>
      <c r="O6" s="168">
        <v>2417</v>
      </c>
      <c r="P6" s="168">
        <v>2025</v>
      </c>
      <c r="Q6" s="170">
        <v>4442</v>
      </c>
      <c r="R6" s="168">
        <v>4026</v>
      </c>
      <c r="S6" s="168">
        <v>1802</v>
      </c>
      <c r="T6" s="170">
        <v>5828</v>
      </c>
      <c r="U6" s="168">
        <v>0</v>
      </c>
      <c r="V6" s="168">
        <v>0</v>
      </c>
      <c r="W6" s="170">
        <v>0</v>
      </c>
      <c r="X6" s="168">
        <v>273</v>
      </c>
      <c r="Y6" s="168">
        <v>1706</v>
      </c>
      <c r="Z6" s="170">
        <v>1979</v>
      </c>
      <c r="AA6" s="168">
        <v>1648</v>
      </c>
      <c r="AB6" s="168">
        <v>1222</v>
      </c>
      <c r="AC6" s="170">
        <v>2870</v>
      </c>
      <c r="AD6" s="168">
        <v>0</v>
      </c>
      <c r="AE6" s="168">
        <v>0</v>
      </c>
      <c r="AF6" s="170">
        <v>0</v>
      </c>
      <c r="AG6" s="168">
        <v>62754</v>
      </c>
      <c r="AH6" s="168">
        <v>39731</v>
      </c>
      <c r="AI6" s="170">
        <v>102485</v>
      </c>
      <c r="AJ6" s="170">
        <v>228083</v>
      </c>
      <c r="AK6" s="170">
        <v>180471</v>
      </c>
      <c r="AL6" s="172">
        <f t="shared" ref="AL6:AL41" si="0">AJ6+AK6</f>
        <v>408554</v>
      </c>
    </row>
    <row r="7" spans="1:38" s="203" customFormat="1" ht="23.25" customHeight="1">
      <c r="A7" s="166">
        <v>3</v>
      </c>
      <c r="B7" s="171" t="s">
        <v>16</v>
      </c>
      <c r="C7" s="168">
        <v>2545</v>
      </c>
      <c r="D7" s="168">
        <v>2759</v>
      </c>
      <c r="E7" s="170">
        <v>5304</v>
      </c>
      <c r="F7" s="168">
        <v>3815</v>
      </c>
      <c r="G7" s="168">
        <v>5514</v>
      </c>
      <c r="H7" s="170">
        <v>9329</v>
      </c>
      <c r="I7" s="168">
        <v>494</v>
      </c>
      <c r="J7" s="168">
        <v>114</v>
      </c>
      <c r="K7" s="170">
        <v>608</v>
      </c>
      <c r="L7" s="168">
        <v>0</v>
      </c>
      <c r="M7" s="168">
        <v>0</v>
      </c>
      <c r="N7" s="170">
        <v>0</v>
      </c>
      <c r="O7" s="168">
        <v>0</v>
      </c>
      <c r="P7" s="168">
        <v>0</v>
      </c>
      <c r="Q7" s="170">
        <v>0</v>
      </c>
      <c r="R7" s="168">
        <v>7913</v>
      </c>
      <c r="S7" s="168">
        <v>4693</v>
      </c>
      <c r="T7" s="170">
        <v>12606</v>
      </c>
      <c r="U7" s="168">
        <v>1728</v>
      </c>
      <c r="V7" s="168">
        <v>2499</v>
      </c>
      <c r="W7" s="170">
        <v>4227</v>
      </c>
      <c r="X7" s="168">
        <v>0</v>
      </c>
      <c r="Y7" s="168">
        <v>0</v>
      </c>
      <c r="Z7" s="170">
        <v>0</v>
      </c>
      <c r="AA7" s="168">
        <v>1398</v>
      </c>
      <c r="AB7" s="168">
        <v>622</v>
      </c>
      <c r="AC7" s="170">
        <v>2020</v>
      </c>
      <c r="AD7" s="168">
        <v>0</v>
      </c>
      <c r="AE7" s="168">
        <v>0</v>
      </c>
      <c r="AF7" s="170">
        <v>0</v>
      </c>
      <c r="AG7" s="168">
        <v>0</v>
      </c>
      <c r="AH7" s="168">
        <v>0</v>
      </c>
      <c r="AI7" s="170">
        <v>0</v>
      </c>
      <c r="AJ7" s="170">
        <v>17893</v>
      </c>
      <c r="AK7" s="170">
        <v>16201</v>
      </c>
      <c r="AL7" s="172">
        <f t="shared" si="0"/>
        <v>34094</v>
      </c>
    </row>
    <row r="8" spans="1:38" s="203" customFormat="1" ht="23.25" customHeight="1">
      <c r="A8" s="166">
        <v>4</v>
      </c>
      <c r="B8" s="171" t="s">
        <v>17</v>
      </c>
      <c r="C8" s="168">
        <v>4945</v>
      </c>
      <c r="D8" s="168">
        <v>4249</v>
      </c>
      <c r="E8" s="170">
        <v>9194</v>
      </c>
      <c r="F8" s="168">
        <v>9671</v>
      </c>
      <c r="G8" s="168">
        <v>8979</v>
      </c>
      <c r="H8" s="170">
        <v>18650</v>
      </c>
      <c r="I8" s="168">
        <v>8778</v>
      </c>
      <c r="J8" s="168">
        <v>2032</v>
      </c>
      <c r="K8" s="170">
        <v>10810</v>
      </c>
      <c r="L8" s="168">
        <v>24946</v>
      </c>
      <c r="M8" s="168">
        <v>31472</v>
      </c>
      <c r="N8" s="170">
        <v>56418</v>
      </c>
      <c r="O8" s="168">
        <v>19784</v>
      </c>
      <c r="P8" s="168">
        <v>15758</v>
      </c>
      <c r="Q8" s="170">
        <v>35542</v>
      </c>
      <c r="R8" s="168">
        <v>5638</v>
      </c>
      <c r="S8" s="168">
        <v>4803</v>
      </c>
      <c r="T8" s="170">
        <v>10441</v>
      </c>
      <c r="U8" s="168">
        <v>0</v>
      </c>
      <c r="V8" s="168">
        <v>0</v>
      </c>
      <c r="W8" s="170">
        <v>0</v>
      </c>
      <c r="X8" s="168">
        <v>0</v>
      </c>
      <c r="Y8" s="168">
        <v>0</v>
      </c>
      <c r="Z8" s="170">
        <v>0</v>
      </c>
      <c r="AA8" s="168">
        <v>646</v>
      </c>
      <c r="AB8" s="168">
        <v>228</v>
      </c>
      <c r="AC8" s="170">
        <v>874</v>
      </c>
      <c r="AD8" s="168">
        <v>0</v>
      </c>
      <c r="AE8" s="168">
        <v>0</v>
      </c>
      <c r="AF8" s="170">
        <v>0</v>
      </c>
      <c r="AG8" s="168">
        <v>0</v>
      </c>
      <c r="AH8" s="168">
        <v>0</v>
      </c>
      <c r="AI8" s="170">
        <v>0</v>
      </c>
      <c r="AJ8" s="170">
        <v>74408</v>
      </c>
      <c r="AK8" s="170">
        <v>67521</v>
      </c>
      <c r="AL8" s="172">
        <f t="shared" si="0"/>
        <v>141929</v>
      </c>
    </row>
    <row r="9" spans="1:38" s="203" customFormat="1" ht="23.25" customHeight="1">
      <c r="A9" s="166">
        <v>5</v>
      </c>
      <c r="B9" s="171" t="s">
        <v>18</v>
      </c>
      <c r="C9" s="168">
        <v>5600</v>
      </c>
      <c r="D9" s="168">
        <v>4134</v>
      </c>
      <c r="E9" s="170">
        <v>9734</v>
      </c>
      <c r="F9" s="168">
        <v>61917</v>
      </c>
      <c r="G9" s="168">
        <v>39730</v>
      </c>
      <c r="H9" s="170">
        <v>101647</v>
      </c>
      <c r="I9" s="168">
        <v>4679</v>
      </c>
      <c r="J9" s="168">
        <v>1154</v>
      </c>
      <c r="K9" s="170">
        <v>5833</v>
      </c>
      <c r="L9" s="168">
        <v>33629</v>
      </c>
      <c r="M9" s="168">
        <v>29236</v>
      </c>
      <c r="N9" s="170">
        <v>62865</v>
      </c>
      <c r="O9" s="168">
        <v>14414</v>
      </c>
      <c r="P9" s="168">
        <v>11695</v>
      </c>
      <c r="Q9" s="170">
        <v>26109</v>
      </c>
      <c r="R9" s="168">
        <v>5763</v>
      </c>
      <c r="S9" s="168">
        <v>2798</v>
      </c>
      <c r="T9" s="170">
        <v>8561</v>
      </c>
      <c r="U9" s="168">
        <v>0</v>
      </c>
      <c r="V9" s="168">
        <v>0</v>
      </c>
      <c r="W9" s="170">
        <v>0</v>
      </c>
      <c r="X9" s="168">
        <v>490</v>
      </c>
      <c r="Y9" s="168">
        <v>661</v>
      </c>
      <c r="Z9" s="170">
        <v>1151</v>
      </c>
      <c r="AA9" s="168">
        <v>347</v>
      </c>
      <c r="AB9" s="168">
        <v>123</v>
      </c>
      <c r="AC9" s="170">
        <v>470</v>
      </c>
      <c r="AD9" s="168">
        <v>0</v>
      </c>
      <c r="AE9" s="168">
        <v>0</v>
      </c>
      <c r="AF9" s="170">
        <v>0</v>
      </c>
      <c r="AG9" s="168">
        <v>0</v>
      </c>
      <c r="AH9" s="168">
        <v>0</v>
      </c>
      <c r="AI9" s="170">
        <v>0</v>
      </c>
      <c r="AJ9" s="170">
        <v>126839</v>
      </c>
      <c r="AK9" s="170">
        <v>89531</v>
      </c>
      <c r="AL9" s="172">
        <f t="shared" si="0"/>
        <v>216370</v>
      </c>
    </row>
    <row r="10" spans="1:38" s="203" customFormat="1" ht="23.25" customHeight="1">
      <c r="A10" s="166">
        <v>6</v>
      </c>
      <c r="B10" s="171" t="s">
        <v>19</v>
      </c>
      <c r="C10" s="168">
        <v>0</v>
      </c>
      <c r="D10" s="168">
        <v>0</v>
      </c>
      <c r="E10" s="170">
        <v>0</v>
      </c>
      <c r="F10" s="168">
        <v>9944</v>
      </c>
      <c r="G10" s="168">
        <v>6410</v>
      </c>
      <c r="H10" s="170">
        <v>16354</v>
      </c>
      <c r="I10" s="168">
        <v>197</v>
      </c>
      <c r="J10" s="168">
        <v>281</v>
      </c>
      <c r="K10" s="170">
        <v>478</v>
      </c>
      <c r="L10" s="168">
        <v>16991</v>
      </c>
      <c r="M10" s="168">
        <v>15139</v>
      </c>
      <c r="N10" s="170">
        <v>32130</v>
      </c>
      <c r="O10" s="168">
        <v>0</v>
      </c>
      <c r="P10" s="168">
        <v>0</v>
      </c>
      <c r="Q10" s="170">
        <v>0</v>
      </c>
      <c r="R10" s="168">
        <v>0</v>
      </c>
      <c r="S10" s="168">
        <v>0</v>
      </c>
      <c r="T10" s="170">
        <v>0</v>
      </c>
      <c r="U10" s="168">
        <v>0</v>
      </c>
      <c r="V10" s="168">
        <v>0</v>
      </c>
      <c r="W10" s="170">
        <v>0</v>
      </c>
      <c r="X10" s="168">
        <v>0</v>
      </c>
      <c r="Y10" s="168">
        <v>0</v>
      </c>
      <c r="Z10" s="170">
        <v>0</v>
      </c>
      <c r="AA10" s="168">
        <v>2615</v>
      </c>
      <c r="AB10" s="168">
        <v>657</v>
      </c>
      <c r="AC10" s="170">
        <v>3272</v>
      </c>
      <c r="AD10" s="168">
        <v>0</v>
      </c>
      <c r="AE10" s="168">
        <v>0</v>
      </c>
      <c r="AF10" s="170">
        <v>0</v>
      </c>
      <c r="AG10" s="168">
        <v>0</v>
      </c>
      <c r="AH10" s="168">
        <v>0</v>
      </c>
      <c r="AI10" s="170">
        <v>0</v>
      </c>
      <c r="AJ10" s="170">
        <v>29747</v>
      </c>
      <c r="AK10" s="170">
        <v>22487</v>
      </c>
      <c r="AL10" s="172">
        <f t="shared" si="0"/>
        <v>52234</v>
      </c>
    </row>
    <row r="11" spans="1:38" s="203" customFormat="1" ht="23.25" customHeight="1">
      <c r="A11" s="166">
        <v>7</v>
      </c>
      <c r="B11" s="171" t="s">
        <v>20</v>
      </c>
      <c r="C11" s="168">
        <v>4363</v>
      </c>
      <c r="D11" s="168">
        <v>3272</v>
      </c>
      <c r="E11" s="170">
        <v>7635</v>
      </c>
      <c r="F11" s="168">
        <v>4750</v>
      </c>
      <c r="G11" s="168">
        <v>3545</v>
      </c>
      <c r="H11" s="170">
        <v>8295</v>
      </c>
      <c r="I11" s="168">
        <v>4448</v>
      </c>
      <c r="J11" s="168">
        <v>1533</v>
      </c>
      <c r="K11" s="170">
        <v>5981</v>
      </c>
      <c r="L11" s="168">
        <v>5445</v>
      </c>
      <c r="M11" s="168">
        <v>4906</v>
      </c>
      <c r="N11" s="170">
        <v>10351</v>
      </c>
      <c r="O11" s="168">
        <v>12978</v>
      </c>
      <c r="P11" s="168">
        <v>10599</v>
      </c>
      <c r="Q11" s="170">
        <v>23577</v>
      </c>
      <c r="R11" s="168">
        <v>44096</v>
      </c>
      <c r="S11" s="168">
        <v>30127</v>
      </c>
      <c r="T11" s="170">
        <v>74223</v>
      </c>
      <c r="U11" s="168">
        <v>0</v>
      </c>
      <c r="V11" s="168">
        <v>0</v>
      </c>
      <c r="W11" s="170">
        <v>0</v>
      </c>
      <c r="X11" s="168">
        <v>0</v>
      </c>
      <c r="Y11" s="168">
        <v>0</v>
      </c>
      <c r="Z11" s="170">
        <v>0</v>
      </c>
      <c r="AA11" s="168">
        <v>0</v>
      </c>
      <c r="AB11" s="168">
        <v>0</v>
      </c>
      <c r="AC11" s="170">
        <v>0</v>
      </c>
      <c r="AD11" s="168">
        <v>0</v>
      </c>
      <c r="AE11" s="168">
        <v>0</v>
      </c>
      <c r="AF11" s="170">
        <v>0</v>
      </c>
      <c r="AG11" s="168">
        <v>0</v>
      </c>
      <c r="AH11" s="168">
        <v>0</v>
      </c>
      <c r="AI11" s="170">
        <v>0</v>
      </c>
      <c r="AJ11" s="170">
        <v>76080</v>
      </c>
      <c r="AK11" s="170">
        <v>53982</v>
      </c>
      <c r="AL11" s="172">
        <f t="shared" si="0"/>
        <v>130062</v>
      </c>
    </row>
    <row r="12" spans="1:38" s="203" customFormat="1" ht="31.5" customHeight="1">
      <c r="A12" s="166">
        <v>8</v>
      </c>
      <c r="B12" s="167" t="s">
        <v>155</v>
      </c>
      <c r="C12" s="168">
        <v>0</v>
      </c>
      <c r="D12" s="168">
        <v>0</v>
      </c>
      <c r="E12" s="170">
        <v>0</v>
      </c>
      <c r="F12" s="168">
        <v>0</v>
      </c>
      <c r="G12" s="168">
        <v>0</v>
      </c>
      <c r="H12" s="170">
        <v>0</v>
      </c>
      <c r="I12" s="168">
        <v>0</v>
      </c>
      <c r="J12" s="168">
        <v>0</v>
      </c>
      <c r="K12" s="170">
        <v>0</v>
      </c>
      <c r="L12" s="168">
        <v>56</v>
      </c>
      <c r="M12" s="168">
        <v>62</v>
      </c>
      <c r="N12" s="170">
        <v>118</v>
      </c>
      <c r="O12" s="168">
        <v>0</v>
      </c>
      <c r="P12" s="168">
        <v>0</v>
      </c>
      <c r="Q12" s="170">
        <v>0</v>
      </c>
      <c r="R12" s="168">
        <v>0</v>
      </c>
      <c r="S12" s="168">
        <v>0</v>
      </c>
      <c r="T12" s="170">
        <v>0</v>
      </c>
      <c r="U12" s="168">
        <v>0</v>
      </c>
      <c r="V12" s="168">
        <v>0</v>
      </c>
      <c r="W12" s="170">
        <v>0</v>
      </c>
      <c r="X12" s="168">
        <v>0</v>
      </c>
      <c r="Y12" s="168">
        <v>0</v>
      </c>
      <c r="Z12" s="170">
        <v>0</v>
      </c>
      <c r="AA12" s="168">
        <v>0</v>
      </c>
      <c r="AB12" s="168">
        <v>0</v>
      </c>
      <c r="AC12" s="170">
        <v>0</v>
      </c>
      <c r="AD12" s="168">
        <v>0</v>
      </c>
      <c r="AE12" s="168">
        <v>0</v>
      </c>
      <c r="AF12" s="170">
        <v>0</v>
      </c>
      <c r="AG12" s="168">
        <v>0</v>
      </c>
      <c r="AH12" s="168">
        <v>0</v>
      </c>
      <c r="AI12" s="170">
        <v>0</v>
      </c>
      <c r="AJ12" s="170">
        <v>56</v>
      </c>
      <c r="AK12" s="170">
        <v>62</v>
      </c>
      <c r="AL12" s="172">
        <f t="shared" si="0"/>
        <v>118</v>
      </c>
    </row>
    <row r="13" spans="1:38" s="203" customFormat="1" ht="23.25" customHeight="1">
      <c r="A13" s="166">
        <v>9</v>
      </c>
      <c r="B13" s="171" t="s">
        <v>156</v>
      </c>
      <c r="C13" s="168">
        <v>0</v>
      </c>
      <c r="D13" s="168">
        <v>0</v>
      </c>
      <c r="E13" s="170">
        <v>0</v>
      </c>
      <c r="F13" s="168">
        <v>0</v>
      </c>
      <c r="G13" s="168">
        <v>0</v>
      </c>
      <c r="H13" s="170">
        <v>0</v>
      </c>
      <c r="I13" s="168">
        <v>0</v>
      </c>
      <c r="J13" s="168">
        <v>0</v>
      </c>
      <c r="K13" s="170">
        <v>0</v>
      </c>
      <c r="L13" s="168">
        <v>0</v>
      </c>
      <c r="M13" s="168">
        <v>0</v>
      </c>
      <c r="N13" s="170">
        <v>0</v>
      </c>
      <c r="O13" s="168">
        <v>0</v>
      </c>
      <c r="P13" s="168">
        <v>0</v>
      </c>
      <c r="Q13" s="170">
        <v>0</v>
      </c>
      <c r="R13" s="168">
        <v>0</v>
      </c>
      <c r="S13" s="168">
        <v>0</v>
      </c>
      <c r="T13" s="170">
        <v>0</v>
      </c>
      <c r="U13" s="168">
        <v>0</v>
      </c>
      <c r="V13" s="168">
        <v>0</v>
      </c>
      <c r="W13" s="170">
        <v>0</v>
      </c>
      <c r="X13" s="168">
        <v>0</v>
      </c>
      <c r="Y13" s="168">
        <v>0</v>
      </c>
      <c r="Z13" s="170">
        <v>0</v>
      </c>
      <c r="AA13" s="168">
        <v>0</v>
      </c>
      <c r="AB13" s="168">
        <v>0</v>
      </c>
      <c r="AC13" s="170">
        <v>0</v>
      </c>
      <c r="AD13" s="168">
        <v>0</v>
      </c>
      <c r="AE13" s="168">
        <v>0</v>
      </c>
      <c r="AF13" s="170">
        <v>0</v>
      </c>
      <c r="AG13" s="168">
        <v>0</v>
      </c>
      <c r="AH13" s="168">
        <v>0</v>
      </c>
      <c r="AI13" s="170">
        <v>0</v>
      </c>
      <c r="AJ13" s="170">
        <v>0</v>
      </c>
      <c r="AK13" s="170">
        <v>0</v>
      </c>
      <c r="AL13" s="172">
        <f t="shared" si="0"/>
        <v>0</v>
      </c>
    </row>
    <row r="14" spans="1:38" s="203" customFormat="1" ht="23.25" customHeight="1">
      <c r="A14" s="166">
        <v>10</v>
      </c>
      <c r="B14" s="171" t="s">
        <v>23</v>
      </c>
      <c r="C14" s="168">
        <v>232660</v>
      </c>
      <c r="D14" s="168">
        <v>234286</v>
      </c>
      <c r="E14" s="170">
        <v>466946</v>
      </c>
      <c r="F14" s="168">
        <v>150069</v>
      </c>
      <c r="G14" s="168">
        <v>139708</v>
      </c>
      <c r="H14" s="170">
        <v>289777</v>
      </c>
      <c r="I14" s="168">
        <v>10162</v>
      </c>
      <c r="J14" s="168">
        <v>4606</v>
      </c>
      <c r="K14" s="170">
        <v>14768</v>
      </c>
      <c r="L14" s="168">
        <v>18221</v>
      </c>
      <c r="M14" s="168">
        <v>9841</v>
      </c>
      <c r="N14" s="170">
        <v>28062</v>
      </c>
      <c r="O14" s="168">
        <v>0</v>
      </c>
      <c r="P14" s="168">
        <v>0</v>
      </c>
      <c r="Q14" s="170">
        <v>0</v>
      </c>
      <c r="R14" s="168">
        <v>0</v>
      </c>
      <c r="S14" s="168">
        <v>0</v>
      </c>
      <c r="T14" s="170">
        <v>0</v>
      </c>
      <c r="U14" s="168">
        <v>0</v>
      </c>
      <c r="V14" s="168">
        <v>0</v>
      </c>
      <c r="W14" s="170">
        <v>0</v>
      </c>
      <c r="X14" s="168">
        <v>0</v>
      </c>
      <c r="Y14" s="168">
        <v>0</v>
      </c>
      <c r="Z14" s="170">
        <v>0</v>
      </c>
      <c r="AA14" s="168">
        <v>1622</v>
      </c>
      <c r="AB14" s="168">
        <v>850</v>
      </c>
      <c r="AC14" s="170">
        <v>2472</v>
      </c>
      <c r="AD14" s="168">
        <v>5157</v>
      </c>
      <c r="AE14" s="168">
        <v>3981</v>
      </c>
      <c r="AF14" s="170">
        <v>9138</v>
      </c>
      <c r="AG14" s="168">
        <v>2958</v>
      </c>
      <c r="AH14" s="168">
        <v>1989</v>
      </c>
      <c r="AI14" s="170">
        <v>4947</v>
      </c>
      <c r="AJ14" s="170">
        <v>420849</v>
      </c>
      <c r="AK14" s="170">
        <v>395261</v>
      </c>
      <c r="AL14" s="172">
        <f t="shared" si="0"/>
        <v>816110</v>
      </c>
    </row>
    <row r="15" spans="1:38" s="203" customFormat="1" ht="23.25" customHeight="1">
      <c r="A15" s="166">
        <v>11</v>
      </c>
      <c r="B15" s="171" t="s">
        <v>24</v>
      </c>
      <c r="C15" s="168">
        <v>0</v>
      </c>
      <c r="D15" s="168">
        <v>0</v>
      </c>
      <c r="E15" s="170">
        <v>0</v>
      </c>
      <c r="F15" s="168">
        <v>2730</v>
      </c>
      <c r="G15" s="168">
        <v>2185</v>
      </c>
      <c r="H15" s="170">
        <v>4915</v>
      </c>
      <c r="I15" s="168">
        <v>910</v>
      </c>
      <c r="J15" s="168">
        <v>192</v>
      </c>
      <c r="K15" s="170">
        <v>1102</v>
      </c>
      <c r="L15" s="168">
        <v>696</v>
      </c>
      <c r="M15" s="168">
        <v>1347</v>
      </c>
      <c r="N15" s="170">
        <v>2043</v>
      </c>
      <c r="O15" s="168">
        <v>0</v>
      </c>
      <c r="P15" s="168">
        <v>0</v>
      </c>
      <c r="Q15" s="170">
        <v>0</v>
      </c>
      <c r="R15" s="168">
        <v>0</v>
      </c>
      <c r="S15" s="168">
        <v>0</v>
      </c>
      <c r="T15" s="170">
        <v>0</v>
      </c>
      <c r="U15" s="168">
        <v>0</v>
      </c>
      <c r="V15" s="168">
        <v>0</v>
      </c>
      <c r="W15" s="170">
        <v>0</v>
      </c>
      <c r="X15" s="168">
        <v>0</v>
      </c>
      <c r="Y15" s="168">
        <v>0</v>
      </c>
      <c r="Z15" s="170">
        <v>0</v>
      </c>
      <c r="AA15" s="168">
        <v>0</v>
      </c>
      <c r="AB15" s="168">
        <v>0</v>
      </c>
      <c r="AC15" s="170">
        <v>0</v>
      </c>
      <c r="AD15" s="168">
        <v>0</v>
      </c>
      <c r="AE15" s="168">
        <v>0</v>
      </c>
      <c r="AF15" s="170">
        <v>0</v>
      </c>
      <c r="AG15" s="168">
        <v>0</v>
      </c>
      <c r="AH15" s="168">
        <v>0</v>
      </c>
      <c r="AI15" s="170">
        <v>0</v>
      </c>
      <c r="AJ15" s="170">
        <v>4336</v>
      </c>
      <c r="AK15" s="170">
        <v>3724</v>
      </c>
      <c r="AL15" s="172">
        <f t="shared" si="0"/>
        <v>8060</v>
      </c>
    </row>
    <row r="16" spans="1:38" s="203" customFormat="1" ht="23.25" customHeight="1">
      <c r="A16" s="166">
        <v>12</v>
      </c>
      <c r="B16" s="171" t="s">
        <v>25</v>
      </c>
      <c r="C16" s="168">
        <v>526</v>
      </c>
      <c r="D16" s="168">
        <v>391</v>
      </c>
      <c r="E16" s="170">
        <v>917</v>
      </c>
      <c r="F16" s="168">
        <v>7111</v>
      </c>
      <c r="G16" s="168">
        <v>5614</v>
      </c>
      <c r="H16" s="170">
        <v>12725</v>
      </c>
      <c r="I16" s="168">
        <v>7749</v>
      </c>
      <c r="J16" s="168">
        <v>2694</v>
      </c>
      <c r="K16" s="170">
        <v>10443</v>
      </c>
      <c r="L16" s="168">
        <v>46660</v>
      </c>
      <c r="M16" s="168">
        <v>47286</v>
      </c>
      <c r="N16" s="170">
        <v>93946</v>
      </c>
      <c r="O16" s="168">
        <v>28851</v>
      </c>
      <c r="P16" s="168">
        <v>21446</v>
      </c>
      <c r="Q16" s="170">
        <v>50297</v>
      </c>
      <c r="R16" s="168">
        <v>92322</v>
      </c>
      <c r="S16" s="168">
        <v>52991</v>
      </c>
      <c r="T16" s="170">
        <v>145313</v>
      </c>
      <c r="U16" s="168">
        <v>0</v>
      </c>
      <c r="V16" s="168">
        <v>0</v>
      </c>
      <c r="W16" s="170">
        <v>0</v>
      </c>
      <c r="X16" s="168">
        <v>0</v>
      </c>
      <c r="Y16" s="168">
        <v>0</v>
      </c>
      <c r="Z16" s="170">
        <v>0</v>
      </c>
      <c r="AA16" s="168">
        <v>207</v>
      </c>
      <c r="AB16" s="168">
        <v>49</v>
      </c>
      <c r="AC16" s="170">
        <v>256</v>
      </c>
      <c r="AD16" s="168">
        <v>1298</v>
      </c>
      <c r="AE16" s="168">
        <v>1202</v>
      </c>
      <c r="AF16" s="170">
        <v>2500</v>
      </c>
      <c r="AG16" s="168">
        <v>2406</v>
      </c>
      <c r="AH16" s="168">
        <v>3665</v>
      </c>
      <c r="AI16" s="170">
        <v>6071</v>
      </c>
      <c r="AJ16" s="170">
        <v>187130</v>
      </c>
      <c r="AK16" s="170">
        <v>135338</v>
      </c>
      <c r="AL16" s="172">
        <f t="shared" si="0"/>
        <v>322468</v>
      </c>
    </row>
    <row r="17" spans="1:38" s="203" customFormat="1" ht="23.25" customHeight="1">
      <c r="A17" s="166">
        <v>13</v>
      </c>
      <c r="B17" s="171" t="s">
        <v>26</v>
      </c>
      <c r="C17" s="168">
        <v>1759</v>
      </c>
      <c r="D17" s="168">
        <v>1219</v>
      </c>
      <c r="E17" s="170">
        <v>2978</v>
      </c>
      <c r="F17" s="168">
        <v>52489</v>
      </c>
      <c r="G17" s="168">
        <v>24128</v>
      </c>
      <c r="H17" s="170">
        <v>76617</v>
      </c>
      <c r="I17" s="168">
        <v>4758</v>
      </c>
      <c r="J17" s="168">
        <v>1337</v>
      </c>
      <c r="K17" s="170">
        <v>6095</v>
      </c>
      <c r="L17" s="168">
        <v>58436</v>
      </c>
      <c r="M17" s="168">
        <v>52195</v>
      </c>
      <c r="N17" s="170">
        <v>110631</v>
      </c>
      <c r="O17" s="168">
        <v>0</v>
      </c>
      <c r="P17" s="168">
        <v>0</v>
      </c>
      <c r="Q17" s="170">
        <v>0</v>
      </c>
      <c r="R17" s="168">
        <v>34821</v>
      </c>
      <c r="S17" s="168">
        <v>21002</v>
      </c>
      <c r="T17" s="170">
        <v>55823</v>
      </c>
      <c r="U17" s="168">
        <v>0</v>
      </c>
      <c r="V17" s="168">
        <v>0</v>
      </c>
      <c r="W17" s="170">
        <v>0</v>
      </c>
      <c r="X17" s="168">
        <v>0</v>
      </c>
      <c r="Y17" s="168">
        <v>0</v>
      </c>
      <c r="Z17" s="170">
        <v>0</v>
      </c>
      <c r="AA17" s="168">
        <v>908</v>
      </c>
      <c r="AB17" s="168">
        <v>581</v>
      </c>
      <c r="AC17" s="170">
        <v>1489</v>
      </c>
      <c r="AD17" s="168">
        <v>0</v>
      </c>
      <c r="AE17" s="168">
        <v>0</v>
      </c>
      <c r="AF17" s="170">
        <v>0</v>
      </c>
      <c r="AG17" s="168">
        <v>10892</v>
      </c>
      <c r="AH17" s="168">
        <v>6989</v>
      </c>
      <c r="AI17" s="170">
        <v>17881</v>
      </c>
      <c r="AJ17" s="170">
        <v>164063</v>
      </c>
      <c r="AK17" s="170">
        <v>107451</v>
      </c>
      <c r="AL17" s="172">
        <f t="shared" si="0"/>
        <v>271514</v>
      </c>
    </row>
    <row r="18" spans="1:38" s="203" customFormat="1" ht="23.25" customHeight="1">
      <c r="A18" s="166">
        <v>14</v>
      </c>
      <c r="B18" s="171" t="s">
        <v>27</v>
      </c>
      <c r="C18" s="168">
        <v>761</v>
      </c>
      <c r="D18" s="168">
        <v>773</v>
      </c>
      <c r="E18" s="170">
        <v>1534</v>
      </c>
      <c r="F18" s="168">
        <v>20892</v>
      </c>
      <c r="G18" s="168">
        <v>18286</v>
      </c>
      <c r="H18" s="170">
        <v>39178</v>
      </c>
      <c r="I18" s="168">
        <v>5011</v>
      </c>
      <c r="J18" s="168">
        <v>1643</v>
      </c>
      <c r="K18" s="170">
        <v>6654</v>
      </c>
      <c r="L18" s="168">
        <v>7897</v>
      </c>
      <c r="M18" s="168">
        <v>8801</v>
      </c>
      <c r="N18" s="170">
        <v>16698</v>
      </c>
      <c r="O18" s="168">
        <v>0</v>
      </c>
      <c r="P18" s="168">
        <v>0</v>
      </c>
      <c r="Q18" s="170">
        <v>0</v>
      </c>
      <c r="R18" s="168">
        <v>15944</v>
      </c>
      <c r="S18" s="168">
        <v>9086</v>
      </c>
      <c r="T18" s="170">
        <v>25030</v>
      </c>
      <c r="U18" s="168">
        <v>0</v>
      </c>
      <c r="V18" s="168">
        <v>0</v>
      </c>
      <c r="W18" s="170">
        <v>0</v>
      </c>
      <c r="X18" s="168">
        <v>0</v>
      </c>
      <c r="Y18" s="168">
        <v>0</v>
      </c>
      <c r="Z18" s="170">
        <v>0</v>
      </c>
      <c r="AA18" s="168">
        <v>87</v>
      </c>
      <c r="AB18" s="168">
        <v>56</v>
      </c>
      <c r="AC18" s="170">
        <v>143</v>
      </c>
      <c r="AD18" s="168">
        <v>0</v>
      </c>
      <c r="AE18" s="168">
        <v>0</v>
      </c>
      <c r="AF18" s="170">
        <v>0</v>
      </c>
      <c r="AG18" s="168">
        <v>0</v>
      </c>
      <c r="AH18" s="168">
        <v>0</v>
      </c>
      <c r="AI18" s="170">
        <v>0</v>
      </c>
      <c r="AJ18" s="170">
        <v>50592</v>
      </c>
      <c r="AK18" s="170">
        <v>38645</v>
      </c>
      <c r="AL18" s="172">
        <f t="shared" si="0"/>
        <v>89237</v>
      </c>
    </row>
    <row r="19" spans="1:38" s="203" customFormat="1" ht="23.25" customHeight="1">
      <c r="A19" s="166">
        <v>15</v>
      </c>
      <c r="B19" s="171" t="s">
        <v>57</v>
      </c>
      <c r="C19" s="168">
        <v>4170</v>
      </c>
      <c r="D19" s="168">
        <v>3521</v>
      </c>
      <c r="E19" s="170">
        <v>7691</v>
      </c>
      <c r="F19" s="168">
        <v>53941</v>
      </c>
      <c r="G19" s="168">
        <v>40280</v>
      </c>
      <c r="H19" s="170">
        <v>94221</v>
      </c>
      <c r="I19" s="168">
        <v>3189</v>
      </c>
      <c r="J19" s="168">
        <v>584</v>
      </c>
      <c r="K19" s="170">
        <v>3773</v>
      </c>
      <c r="L19" s="168">
        <v>19132</v>
      </c>
      <c r="M19" s="168">
        <v>25587</v>
      </c>
      <c r="N19" s="170">
        <v>44719</v>
      </c>
      <c r="O19" s="168">
        <v>0</v>
      </c>
      <c r="P19" s="168">
        <v>0</v>
      </c>
      <c r="Q19" s="170">
        <v>0</v>
      </c>
      <c r="R19" s="168">
        <v>0</v>
      </c>
      <c r="S19" s="168">
        <v>0</v>
      </c>
      <c r="T19" s="170">
        <v>0</v>
      </c>
      <c r="U19" s="168">
        <v>0</v>
      </c>
      <c r="V19" s="168">
        <v>0</v>
      </c>
      <c r="W19" s="170">
        <v>0</v>
      </c>
      <c r="X19" s="168">
        <v>1220</v>
      </c>
      <c r="Y19" s="168">
        <v>115</v>
      </c>
      <c r="Z19" s="170">
        <v>1335</v>
      </c>
      <c r="AA19" s="168">
        <v>40</v>
      </c>
      <c r="AB19" s="168">
        <v>3</v>
      </c>
      <c r="AC19" s="170">
        <v>43</v>
      </c>
      <c r="AD19" s="168">
        <v>0</v>
      </c>
      <c r="AE19" s="168">
        <v>0</v>
      </c>
      <c r="AF19" s="170">
        <v>0</v>
      </c>
      <c r="AG19" s="168">
        <v>0</v>
      </c>
      <c r="AH19" s="168">
        <v>0</v>
      </c>
      <c r="AI19" s="170">
        <v>0</v>
      </c>
      <c r="AJ19" s="170">
        <v>81692</v>
      </c>
      <c r="AK19" s="170">
        <v>70090</v>
      </c>
      <c r="AL19" s="172">
        <f t="shared" si="0"/>
        <v>151782</v>
      </c>
    </row>
    <row r="20" spans="1:38" s="203" customFormat="1" ht="23.25" customHeight="1">
      <c r="A20" s="166">
        <v>16</v>
      </c>
      <c r="B20" s="171" t="s">
        <v>29</v>
      </c>
      <c r="C20" s="168">
        <v>1643</v>
      </c>
      <c r="D20" s="168">
        <v>1260</v>
      </c>
      <c r="E20" s="170">
        <v>2903</v>
      </c>
      <c r="F20" s="168">
        <v>42073</v>
      </c>
      <c r="G20" s="168">
        <v>31284</v>
      </c>
      <c r="H20" s="170">
        <v>73357</v>
      </c>
      <c r="I20" s="168">
        <v>8903</v>
      </c>
      <c r="J20" s="168">
        <v>1986</v>
      </c>
      <c r="K20" s="170">
        <v>10889</v>
      </c>
      <c r="L20" s="168">
        <v>14774</v>
      </c>
      <c r="M20" s="168">
        <v>21371</v>
      </c>
      <c r="N20" s="170">
        <v>36145</v>
      </c>
      <c r="O20" s="168">
        <v>0</v>
      </c>
      <c r="P20" s="168">
        <v>0</v>
      </c>
      <c r="Q20" s="170">
        <v>0</v>
      </c>
      <c r="R20" s="168">
        <v>23706</v>
      </c>
      <c r="S20" s="168">
        <v>18891</v>
      </c>
      <c r="T20" s="170">
        <v>42597</v>
      </c>
      <c r="U20" s="168">
        <v>0</v>
      </c>
      <c r="V20" s="168">
        <v>0</v>
      </c>
      <c r="W20" s="170">
        <v>0</v>
      </c>
      <c r="X20" s="168">
        <v>0</v>
      </c>
      <c r="Y20" s="168">
        <v>0</v>
      </c>
      <c r="Z20" s="170">
        <v>0</v>
      </c>
      <c r="AA20" s="168">
        <v>0</v>
      </c>
      <c r="AB20" s="168">
        <v>0</v>
      </c>
      <c r="AC20" s="170">
        <v>0</v>
      </c>
      <c r="AD20" s="168">
        <v>0</v>
      </c>
      <c r="AE20" s="168">
        <v>0</v>
      </c>
      <c r="AF20" s="170">
        <v>0</v>
      </c>
      <c r="AG20" s="168">
        <v>4555</v>
      </c>
      <c r="AH20" s="168">
        <v>2235</v>
      </c>
      <c r="AI20" s="170">
        <v>6790</v>
      </c>
      <c r="AJ20" s="170">
        <v>95654</v>
      </c>
      <c r="AK20" s="170">
        <v>77027</v>
      </c>
      <c r="AL20" s="172">
        <f t="shared" si="0"/>
        <v>172681</v>
      </c>
    </row>
    <row r="21" spans="1:38" s="203" customFormat="1" ht="23.25" customHeight="1">
      <c r="A21" s="166">
        <v>17</v>
      </c>
      <c r="B21" s="171" t="s">
        <v>30</v>
      </c>
      <c r="C21" s="168">
        <v>1978</v>
      </c>
      <c r="D21" s="168">
        <v>1684</v>
      </c>
      <c r="E21" s="170">
        <v>3662</v>
      </c>
      <c r="F21" s="168">
        <v>8498</v>
      </c>
      <c r="G21" s="168">
        <v>7580</v>
      </c>
      <c r="H21" s="170">
        <v>16078</v>
      </c>
      <c r="I21" s="168">
        <v>6216</v>
      </c>
      <c r="J21" s="168">
        <v>2912</v>
      </c>
      <c r="K21" s="170">
        <v>9128</v>
      </c>
      <c r="L21" s="168">
        <v>45232</v>
      </c>
      <c r="M21" s="168">
        <v>53492</v>
      </c>
      <c r="N21" s="170">
        <v>98724</v>
      </c>
      <c r="O21" s="168">
        <v>10069</v>
      </c>
      <c r="P21" s="168">
        <v>12125</v>
      </c>
      <c r="Q21" s="170">
        <v>22194</v>
      </c>
      <c r="R21" s="168">
        <v>46945</v>
      </c>
      <c r="S21" s="168">
        <v>27819</v>
      </c>
      <c r="T21" s="170">
        <v>74764</v>
      </c>
      <c r="U21" s="168">
        <v>0</v>
      </c>
      <c r="V21" s="168">
        <v>0</v>
      </c>
      <c r="W21" s="170">
        <v>0</v>
      </c>
      <c r="X21" s="168">
        <v>0</v>
      </c>
      <c r="Y21" s="168">
        <v>0</v>
      </c>
      <c r="Z21" s="170">
        <v>0</v>
      </c>
      <c r="AA21" s="168">
        <v>4476</v>
      </c>
      <c r="AB21" s="168">
        <v>2074</v>
      </c>
      <c r="AC21" s="170">
        <v>6550</v>
      </c>
      <c r="AD21" s="168">
        <v>0</v>
      </c>
      <c r="AE21" s="168">
        <v>0</v>
      </c>
      <c r="AF21" s="170">
        <v>0</v>
      </c>
      <c r="AG21" s="168">
        <v>61431</v>
      </c>
      <c r="AH21" s="168">
        <v>59528</v>
      </c>
      <c r="AI21" s="170">
        <v>120959</v>
      </c>
      <c r="AJ21" s="170">
        <v>184845</v>
      </c>
      <c r="AK21" s="170">
        <v>167214</v>
      </c>
      <c r="AL21" s="172">
        <f t="shared" si="0"/>
        <v>352059</v>
      </c>
    </row>
    <row r="22" spans="1:38" s="203" customFormat="1" ht="23.25" customHeight="1">
      <c r="A22" s="166">
        <v>18</v>
      </c>
      <c r="B22" s="171" t="s">
        <v>31</v>
      </c>
      <c r="C22" s="168">
        <v>772</v>
      </c>
      <c r="D22" s="168">
        <v>1390</v>
      </c>
      <c r="E22" s="170">
        <v>2162</v>
      </c>
      <c r="F22" s="168">
        <v>27821</v>
      </c>
      <c r="G22" s="168">
        <v>29871</v>
      </c>
      <c r="H22" s="170">
        <v>57692</v>
      </c>
      <c r="I22" s="168">
        <v>7359</v>
      </c>
      <c r="J22" s="168">
        <v>3563</v>
      </c>
      <c r="K22" s="170">
        <v>10922</v>
      </c>
      <c r="L22" s="168">
        <v>116416</v>
      </c>
      <c r="M22" s="168">
        <v>123650</v>
      </c>
      <c r="N22" s="170">
        <v>240066</v>
      </c>
      <c r="O22" s="168">
        <v>0</v>
      </c>
      <c r="P22" s="168">
        <v>0</v>
      </c>
      <c r="Q22" s="170">
        <v>0</v>
      </c>
      <c r="R22" s="168">
        <v>0</v>
      </c>
      <c r="S22" s="168">
        <v>0</v>
      </c>
      <c r="T22" s="170">
        <v>0</v>
      </c>
      <c r="U22" s="168">
        <v>0</v>
      </c>
      <c r="V22" s="168">
        <v>0</v>
      </c>
      <c r="W22" s="170">
        <v>0</v>
      </c>
      <c r="X22" s="168">
        <v>0</v>
      </c>
      <c r="Y22" s="168">
        <v>0</v>
      </c>
      <c r="Z22" s="170">
        <v>0</v>
      </c>
      <c r="AA22" s="168">
        <v>1035</v>
      </c>
      <c r="AB22" s="168">
        <v>701</v>
      </c>
      <c r="AC22" s="170">
        <v>1736</v>
      </c>
      <c r="AD22" s="168">
        <v>0</v>
      </c>
      <c r="AE22" s="168">
        <v>0</v>
      </c>
      <c r="AF22" s="170">
        <v>0</v>
      </c>
      <c r="AG22" s="168">
        <v>130</v>
      </c>
      <c r="AH22" s="168">
        <v>127</v>
      </c>
      <c r="AI22" s="170">
        <v>257</v>
      </c>
      <c r="AJ22" s="170">
        <v>153533</v>
      </c>
      <c r="AK22" s="170">
        <v>159302</v>
      </c>
      <c r="AL22" s="172">
        <f t="shared" si="0"/>
        <v>312835</v>
      </c>
    </row>
    <row r="23" spans="1:38" s="203" customFormat="1" ht="23.25" customHeight="1">
      <c r="A23" s="166">
        <v>19</v>
      </c>
      <c r="B23" s="171" t="s">
        <v>761</v>
      </c>
      <c r="C23" s="168">
        <v>0</v>
      </c>
      <c r="D23" s="168">
        <v>0</v>
      </c>
      <c r="E23" s="170">
        <v>0</v>
      </c>
      <c r="F23" s="168">
        <v>0</v>
      </c>
      <c r="G23" s="168">
        <v>0</v>
      </c>
      <c r="H23" s="170">
        <v>0</v>
      </c>
      <c r="I23" s="168">
        <v>0</v>
      </c>
      <c r="J23" s="168">
        <v>0</v>
      </c>
      <c r="K23" s="170">
        <v>0</v>
      </c>
      <c r="L23" s="168">
        <v>66</v>
      </c>
      <c r="M23" s="168">
        <v>103</v>
      </c>
      <c r="N23" s="170">
        <v>169</v>
      </c>
      <c r="O23" s="168">
        <v>0</v>
      </c>
      <c r="P23" s="168">
        <v>0</v>
      </c>
      <c r="Q23" s="170">
        <v>0</v>
      </c>
      <c r="R23" s="168">
        <v>0</v>
      </c>
      <c r="S23" s="168">
        <v>0</v>
      </c>
      <c r="T23" s="170">
        <v>0</v>
      </c>
      <c r="U23" s="168">
        <v>0</v>
      </c>
      <c r="V23" s="168">
        <v>0</v>
      </c>
      <c r="W23" s="170">
        <v>0</v>
      </c>
      <c r="X23" s="168">
        <v>0</v>
      </c>
      <c r="Y23" s="168">
        <v>0</v>
      </c>
      <c r="Z23" s="170">
        <v>0</v>
      </c>
      <c r="AA23" s="168">
        <v>100</v>
      </c>
      <c r="AB23" s="168">
        <v>94</v>
      </c>
      <c r="AC23" s="170">
        <v>194</v>
      </c>
      <c r="AD23" s="168">
        <v>0</v>
      </c>
      <c r="AE23" s="168">
        <v>0</v>
      </c>
      <c r="AF23" s="170">
        <v>0</v>
      </c>
      <c r="AG23" s="168">
        <v>0</v>
      </c>
      <c r="AH23" s="168">
        <v>0</v>
      </c>
      <c r="AI23" s="170">
        <v>0</v>
      </c>
      <c r="AJ23" s="170">
        <v>166</v>
      </c>
      <c r="AK23" s="170">
        <v>197</v>
      </c>
      <c r="AL23" s="172">
        <f t="shared" si="0"/>
        <v>363</v>
      </c>
    </row>
    <row r="24" spans="1:38" s="203" customFormat="1" ht="23.25" customHeight="1">
      <c r="A24" s="166">
        <v>20</v>
      </c>
      <c r="B24" s="171" t="s">
        <v>32</v>
      </c>
      <c r="C24" s="168">
        <v>0</v>
      </c>
      <c r="D24" s="168">
        <v>0</v>
      </c>
      <c r="E24" s="170">
        <v>0</v>
      </c>
      <c r="F24" s="168">
        <v>0</v>
      </c>
      <c r="G24" s="168">
        <v>0</v>
      </c>
      <c r="H24" s="170">
        <v>0</v>
      </c>
      <c r="I24" s="168">
        <v>0</v>
      </c>
      <c r="J24" s="168">
        <v>0</v>
      </c>
      <c r="K24" s="170">
        <v>0</v>
      </c>
      <c r="L24" s="168">
        <v>133</v>
      </c>
      <c r="M24" s="168">
        <v>427</v>
      </c>
      <c r="N24" s="170">
        <v>560</v>
      </c>
      <c r="O24" s="168">
        <v>0</v>
      </c>
      <c r="P24" s="168">
        <v>0</v>
      </c>
      <c r="Q24" s="170">
        <v>0</v>
      </c>
      <c r="R24" s="168">
        <v>0</v>
      </c>
      <c r="S24" s="168">
        <v>0</v>
      </c>
      <c r="T24" s="170">
        <v>0</v>
      </c>
      <c r="U24" s="168">
        <v>0</v>
      </c>
      <c r="V24" s="168">
        <v>0</v>
      </c>
      <c r="W24" s="170">
        <v>0</v>
      </c>
      <c r="X24" s="168">
        <v>0</v>
      </c>
      <c r="Y24" s="168">
        <v>0</v>
      </c>
      <c r="Z24" s="170">
        <v>0</v>
      </c>
      <c r="AA24" s="168">
        <v>0</v>
      </c>
      <c r="AB24" s="168">
        <v>0</v>
      </c>
      <c r="AC24" s="170">
        <v>0</v>
      </c>
      <c r="AD24" s="168">
        <v>0</v>
      </c>
      <c r="AE24" s="168">
        <v>0</v>
      </c>
      <c r="AF24" s="170">
        <v>0</v>
      </c>
      <c r="AG24" s="168">
        <v>0</v>
      </c>
      <c r="AH24" s="168">
        <v>0</v>
      </c>
      <c r="AI24" s="170">
        <v>0</v>
      </c>
      <c r="AJ24" s="170">
        <v>133</v>
      </c>
      <c r="AK24" s="170">
        <v>427</v>
      </c>
      <c r="AL24" s="172">
        <f t="shared" si="0"/>
        <v>560</v>
      </c>
    </row>
    <row r="25" spans="1:38" s="203" customFormat="1" ht="23.25" customHeight="1">
      <c r="A25" s="166">
        <v>21</v>
      </c>
      <c r="B25" s="171" t="s">
        <v>33</v>
      </c>
      <c r="C25" s="168">
        <v>6561</v>
      </c>
      <c r="D25" s="168">
        <v>4487</v>
      </c>
      <c r="E25" s="170">
        <v>11048</v>
      </c>
      <c r="F25" s="168">
        <v>6721</v>
      </c>
      <c r="G25" s="168">
        <v>4258</v>
      </c>
      <c r="H25" s="170">
        <v>10979</v>
      </c>
      <c r="I25" s="168">
        <v>11441</v>
      </c>
      <c r="J25" s="168">
        <v>4053</v>
      </c>
      <c r="K25" s="170">
        <v>15494</v>
      </c>
      <c r="L25" s="168">
        <v>125834</v>
      </c>
      <c r="M25" s="168">
        <v>124302</v>
      </c>
      <c r="N25" s="170">
        <v>250136</v>
      </c>
      <c r="O25" s="168">
        <v>60964</v>
      </c>
      <c r="P25" s="168">
        <v>38495</v>
      </c>
      <c r="Q25" s="170">
        <v>99459</v>
      </c>
      <c r="R25" s="168">
        <v>103919</v>
      </c>
      <c r="S25" s="168">
        <v>33054</v>
      </c>
      <c r="T25" s="170">
        <v>136973</v>
      </c>
      <c r="U25" s="168">
        <v>0</v>
      </c>
      <c r="V25" s="168">
        <v>0</v>
      </c>
      <c r="W25" s="170">
        <v>0</v>
      </c>
      <c r="X25" s="168">
        <v>0</v>
      </c>
      <c r="Y25" s="168">
        <v>0</v>
      </c>
      <c r="Z25" s="170">
        <v>0</v>
      </c>
      <c r="AA25" s="168">
        <v>1286</v>
      </c>
      <c r="AB25" s="168">
        <v>474</v>
      </c>
      <c r="AC25" s="170">
        <v>1760</v>
      </c>
      <c r="AD25" s="168">
        <v>0</v>
      </c>
      <c r="AE25" s="168">
        <v>0</v>
      </c>
      <c r="AF25" s="170">
        <v>0</v>
      </c>
      <c r="AG25" s="168">
        <v>0</v>
      </c>
      <c r="AH25" s="168">
        <v>0</v>
      </c>
      <c r="AI25" s="170">
        <v>0</v>
      </c>
      <c r="AJ25" s="170">
        <v>316726</v>
      </c>
      <c r="AK25" s="170">
        <v>209123</v>
      </c>
      <c r="AL25" s="172">
        <f t="shared" si="0"/>
        <v>525849</v>
      </c>
    </row>
    <row r="26" spans="1:38" s="203" customFormat="1" ht="23.25" customHeight="1">
      <c r="A26" s="166">
        <v>22</v>
      </c>
      <c r="B26" s="171" t="s">
        <v>34</v>
      </c>
      <c r="C26" s="168">
        <v>5537</v>
      </c>
      <c r="D26" s="168">
        <v>4366</v>
      </c>
      <c r="E26" s="170">
        <v>9903</v>
      </c>
      <c r="F26" s="168">
        <v>18534</v>
      </c>
      <c r="G26" s="168">
        <v>12001</v>
      </c>
      <c r="H26" s="170">
        <v>30535</v>
      </c>
      <c r="I26" s="168">
        <v>14922</v>
      </c>
      <c r="J26" s="168">
        <v>4943</v>
      </c>
      <c r="K26" s="170">
        <v>19865</v>
      </c>
      <c r="L26" s="168">
        <v>85606</v>
      </c>
      <c r="M26" s="168">
        <v>92961</v>
      </c>
      <c r="N26" s="170">
        <v>178567</v>
      </c>
      <c r="O26" s="168">
        <v>388371</v>
      </c>
      <c r="P26" s="168">
        <v>203426</v>
      </c>
      <c r="Q26" s="170">
        <v>591797</v>
      </c>
      <c r="R26" s="168">
        <v>21106</v>
      </c>
      <c r="S26" s="168">
        <v>10860</v>
      </c>
      <c r="T26" s="170">
        <v>31966</v>
      </c>
      <c r="U26" s="168">
        <v>0</v>
      </c>
      <c r="V26" s="168">
        <v>0</v>
      </c>
      <c r="W26" s="170">
        <v>0</v>
      </c>
      <c r="X26" s="168">
        <v>0</v>
      </c>
      <c r="Y26" s="168">
        <v>0</v>
      </c>
      <c r="Z26" s="170">
        <v>0</v>
      </c>
      <c r="AA26" s="168">
        <v>3184</v>
      </c>
      <c r="AB26" s="168">
        <v>1710</v>
      </c>
      <c r="AC26" s="170">
        <v>4894</v>
      </c>
      <c r="AD26" s="168">
        <v>1176</v>
      </c>
      <c r="AE26" s="168">
        <v>1441</v>
      </c>
      <c r="AF26" s="170">
        <v>2617</v>
      </c>
      <c r="AG26" s="168">
        <v>51176</v>
      </c>
      <c r="AH26" s="168">
        <v>45714</v>
      </c>
      <c r="AI26" s="170">
        <v>96890</v>
      </c>
      <c r="AJ26" s="170">
        <v>589612</v>
      </c>
      <c r="AK26" s="170">
        <v>377422</v>
      </c>
      <c r="AL26" s="172">
        <f t="shared" si="0"/>
        <v>967034</v>
      </c>
    </row>
    <row r="27" spans="1:38" s="203" customFormat="1" ht="23.25" customHeight="1">
      <c r="A27" s="166">
        <v>23</v>
      </c>
      <c r="B27" s="171" t="s">
        <v>35</v>
      </c>
      <c r="C27" s="168">
        <v>3568</v>
      </c>
      <c r="D27" s="168">
        <v>3882</v>
      </c>
      <c r="E27" s="170">
        <v>7450</v>
      </c>
      <c r="F27" s="168">
        <v>3278</v>
      </c>
      <c r="G27" s="168">
        <v>2631</v>
      </c>
      <c r="H27" s="170">
        <v>5909</v>
      </c>
      <c r="I27" s="168">
        <v>838</v>
      </c>
      <c r="J27" s="168">
        <v>155</v>
      </c>
      <c r="K27" s="170">
        <v>993</v>
      </c>
      <c r="L27" s="168">
        <v>598</v>
      </c>
      <c r="M27" s="168">
        <v>322</v>
      </c>
      <c r="N27" s="170">
        <v>920</v>
      </c>
      <c r="O27" s="168">
        <v>0</v>
      </c>
      <c r="P27" s="168">
        <v>0</v>
      </c>
      <c r="Q27" s="170">
        <v>0</v>
      </c>
      <c r="R27" s="168">
        <v>0</v>
      </c>
      <c r="S27" s="168">
        <v>0</v>
      </c>
      <c r="T27" s="170">
        <v>0</v>
      </c>
      <c r="U27" s="168">
        <v>0</v>
      </c>
      <c r="V27" s="168">
        <v>0</v>
      </c>
      <c r="W27" s="170">
        <v>0</v>
      </c>
      <c r="X27" s="168">
        <v>0</v>
      </c>
      <c r="Y27" s="168">
        <v>0</v>
      </c>
      <c r="Z27" s="170">
        <v>0</v>
      </c>
      <c r="AA27" s="168">
        <v>0</v>
      </c>
      <c r="AB27" s="168">
        <v>0</v>
      </c>
      <c r="AC27" s="170">
        <v>0</v>
      </c>
      <c r="AD27" s="168">
        <v>0</v>
      </c>
      <c r="AE27" s="168">
        <v>0</v>
      </c>
      <c r="AF27" s="170">
        <v>0</v>
      </c>
      <c r="AG27" s="168">
        <v>0</v>
      </c>
      <c r="AH27" s="168">
        <v>0</v>
      </c>
      <c r="AI27" s="170">
        <v>0</v>
      </c>
      <c r="AJ27" s="170">
        <v>8282</v>
      </c>
      <c r="AK27" s="170">
        <v>6990</v>
      </c>
      <c r="AL27" s="172">
        <f t="shared" si="0"/>
        <v>15272</v>
      </c>
    </row>
    <row r="28" spans="1:38" s="203" customFormat="1" ht="23.25" customHeight="1">
      <c r="A28" s="166">
        <v>24</v>
      </c>
      <c r="B28" s="171" t="s">
        <v>36</v>
      </c>
      <c r="C28" s="168">
        <v>2032</v>
      </c>
      <c r="D28" s="168">
        <v>2633</v>
      </c>
      <c r="E28" s="170">
        <v>4665</v>
      </c>
      <c r="F28" s="168">
        <v>3003</v>
      </c>
      <c r="G28" s="168">
        <v>3985</v>
      </c>
      <c r="H28" s="170">
        <v>6988</v>
      </c>
      <c r="I28" s="168">
        <v>1025</v>
      </c>
      <c r="J28" s="168">
        <v>389</v>
      </c>
      <c r="K28" s="170">
        <v>1414</v>
      </c>
      <c r="L28" s="168">
        <v>95</v>
      </c>
      <c r="M28" s="168">
        <v>101</v>
      </c>
      <c r="N28" s="170">
        <v>196</v>
      </c>
      <c r="O28" s="168">
        <v>0</v>
      </c>
      <c r="P28" s="168">
        <v>0</v>
      </c>
      <c r="Q28" s="170">
        <v>0</v>
      </c>
      <c r="R28" s="168">
        <v>3895</v>
      </c>
      <c r="S28" s="168">
        <v>3947</v>
      </c>
      <c r="T28" s="170">
        <v>7842</v>
      </c>
      <c r="U28" s="168">
        <v>0</v>
      </c>
      <c r="V28" s="168">
        <v>0</v>
      </c>
      <c r="W28" s="170">
        <v>0</v>
      </c>
      <c r="X28" s="168">
        <v>0</v>
      </c>
      <c r="Y28" s="168">
        <v>0</v>
      </c>
      <c r="Z28" s="170">
        <v>0</v>
      </c>
      <c r="AA28" s="168">
        <v>0</v>
      </c>
      <c r="AB28" s="168">
        <v>0</v>
      </c>
      <c r="AC28" s="170">
        <v>0</v>
      </c>
      <c r="AD28" s="168">
        <v>0</v>
      </c>
      <c r="AE28" s="168">
        <v>0</v>
      </c>
      <c r="AF28" s="170">
        <v>0</v>
      </c>
      <c r="AG28" s="168">
        <v>0</v>
      </c>
      <c r="AH28" s="168">
        <v>0</v>
      </c>
      <c r="AI28" s="170">
        <v>0</v>
      </c>
      <c r="AJ28" s="170">
        <v>10050</v>
      </c>
      <c r="AK28" s="170">
        <v>11055</v>
      </c>
      <c r="AL28" s="172">
        <f t="shared" si="0"/>
        <v>21105</v>
      </c>
    </row>
    <row r="29" spans="1:38" s="203" customFormat="1" ht="23.25" customHeight="1">
      <c r="A29" s="166">
        <v>25</v>
      </c>
      <c r="B29" s="171" t="s">
        <v>37</v>
      </c>
      <c r="C29" s="168">
        <v>1807</v>
      </c>
      <c r="D29" s="168">
        <v>1579</v>
      </c>
      <c r="E29" s="170">
        <v>3386</v>
      </c>
      <c r="F29" s="168">
        <v>3521</v>
      </c>
      <c r="G29" s="168">
        <v>3693</v>
      </c>
      <c r="H29" s="170">
        <v>7214</v>
      </c>
      <c r="I29" s="168">
        <v>430</v>
      </c>
      <c r="J29" s="168">
        <v>86</v>
      </c>
      <c r="K29" s="170">
        <v>516</v>
      </c>
      <c r="L29" s="168">
        <v>0</v>
      </c>
      <c r="M29" s="168">
        <v>0</v>
      </c>
      <c r="N29" s="170">
        <v>0</v>
      </c>
      <c r="O29" s="168">
        <v>0</v>
      </c>
      <c r="P29" s="168">
        <v>0</v>
      </c>
      <c r="Q29" s="170">
        <v>0</v>
      </c>
      <c r="R29" s="168">
        <v>285</v>
      </c>
      <c r="S29" s="168">
        <v>186</v>
      </c>
      <c r="T29" s="170">
        <v>471</v>
      </c>
      <c r="U29" s="168">
        <v>0</v>
      </c>
      <c r="V29" s="168">
        <v>0</v>
      </c>
      <c r="W29" s="170">
        <v>0</v>
      </c>
      <c r="X29" s="168">
        <v>0</v>
      </c>
      <c r="Y29" s="168">
        <v>0</v>
      </c>
      <c r="Z29" s="170">
        <v>0</v>
      </c>
      <c r="AA29" s="168">
        <v>0</v>
      </c>
      <c r="AB29" s="168">
        <v>0</v>
      </c>
      <c r="AC29" s="170">
        <v>0</v>
      </c>
      <c r="AD29" s="168">
        <v>0</v>
      </c>
      <c r="AE29" s="168">
        <v>0</v>
      </c>
      <c r="AF29" s="170">
        <v>0</v>
      </c>
      <c r="AG29" s="168">
        <v>0</v>
      </c>
      <c r="AH29" s="168">
        <v>0</v>
      </c>
      <c r="AI29" s="170">
        <v>0</v>
      </c>
      <c r="AJ29" s="170">
        <v>6043</v>
      </c>
      <c r="AK29" s="170">
        <v>5544</v>
      </c>
      <c r="AL29" s="172">
        <f t="shared" si="0"/>
        <v>11587</v>
      </c>
    </row>
    <row r="30" spans="1:38" s="203" customFormat="1" ht="23.25" customHeight="1">
      <c r="A30" s="166">
        <v>26</v>
      </c>
      <c r="B30" s="171" t="s">
        <v>38</v>
      </c>
      <c r="C30" s="168">
        <v>980</v>
      </c>
      <c r="D30" s="168">
        <v>1607</v>
      </c>
      <c r="E30" s="170">
        <v>2587</v>
      </c>
      <c r="F30" s="168">
        <v>1314</v>
      </c>
      <c r="G30" s="168">
        <v>1944</v>
      </c>
      <c r="H30" s="170">
        <v>3258</v>
      </c>
      <c r="I30" s="168">
        <v>527</v>
      </c>
      <c r="J30" s="168">
        <v>157</v>
      </c>
      <c r="K30" s="170">
        <v>684</v>
      </c>
      <c r="L30" s="168">
        <v>0</v>
      </c>
      <c r="M30" s="168">
        <v>0</v>
      </c>
      <c r="N30" s="170">
        <v>0</v>
      </c>
      <c r="O30" s="168">
        <v>0</v>
      </c>
      <c r="P30" s="168">
        <v>0</v>
      </c>
      <c r="Q30" s="170">
        <v>0</v>
      </c>
      <c r="R30" s="168">
        <v>1382</v>
      </c>
      <c r="S30" s="168">
        <v>1465</v>
      </c>
      <c r="T30" s="170">
        <v>2847</v>
      </c>
      <c r="U30" s="168">
        <v>0</v>
      </c>
      <c r="V30" s="168">
        <v>0</v>
      </c>
      <c r="W30" s="170">
        <v>0</v>
      </c>
      <c r="X30" s="168">
        <v>0</v>
      </c>
      <c r="Y30" s="168">
        <v>0</v>
      </c>
      <c r="Z30" s="170">
        <v>0</v>
      </c>
      <c r="AA30" s="168">
        <v>0</v>
      </c>
      <c r="AB30" s="168">
        <v>0</v>
      </c>
      <c r="AC30" s="170">
        <v>0</v>
      </c>
      <c r="AD30" s="168">
        <v>0</v>
      </c>
      <c r="AE30" s="168">
        <v>0</v>
      </c>
      <c r="AF30" s="170">
        <v>0</v>
      </c>
      <c r="AG30" s="168">
        <v>0</v>
      </c>
      <c r="AH30" s="168">
        <v>0</v>
      </c>
      <c r="AI30" s="170">
        <v>0</v>
      </c>
      <c r="AJ30" s="170">
        <v>4203</v>
      </c>
      <c r="AK30" s="170">
        <v>5173</v>
      </c>
      <c r="AL30" s="172">
        <f t="shared" si="0"/>
        <v>9376</v>
      </c>
    </row>
    <row r="31" spans="1:38" s="203" customFormat="1" ht="23.25" customHeight="1">
      <c r="A31" s="166">
        <v>27</v>
      </c>
      <c r="B31" s="171" t="s">
        <v>39</v>
      </c>
      <c r="C31" s="168">
        <v>387</v>
      </c>
      <c r="D31" s="168">
        <v>387</v>
      </c>
      <c r="E31" s="170">
        <v>774</v>
      </c>
      <c r="F31" s="168">
        <v>20723</v>
      </c>
      <c r="G31" s="168">
        <v>21492</v>
      </c>
      <c r="H31" s="170">
        <v>42215</v>
      </c>
      <c r="I31" s="168">
        <v>6692</v>
      </c>
      <c r="J31" s="168">
        <v>2624</v>
      </c>
      <c r="K31" s="170">
        <v>9316</v>
      </c>
      <c r="L31" s="168">
        <v>20319</v>
      </c>
      <c r="M31" s="168">
        <v>25033</v>
      </c>
      <c r="N31" s="170">
        <v>45352</v>
      </c>
      <c r="O31" s="168">
        <v>6910</v>
      </c>
      <c r="P31" s="168">
        <v>6308</v>
      </c>
      <c r="Q31" s="170">
        <v>13218</v>
      </c>
      <c r="R31" s="168">
        <v>6856</v>
      </c>
      <c r="S31" s="168">
        <v>3517</v>
      </c>
      <c r="T31" s="170">
        <v>10373</v>
      </c>
      <c r="U31" s="168">
        <v>0</v>
      </c>
      <c r="V31" s="168">
        <v>0</v>
      </c>
      <c r="W31" s="170">
        <v>0</v>
      </c>
      <c r="X31" s="168">
        <v>0</v>
      </c>
      <c r="Y31" s="168">
        <v>0</v>
      </c>
      <c r="Z31" s="170">
        <v>0</v>
      </c>
      <c r="AA31" s="168">
        <v>1251</v>
      </c>
      <c r="AB31" s="168">
        <v>1702</v>
      </c>
      <c r="AC31" s="170">
        <v>2953</v>
      </c>
      <c r="AD31" s="168">
        <v>0</v>
      </c>
      <c r="AE31" s="168">
        <v>0</v>
      </c>
      <c r="AF31" s="170">
        <v>0</v>
      </c>
      <c r="AG31" s="168">
        <v>20366</v>
      </c>
      <c r="AH31" s="168">
        <v>18611</v>
      </c>
      <c r="AI31" s="170">
        <v>38977</v>
      </c>
      <c r="AJ31" s="170">
        <v>83504</v>
      </c>
      <c r="AK31" s="170">
        <v>79674</v>
      </c>
      <c r="AL31" s="172">
        <f t="shared" si="0"/>
        <v>163178</v>
      </c>
    </row>
    <row r="32" spans="1:38" s="203" customFormat="1" ht="23.25" customHeight="1">
      <c r="A32" s="166">
        <v>28</v>
      </c>
      <c r="B32" s="171" t="s">
        <v>40</v>
      </c>
      <c r="C32" s="168">
        <v>10189</v>
      </c>
      <c r="D32" s="168">
        <v>8995</v>
      </c>
      <c r="E32" s="170">
        <v>19184</v>
      </c>
      <c r="F32" s="168">
        <v>0</v>
      </c>
      <c r="G32" s="168">
        <v>0</v>
      </c>
      <c r="H32" s="170">
        <v>0</v>
      </c>
      <c r="I32" s="168">
        <v>1589</v>
      </c>
      <c r="J32" s="168">
        <v>940</v>
      </c>
      <c r="K32" s="170">
        <v>2529</v>
      </c>
      <c r="L32" s="168">
        <v>0</v>
      </c>
      <c r="M32" s="168">
        <v>0</v>
      </c>
      <c r="N32" s="170">
        <v>0</v>
      </c>
      <c r="O32" s="168">
        <v>0</v>
      </c>
      <c r="P32" s="168">
        <v>0</v>
      </c>
      <c r="Q32" s="170">
        <v>0</v>
      </c>
      <c r="R32" s="168">
        <v>0</v>
      </c>
      <c r="S32" s="168">
        <v>0</v>
      </c>
      <c r="T32" s="170">
        <v>0</v>
      </c>
      <c r="U32" s="168">
        <v>0</v>
      </c>
      <c r="V32" s="168">
        <v>0</v>
      </c>
      <c r="W32" s="170">
        <v>0</v>
      </c>
      <c r="X32" s="168">
        <v>0</v>
      </c>
      <c r="Y32" s="168">
        <v>0</v>
      </c>
      <c r="Z32" s="170">
        <v>0</v>
      </c>
      <c r="AA32" s="168">
        <v>0</v>
      </c>
      <c r="AB32" s="168">
        <v>0</v>
      </c>
      <c r="AC32" s="170">
        <v>0</v>
      </c>
      <c r="AD32" s="168">
        <v>0</v>
      </c>
      <c r="AE32" s="168">
        <v>0</v>
      </c>
      <c r="AF32" s="170">
        <v>0</v>
      </c>
      <c r="AG32" s="168">
        <v>3580</v>
      </c>
      <c r="AH32" s="168">
        <v>4803</v>
      </c>
      <c r="AI32" s="170">
        <v>8383</v>
      </c>
      <c r="AJ32" s="170">
        <v>15358</v>
      </c>
      <c r="AK32" s="170">
        <v>14738</v>
      </c>
      <c r="AL32" s="172">
        <f t="shared" si="0"/>
        <v>30096</v>
      </c>
    </row>
    <row r="33" spans="1:38" s="203" customFormat="1" ht="23.25" customHeight="1">
      <c r="A33" s="166">
        <v>29</v>
      </c>
      <c r="B33" s="171" t="s">
        <v>41</v>
      </c>
      <c r="C33" s="168">
        <v>813</v>
      </c>
      <c r="D33" s="168">
        <v>697</v>
      </c>
      <c r="E33" s="170">
        <v>1510</v>
      </c>
      <c r="F33" s="168">
        <v>8894</v>
      </c>
      <c r="G33" s="168">
        <v>15255</v>
      </c>
      <c r="H33" s="170">
        <v>24149</v>
      </c>
      <c r="I33" s="168">
        <v>5994</v>
      </c>
      <c r="J33" s="168">
        <v>2076</v>
      </c>
      <c r="K33" s="170">
        <v>8070</v>
      </c>
      <c r="L33" s="168">
        <v>23859</v>
      </c>
      <c r="M33" s="168">
        <v>26805</v>
      </c>
      <c r="N33" s="170">
        <v>50664</v>
      </c>
      <c r="O33" s="168">
        <v>0</v>
      </c>
      <c r="P33" s="168">
        <v>0</v>
      </c>
      <c r="Q33" s="170">
        <v>0</v>
      </c>
      <c r="R33" s="168">
        <v>91334</v>
      </c>
      <c r="S33" s="168">
        <v>55762</v>
      </c>
      <c r="T33" s="170">
        <v>147096</v>
      </c>
      <c r="U33" s="168">
        <v>0</v>
      </c>
      <c r="V33" s="168">
        <v>0</v>
      </c>
      <c r="W33" s="170">
        <v>0</v>
      </c>
      <c r="X33" s="168">
        <v>0</v>
      </c>
      <c r="Y33" s="168">
        <v>0</v>
      </c>
      <c r="Z33" s="170">
        <v>0</v>
      </c>
      <c r="AA33" s="168">
        <v>2692</v>
      </c>
      <c r="AB33" s="168">
        <v>828</v>
      </c>
      <c r="AC33" s="170">
        <v>3520</v>
      </c>
      <c r="AD33" s="168">
        <v>0</v>
      </c>
      <c r="AE33" s="168">
        <v>0</v>
      </c>
      <c r="AF33" s="170">
        <v>0</v>
      </c>
      <c r="AG33" s="168">
        <v>6404</v>
      </c>
      <c r="AH33" s="168">
        <v>2403</v>
      </c>
      <c r="AI33" s="170">
        <v>8807</v>
      </c>
      <c r="AJ33" s="170">
        <v>139990</v>
      </c>
      <c r="AK33" s="170">
        <v>103826</v>
      </c>
      <c r="AL33" s="172">
        <f t="shared" si="0"/>
        <v>243816</v>
      </c>
    </row>
    <row r="34" spans="1:38" s="203" customFormat="1" ht="23.25" customHeight="1">
      <c r="A34" s="166">
        <v>30</v>
      </c>
      <c r="B34" s="171" t="s">
        <v>42</v>
      </c>
      <c r="C34" s="168">
        <v>1223</v>
      </c>
      <c r="D34" s="168">
        <v>847</v>
      </c>
      <c r="E34" s="170">
        <v>2070</v>
      </c>
      <c r="F34" s="168">
        <v>17861</v>
      </c>
      <c r="G34" s="168">
        <v>6973</v>
      </c>
      <c r="H34" s="170">
        <v>24834</v>
      </c>
      <c r="I34" s="168">
        <v>24482</v>
      </c>
      <c r="J34" s="168">
        <v>8131</v>
      </c>
      <c r="K34" s="170">
        <v>32613</v>
      </c>
      <c r="L34" s="168">
        <v>39986</v>
      </c>
      <c r="M34" s="168">
        <v>25376</v>
      </c>
      <c r="N34" s="170">
        <v>65362</v>
      </c>
      <c r="O34" s="168">
        <v>73081</v>
      </c>
      <c r="P34" s="168">
        <v>44601</v>
      </c>
      <c r="Q34" s="170">
        <v>117682</v>
      </c>
      <c r="R34" s="168">
        <v>97512</v>
      </c>
      <c r="S34" s="168">
        <v>38016</v>
      </c>
      <c r="T34" s="170">
        <v>135528</v>
      </c>
      <c r="U34" s="168">
        <v>0</v>
      </c>
      <c r="V34" s="168">
        <v>0</v>
      </c>
      <c r="W34" s="170">
        <v>0</v>
      </c>
      <c r="X34" s="168">
        <v>0</v>
      </c>
      <c r="Y34" s="168">
        <v>0</v>
      </c>
      <c r="Z34" s="170">
        <v>0</v>
      </c>
      <c r="AA34" s="168">
        <v>457</v>
      </c>
      <c r="AB34" s="168">
        <v>185</v>
      </c>
      <c r="AC34" s="170">
        <v>642</v>
      </c>
      <c r="AD34" s="168">
        <v>0</v>
      </c>
      <c r="AE34" s="168">
        <v>0</v>
      </c>
      <c r="AF34" s="170">
        <v>0</v>
      </c>
      <c r="AG34" s="168">
        <v>26764</v>
      </c>
      <c r="AH34" s="168">
        <v>28636</v>
      </c>
      <c r="AI34" s="170">
        <v>55400</v>
      </c>
      <c r="AJ34" s="170">
        <v>281366</v>
      </c>
      <c r="AK34" s="170">
        <v>152765</v>
      </c>
      <c r="AL34" s="172">
        <f t="shared" si="0"/>
        <v>434131</v>
      </c>
    </row>
    <row r="35" spans="1:38" s="203" customFormat="1" ht="23.25" customHeight="1">
      <c r="A35" s="166">
        <v>31</v>
      </c>
      <c r="B35" s="171" t="s">
        <v>43</v>
      </c>
      <c r="C35" s="168">
        <v>909</v>
      </c>
      <c r="D35" s="168">
        <v>1105</v>
      </c>
      <c r="E35" s="170">
        <v>2014</v>
      </c>
      <c r="F35" s="168">
        <v>1829</v>
      </c>
      <c r="G35" s="168">
        <v>3347</v>
      </c>
      <c r="H35" s="170">
        <v>5176</v>
      </c>
      <c r="I35" s="168">
        <v>626</v>
      </c>
      <c r="J35" s="168">
        <v>137</v>
      </c>
      <c r="K35" s="170">
        <v>763</v>
      </c>
      <c r="L35" s="168">
        <v>12</v>
      </c>
      <c r="M35" s="168">
        <v>35</v>
      </c>
      <c r="N35" s="170">
        <v>47</v>
      </c>
      <c r="O35" s="168">
        <v>0</v>
      </c>
      <c r="P35" s="168">
        <v>0</v>
      </c>
      <c r="Q35" s="170">
        <v>0</v>
      </c>
      <c r="R35" s="168">
        <v>23618</v>
      </c>
      <c r="S35" s="168">
        <v>12849</v>
      </c>
      <c r="T35" s="170">
        <v>36467</v>
      </c>
      <c r="U35" s="168">
        <v>0</v>
      </c>
      <c r="V35" s="168">
        <v>0</v>
      </c>
      <c r="W35" s="170">
        <v>0</v>
      </c>
      <c r="X35" s="168">
        <v>0</v>
      </c>
      <c r="Y35" s="168">
        <v>0</v>
      </c>
      <c r="Z35" s="170">
        <v>0</v>
      </c>
      <c r="AA35" s="168">
        <v>0</v>
      </c>
      <c r="AB35" s="168">
        <v>0</v>
      </c>
      <c r="AC35" s="170">
        <v>0</v>
      </c>
      <c r="AD35" s="168">
        <v>0</v>
      </c>
      <c r="AE35" s="168">
        <v>0</v>
      </c>
      <c r="AF35" s="170">
        <v>0</v>
      </c>
      <c r="AG35" s="168">
        <v>0</v>
      </c>
      <c r="AH35" s="168">
        <v>0</v>
      </c>
      <c r="AI35" s="170">
        <v>0</v>
      </c>
      <c r="AJ35" s="170">
        <v>26994</v>
      </c>
      <c r="AK35" s="170">
        <v>17473</v>
      </c>
      <c r="AL35" s="172">
        <f t="shared" si="0"/>
        <v>44467</v>
      </c>
    </row>
    <row r="36" spans="1:38" s="203" customFormat="1" ht="23.25" customHeight="1">
      <c r="A36" s="166">
        <v>32</v>
      </c>
      <c r="B36" s="171" t="s">
        <v>44</v>
      </c>
      <c r="C36" s="168">
        <v>1077</v>
      </c>
      <c r="D36" s="168">
        <v>1402</v>
      </c>
      <c r="E36" s="170">
        <v>2479</v>
      </c>
      <c r="F36" s="168">
        <v>4077</v>
      </c>
      <c r="G36" s="168">
        <v>2784</v>
      </c>
      <c r="H36" s="170">
        <v>6861</v>
      </c>
      <c r="I36" s="168">
        <v>14605</v>
      </c>
      <c r="J36" s="168">
        <v>5577</v>
      </c>
      <c r="K36" s="170">
        <v>20182</v>
      </c>
      <c r="L36" s="168">
        <v>274920</v>
      </c>
      <c r="M36" s="168">
        <v>282364</v>
      </c>
      <c r="N36" s="170">
        <v>557284</v>
      </c>
      <c r="O36" s="168">
        <v>18596</v>
      </c>
      <c r="P36" s="168">
        <v>24578</v>
      </c>
      <c r="Q36" s="170">
        <v>43174</v>
      </c>
      <c r="R36" s="168">
        <v>0</v>
      </c>
      <c r="S36" s="168">
        <v>0</v>
      </c>
      <c r="T36" s="170">
        <v>0</v>
      </c>
      <c r="U36" s="168">
        <v>0</v>
      </c>
      <c r="V36" s="168">
        <v>0</v>
      </c>
      <c r="W36" s="170">
        <v>0</v>
      </c>
      <c r="X36" s="168">
        <v>0</v>
      </c>
      <c r="Y36" s="168">
        <v>0</v>
      </c>
      <c r="Z36" s="170">
        <v>0</v>
      </c>
      <c r="AA36" s="168">
        <v>341</v>
      </c>
      <c r="AB36" s="168">
        <v>124</v>
      </c>
      <c r="AC36" s="170">
        <v>465</v>
      </c>
      <c r="AD36" s="168">
        <v>1541</v>
      </c>
      <c r="AE36" s="168">
        <v>10029</v>
      </c>
      <c r="AF36" s="170">
        <v>11570</v>
      </c>
      <c r="AG36" s="168">
        <v>188977</v>
      </c>
      <c r="AH36" s="168">
        <v>95498</v>
      </c>
      <c r="AI36" s="170">
        <v>284475</v>
      </c>
      <c r="AJ36" s="170">
        <v>504134</v>
      </c>
      <c r="AK36" s="170">
        <v>422356</v>
      </c>
      <c r="AL36" s="172">
        <f t="shared" si="0"/>
        <v>926490</v>
      </c>
    </row>
    <row r="37" spans="1:38" s="203" customFormat="1" ht="23.25" customHeight="1">
      <c r="A37" s="166">
        <v>33</v>
      </c>
      <c r="B37" s="171" t="s">
        <v>134</v>
      </c>
      <c r="C37" s="168">
        <v>9167</v>
      </c>
      <c r="D37" s="168">
        <v>6911</v>
      </c>
      <c r="E37" s="170">
        <v>16078</v>
      </c>
      <c r="F37" s="168">
        <v>5235</v>
      </c>
      <c r="G37" s="168">
        <v>3391</v>
      </c>
      <c r="H37" s="170">
        <v>8626</v>
      </c>
      <c r="I37" s="168">
        <v>6879</v>
      </c>
      <c r="J37" s="168">
        <v>1962</v>
      </c>
      <c r="K37" s="170">
        <v>8841</v>
      </c>
      <c r="L37" s="168">
        <v>29049</v>
      </c>
      <c r="M37" s="168">
        <v>30231</v>
      </c>
      <c r="N37" s="170">
        <v>59280</v>
      </c>
      <c r="O37" s="168">
        <v>5443</v>
      </c>
      <c r="P37" s="168">
        <v>7302</v>
      </c>
      <c r="Q37" s="170">
        <v>12745</v>
      </c>
      <c r="R37" s="168">
        <v>0</v>
      </c>
      <c r="S37" s="168">
        <v>0</v>
      </c>
      <c r="T37" s="170">
        <v>0</v>
      </c>
      <c r="U37" s="168">
        <v>0</v>
      </c>
      <c r="V37" s="168">
        <v>0</v>
      </c>
      <c r="W37" s="170">
        <v>0</v>
      </c>
      <c r="X37" s="168">
        <v>0</v>
      </c>
      <c r="Y37" s="168">
        <v>960</v>
      </c>
      <c r="Z37" s="170">
        <v>960</v>
      </c>
      <c r="AA37" s="168">
        <v>0</v>
      </c>
      <c r="AB37" s="168">
        <v>0</v>
      </c>
      <c r="AC37" s="170">
        <v>0</v>
      </c>
      <c r="AD37" s="168">
        <v>152</v>
      </c>
      <c r="AE37" s="168">
        <v>287</v>
      </c>
      <c r="AF37" s="170">
        <v>439</v>
      </c>
      <c r="AG37" s="168">
        <v>6196</v>
      </c>
      <c r="AH37" s="168">
        <v>4002</v>
      </c>
      <c r="AI37" s="170">
        <v>10198</v>
      </c>
      <c r="AJ37" s="170">
        <v>62121</v>
      </c>
      <c r="AK37" s="170">
        <v>55046</v>
      </c>
      <c r="AL37" s="172">
        <f t="shared" si="0"/>
        <v>117167</v>
      </c>
    </row>
    <row r="38" spans="1:38" s="203" customFormat="1" ht="23.25" customHeight="1">
      <c r="A38" s="166">
        <v>34</v>
      </c>
      <c r="B38" s="171" t="s">
        <v>45</v>
      </c>
      <c r="C38" s="168">
        <v>5487</v>
      </c>
      <c r="D38" s="168">
        <v>5270</v>
      </c>
      <c r="E38" s="170">
        <v>10757</v>
      </c>
      <c r="F38" s="168">
        <v>3381</v>
      </c>
      <c r="G38" s="168">
        <v>2662</v>
      </c>
      <c r="H38" s="170">
        <v>6043</v>
      </c>
      <c r="I38" s="168">
        <v>3022</v>
      </c>
      <c r="J38" s="168">
        <v>781</v>
      </c>
      <c r="K38" s="170">
        <v>3803</v>
      </c>
      <c r="L38" s="168">
        <v>99</v>
      </c>
      <c r="M38" s="168">
        <v>115</v>
      </c>
      <c r="N38" s="170">
        <v>214</v>
      </c>
      <c r="O38" s="168">
        <v>0</v>
      </c>
      <c r="P38" s="168">
        <v>0</v>
      </c>
      <c r="Q38" s="170">
        <v>0</v>
      </c>
      <c r="R38" s="168">
        <v>1572</v>
      </c>
      <c r="S38" s="168">
        <v>156</v>
      </c>
      <c r="T38" s="170">
        <v>1728</v>
      </c>
      <c r="U38" s="168">
        <v>0</v>
      </c>
      <c r="V38" s="168">
        <v>0</v>
      </c>
      <c r="W38" s="170">
        <v>0</v>
      </c>
      <c r="X38" s="168">
        <v>0</v>
      </c>
      <c r="Y38" s="168">
        <v>0</v>
      </c>
      <c r="Z38" s="170">
        <v>0</v>
      </c>
      <c r="AA38" s="168">
        <v>0</v>
      </c>
      <c r="AB38" s="168">
        <v>13</v>
      </c>
      <c r="AC38" s="170">
        <v>13</v>
      </c>
      <c r="AD38" s="168">
        <v>0</v>
      </c>
      <c r="AE38" s="168">
        <v>0</v>
      </c>
      <c r="AF38" s="170">
        <v>0</v>
      </c>
      <c r="AG38" s="168">
        <v>0</v>
      </c>
      <c r="AH38" s="168">
        <v>0</v>
      </c>
      <c r="AI38" s="170">
        <v>0</v>
      </c>
      <c r="AJ38" s="170">
        <v>13561</v>
      </c>
      <c r="AK38" s="170">
        <v>8997</v>
      </c>
      <c r="AL38" s="172">
        <f t="shared" si="0"/>
        <v>22558</v>
      </c>
    </row>
    <row r="39" spans="1:38" s="203" customFormat="1" ht="23.25" customHeight="1">
      <c r="A39" s="166">
        <v>35</v>
      </c>
      <c r="B39" s="171" t="s">
        <v>47</v>
      </c>
      <c r="C39" s="168">
        <v>49961</v>
      </c>
      <c r="D39" s="168">
        <v>30528</v>
      </c>
      <c r="E39" s="170">
        <v>80489</v>
      </c>
      <c r="F39" s="168">
        <v>35188</v>
      </c>
      <c r="G39" s="168">
        <v>25813</v>
      </c>
      <c r="H39" s="170">
        <v>61001</v>
      </c>
      <c r="I39" s="168">
        <v>21441</v>
      </c>
      <c r="J39" s="168">
        <v>5836</v>
      </c>
      <c r="K39" s="170">
        <v>27277</v>
      </c>
      <c r="L39" s="168">
        <v>59386</v>
      </c>
      <c r="M39" s="168">
        <v>38003</v>
      </c>
      <c r="N39" s="170">
        <v>97389</v>
      </c>
      <c r="O39" s="168">
        <v>22841</v>
      </c>
      <c r="P39" s="168">
        <v>18001</v>
      </c>
      <c r="Q39" s="170">
        <v>40842</v>
      </c>
      <c r="R39" s="168">
        <v>140650</v>
      </c>
      <c r="S39" s="168">
        <v>73461</v>
      </c>
      <c r="T39" s="170">
        <v>214111</v>
      </c>
      <c r="U39" s="168">
        <v>0</v>
      </c>
      <c r="V39" s="168">
        <v>0</v>
      </c>
      <c r="W39" s="170">
        <v>0</v>
      </c>
      <c r="X39" s="168">
        <v>367</v>
      </c>
      <c r="Y39" s="168">
        <v>260</v>
      </c>
      <c r="Z39" s="170">
        <v>627</v>
      </c>
      <c r="AA39" s="168">
        <v>1207</v>
      </c>
      <c r="AB39" s="168">
        <v>543</v>
      </c>
      <c r="AC39" s="170">
        <v>1750</v>
      </c>
      <c r="AD39" s="168">
        <v>13309</v>
      </c>
      <c r="AE39" s="168">
        <v>10664</v>
      </c>
      <c r="AF39" s="170">
        <v>23973</v>
      </c>
      <c r="AG39" s="168">
        <v>9797</v>
      </c>
      <c r="AH39" s="168">
        <v>6067</v>
      </c>
      <c r="AI39" s="170">
        <v>15864</v>
      </c>
      <c r="AJ39" s="170">
        <v>354147</v>
      </c>
      <c r="AK39" s="170">
        <v>209176</v>
      </c>
      <c r="AL39" s="172">
        <f t="shared" si="0"/>
        <v>563323</v>
      </c>
    </row>
    <row r="40" spans="1:38" s="203" customFormat="1" ht="23.25" customHeight="1">
      <c r="A40" s="166">
        <v>36</v>
      </c>
      <c r="B40" s="171" t="s">
        <v>46</v>
      </c>
      <c r="C40" s="168">
        <v>7983</v>
      </c>
      <c r="D40" s="168">
        <v>8797</v>
      </c>
      <c r="E40" s="170">
        <v>16780</v>
      </c>
      <c r="F40" s="168">
        <v>9573</v>
      </c>
      <c r="G40" s="168">
        <v>7788</v>
      </c>
      <c r="H40" s="170">
        <v>17361</v>
      </c>
      <c r="I40" s="168">
        <v>8308</v>
      </c>
      <c r="J40" s="168">
        <v>2303</v>
      </c>
      <c r="K40" s="170">
        <v>10611</v>
      </c>
      <c r="L40" s="168">
        <v>13116</v>
      </c>
      <c r="M40" s="168">
        <v>16934</v>
      </c>
      <c r="N40" s="170">
        <v>30050</v>
      </c>
      <c r="O40" s="168">
        <v>27222</v>
      </c>
      <c r="P40" s="168">
        <v>34305</v>
      </c>
      <c r="Q40" s="170">
        <v>61527</v>
      </c>
      <c r="R40" s="168">
        <v>40679</v>
      </c>
      <c r="S40" s="168">
        <v>23720</v>
      </c>
      <c r="T40" s="170">
        <v>64399</v>
      </c>
      <c r="U40" s="168">
        <v>0</v>
      </c>
      <c r="V40" s="168">
        <v>0</v>
      </c>
      <c r="W40" s="170">
        <v>0</v>
      </c>
      <c r="X40" s="168">
        <v>0</v>
      </c>
      <c r="Y40" s="168">
        <v>0</v>
      </c>
      <c r="Z40" s="170">
        <v>0</v>
      </c>
      <c r="AA40" s="168">
        <v>168</v>
      </c>
      <c r="AB40" s="168">
        <v>126</v>
      </c>
      <c r="AC40" s="170">
        <v>294</v>
      </c>
      <c r="AD40" s="168">
        <v>5015</v>
      </c>
      <c r="AE40" s="168">
        <v>917</v>
      </c>
      <c r="AF40" s="170">
        <v>5932</v>
      </c>
      <c r="AG40" s="168">
        <v>4977</v>
      </c>
      <c r="AH40" s="168">
        <v>2724</v>
      </c>
      <c r="AI40" s="170">
        <v>7701</v>
      </c>
      <c r="AJ40" s="170">
        <v>117041</v>
      </c>
      <c r="AK40" s="170">
        <v>97614</v>
      </c>
      <c r="AL40" s="172">
        <f t="shared" si="0"/>
        <v>214655</v>
      </c>
    </row>
    <row r="41" spans="1:38" s="203" customFormat="1" ht="23.25" customHeight="1">
      <c r="A41" s="166">
        <v>37</v>
      </c>
      <c r="B41" s="171" t="s">
        <v>48</v>
      </c>
      <c r="C41" s="168">
        <v>3963</v>
      </c>
      <c r="D41" s="168">
        <v>4228</v>
      </c>
      <c r="E41" s="170">
        <v>8191</v>
      </c>
      <c r="F41" s="168">
        <v>38925</v>
      </c>
      <c r="G41" s="168">
        <v>36388</v>
      </c>
      <c r="H41" s="170">
        <v>75313</v>
      </c>
      <c r="I41" s="168">
        <v>21185</v>
      </c>
      <c r="J41" s="168">
        <v>6194</v>
      </c>
      <c r="K41" s="170">
        <v>27379</v>
      </c>
      <c r="L41" s="168">
        <v>58860</v>
      </c>
      <c r="M41" s="168">
        <v>72998</v>
      </c>
      <c r="N41" s="170">
        <v>131858</v>
      </c>
      <c r="O41" s="168">
        <v>40734</v>
      </c>
      <c r="P41" s="168">
        <v>24721</v>
      </c>
      <c r="Q41" s="170">
        <v>65455</v>
      </c>
      <c r="R41" s="168">
        <v>19725</v>
      </c>
      <c r="S41" s="168">
        <v>11489</v>
      </c>
      <c r="T41" s="170">
        <v>31214</v>
      </c>
      <c r="U41" s="168">
        <v>0</v>
      </c>
      <c r="V41" s="168">
        <v>0</v>
      </c>
      <c r="W41" s="170">
        <v>0</v>
      </c>
      <c r="X41" s="168">
        <v>0</v>
      </c>
      <c r="Y41" s="168">
        <v>0</v>
      </c>
      <c r="Z41" s="170">
        <v>0</v>
      </c>
      <c r="AA41" s="168">
        <v>737</v>
      </c>
      <c r="AB41" s="168">
        <v>310</v>
      </c>
      <c r="AC41" s="170">
        <v>1047</v>
      </c>
      <c r="AD41" s="168">
        <v>0</v>
      </c>
      <c r="AE41" s="168">
        <v>0</v>
      </c>
      <c r="AF41" s="170">
        <v>0</v>
      </c>
      <c r="AG41" s="168">
        <v>1869</v>
      </c>
      <c r="AH41" s="168">
        <v>808</v>
      </c>
      <c r="AI41" s="170">
        <v>2677</v>
      </c>
      <c r="AJ41" s="170">
        <v>185998</v>
      </c>
      <c r="AK41" s="170">
        <v>157136</v>
      </c>
      <c r="AL41" s="172">
        <f t="shared" si="0"/>
        <v>343134</v>
      </c>
    </row>
    <row r="42" spans="1:38" s="205" customFormat="1" ht="23.25" customHeight="1">
      <c r="A42" s="788" t="s">
        <v>49</v>
      </c>
      <c r="B42" s="788"/>
      <c r="C42" s="449">
        <f t="shared" ref="C42:AL42" si="1">SUM(C5:C41)</f>
        <v>373366</v>
      </c>
      <c r="D42" s="449">
        <f t="shared" si="1"/>
        <v>346659</v>
      </c>
      <c r="E42" s="449">
        <f t="shared" si="1"/>
        <v>720025</v>
      </c>
      <c r="F42" s="449">
        <f t="shared" si="1"/>
        <v>645668</v>
      </c>
      <c r="G42" s="449">
        <f t="shared" si="1"/>
        <v>521668</v>
      </c>
      <c r="H42" s="449">
        <f t="shared" si="1"/>
        <v>1167336</v>
      </c>
      <c r="I42" s="449">
        <f t="shared" si="1"/>
        <v>220784</v>
      </c>
      <c r="J42" s="449">
        <f t="shared" si="1"/>
        <v>72552</v>
      </c>
      <c r="K42" s="449">
        <f t="shared" si="1"/>
        <v>293336</v>
      </c>
      <c r="L42" s="449">
        <f t="shared" si="1"/>
        <v>1287660</v>
      </c>
      <c r="M42" s="449">
        <f t="shared" si="1"/>
        <v>1290813</v>
      </c>
      <c r="N42" s="449">
        <f t="shared" si="1"/>
        <v>2578473</v>
      </c>
      <c r="O42" s="449">
        <f t="shared" si="1"/>
        <v>732675</v>
      </c>
      <c r="P42" s="449">
        <f t="shared" si="1"/>
        <v>475385</v>
      </c>
      <c r="Q42" s="449">
        <f t="shared" si="1"/>
        <v>1208060</v>
      </c>
      <c r="R42" s="449">
        <f t="shared" si="1"/>
        <v>833707</v>
      </c>
      <c r="S42" s="449">
        <f t="shared" si="1"/>
        <v>442494</v>
      </c>
      <c r="T42" s="449">
        <f t="shared" si="1"/>
        <v>1276201</v>
      </c>
      <c r="U42" s="449">
        <f t="shared" si="1"/>
        <v>1728</v>
      </c>
      <c r="V42" s="449">
        <f t="shared" si="1"/>
        <v>2499</v>
      </c>
      <c r="W42" s="449">
        <f t="shared" si="1"/>
        <v>4227</v>
      </c>
      <c r="X42" s="449">
        <f t="shared" si="1"/>
        <v>2350</v>
      </c>
      <c r="Y42" s="449">
        <f t="shared" si="1"/>
        <v>3702</v>
      </c>
      <c r="Z42" s="449">
        <f t="shared" si="1"/>
        <v>6052</v>
      </c>
      <c r="AA42" s="449">
        <f t="shared" si="1"/>
        <v>26452</v>
      </c>
      <c r="AB42" s="449">
        <f t="shared" si="1"/>
        <v>13275</v>
      </c>
      <c r="AC42" s="449">
        <f t="shared" si="1"/>
        <v>39727</v>
      </c>
      <c r="AD42" s="449">
        <f t="shared" si="1"/>
        <v>27648</v>
      </c>
      <c r="AE42" s="449">
        <f t="shared" si="1"/>
        <v>28521</v>
      </c>
      <c r="AF42" s="449">
        <f t="shared" si="1"/>
        <v>56169</v>
      </c>
      <c r="AG42" s="449">
        <f t="shared" si="1"/>
        <v>465232</v>
      </c>
      <c r="AH42" s="449">
        <f t="shared" si="1"/>
        <v>323530</v>
      </c>
      <c r="AI42" s="449">
        <f t="shared" si="1"/>
        <v>788762</v>
      </c>
      <c r="AJ42" s="171">
        <f t="shared" si="1"/>
        <v>4617270</v>
      </c>
      <c r="AK42" s="171">
        <f t="shared" si="1"/>
        <v>3521098</v>
      </c>
      <c r="AL42" s="171">
        <f t="shared" si="1"/>
        <v>8138368</v>
      </c>
    </row>
    <row r="43" spans="1:38" s="163" customFormat="1" ht="18" customHeight="1">
      <c r="C43" s="494" t="s">
        <v>99</v>
      </c>
      <c r="O43" s="494" t="s">
        <v>99</v>
      </c>
      <c r="AA43" s="494" t="s">
        <v>99</v>
      </c>
    </row>
  </sheetData>
  <mergeCells count="18">
    <mergeCell ref="A42:B42"/>
    <mergeCell ref="O2:Q2"/>
    <mergeCell ref="R2:T2"/>
    <mergeCell ref="U2:W2"/>
    <mergeCell ref="X2:Z2"/>
    <mergeCell ref="A2:A3"/>
    <mergeCell ref="B2:B3"/>
    <mergeCell ref="C2:E2"/>
    <mergeCell ref="F2:H2"/>
    <mergeCell ref="I2:K2"/>
    <mergeCell ref="L2:N2"/>
    <mergeCell ref="C1:N1"/>
    <mergeCell ref="O1:Z1"/>
    <mergeCell ref="AA1:AL1"/>
    <mergeCell ref="AG2:AI2"/>
    <mergeCell ref="AJ2:AL2"/>
    <mergeCell ref="AA2:AC2"/>
    <mergeCell ref="AD2:AF2"/>
  </mergeCells>
  <printOptions horizontalCentered="1"/>
  <pageMargins left="0.4" right="0.3" top="0.5" bottom="0.4" header="0.196850393700787" footer="0.15748031496063"/>
  <pageSetup paperSize="9" scale="74" firstPageNumber="123" orientation="portrait" useFirstPageNumber="1" r:id="rId1"/>
  <headerFooter>
    <oddFooter>&amp;L     AISHE 2019-20&amp;CT-39</oddFooter>
  </headerFooter>
  <colBreaks count="2" manualBreakCount="2">
    <brk id="14" max="40" man="1"/>
    <brk id="26" max="42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7030A0"/>
  </sheetPr>
  <dimension ref="A1:F37"/>
  <sheetViews>
    <sheetView view="pageBreakPreview" zoomScale="85" zoomScaleSheetLayoutView="85" workbookViewId="0">
      <selection activeCell="J5" sqref="J5"/>
    </sheetView>
  </sheetViews>
  <sheetFormatPr defaultColWidth="9.140625" defaultRowHeight="14.25"/>
  <cols>
    <col min="1" max="1" width="31.140625" style="497" customWidth="1"/>
    <col min="2" max="6" width="16.85546875" style="497" customWidth="1"/>
    <col min="7" max="16384" width="9.140625" style="497"/>
  </cols>
  <sheetData>
    <row r="1" spans="1:6" ht="27.75" customHeight="1">
      <c r="A1" s="984" t="s">
        <v>827</v>
      </c>
      <c r="B1" s="984"/>
      <c r="C1" s="984"/>
      <c r="D1" s="984"/>
      <c r="E1" s="984"/>
    </row>
    <row r="2" spans="1:6" s="499" customFormat="1" ht="33.75" customHeight="1">
      <c r="A2" s="498" t="s">
        <v>713</v>
      </c>
      <c r="B2" s="498" t="s">
        <v>828</v>
      </c>
      <c r="C2" s="498" t="s">
        <v>829</v>
      </c>
      <c r="D2" s="498" t="s">
        <v>830</v>
      </c>
      <c r="E2" s="498" t="s">
        <v>831</v>
      </c>
      <c r="F2" s="498" t="s">
        <v>832</v>
      </c>
    </row>
    <row r="3" spans="1:6" s="501" customFormat="1" ht="11.25">
      <c r="A3" s="500">
        <v>1</v>
      </c>
      <c r="B3" s="500">
        <v>2</v>
      </c>
      <c r="C3" s="500">
        <v>3</v>
      </c>
      <c r="D3" s="500">
        <v>4</v>
      </c>
      <c r="E3" s="500">
        <v>5</v>
      </c>
      <c r="F3" s="500">
        <v>6</v>
      </c>
    </row>
    <row r="4" spans="1:6" s="504" customFormat="1" ht="27" customHeight="1">
      <c r="A4" s="502" t="s">
        <v>833</v>
      </c>
      <c r="B4" s="503">
        <f t="shared" ref="B4:F4" si="0">SUM(B5:B37)</f>
        <v>799</v>
      </c>
      <c r="C4" s="503">
        <f t="shared" si="0"/>
        <v>864</v>
      </c>
      <c r="D4" s="503">
        <f t="shared" si="0"/>
        <v>903</v>
      </c>
      <c r="E4" s="503">
        <f t="shared" si="0"/>
        <v>993</v>
      </c>
      <c r="F4" s="503">
        <f t="shared" si="0"/>
        <v>1043</v>
      </c>
    </row>
    <row r="5" spans="1:6" s="504" customFormat="1" ht="27" customHeight="1">
      <c r="A5" s="502" t="s">
        <v>15</v>
      </c>
      <c r="B5" s="505">
        <v>28</v>
      </c>
      <c r="C5" s="505">
        <v>33</v>
      </c>
      <c r="D5" s="505">
        <v>34</v>
      </c>
      <c r="E5" s="100">
        <v>41</v>
      </c>
      <c r="F5" s="505">
        <v>41</v>
      </c>
    </row>
    <row r="6" spans="1:6" s="504" customFormat="1" ht="27" customHeight="1">
      <c r="A6" s="502" t="s">
        <v>16</v>
      </c>
      <c r="B6" s="505">
        <v>9</v>
      </c>
      <c r="C6" s="505">
        <v>9</v>
      </c>
      <c r="D6" s="505">
        <v>9</v>
      </c>
      <c r="E6" s="100">
        <v>10</v>
      </c>
      <c r="F6" s="505">
        <v>10</v>
      </c>
    </row>
    <row r="7" spans="1:6" s="504" customFormat="1" ht="27" customHeight="1">
      <c r="A7" s="502" t="s">
        <v>17</v>
      </c>
      <c r="B7" s="505">
        <v>21</v>
      </c>
      <c r="C7" s="505">
        <v>21</v>
      </c>
      <c r="D7" s="505">
        <v>21</v>
      </c>
      <c r="E7" s="100">
        <v>22</v>
      </c>
      <c r="F7" s="505">
        <v>26</v>
      </c>
    </row>
    <row r="8" spans="1:6" s="504" customFormat="1" ht="27" customHeight="1">
      <c r="A8" s="502" t="s">
        <v>18</v>
      </c>
      <c r="B8" s="505">
        <v>22</v>
      </c>
      <c r="C8" s="505">
        <v>23</v>
      </c>
      <c r="D8" s="505">
        <v>24</v>
      </c>
      <c r="E8" s="100">
        <v>33</v>
      </c>
      <c r="F8" s="505">
        <v>35</v>
      </c>
    </row>
    <row r="9" spans="1:6" s="504" customFormat="1" ht="27" customHeight="1">
      <c r="A9" s="502" t="s">
        <v>19</v>
      </c>
      <c r="B9" s="505">
        <v>3</v>
      </c>
      <c r="C9" s="505">
        <v>3</v>
      </c>
      <c r="D9" s="505">
        <v>3</v>
      </c>
      <c r="E9" s="100">
        <v>3</v>
      </c>
      <c r="F9" s="505">
        <v>3</v>
      </c>
    </row>
    <row r="10" spans="1:6" s="504" customFormat="1" ht="27" customHeight="1">
      <c r="A10" s="502" t="s">
        <v>20</v>
      </c>
      <c r="B10" s="505">
        <v>22</v>
      </c>
      <c r="C10" s="505">
        <v>24</v>
      </c>
      <c r="D10" s="505">
        <v>24</v>
      </c>
      <c r="E10" s="100">
        <v>28</v>
      </c>
      <c r="F10" s="505">
        <v>28</v>
      </c>
    </row>
    <row r="11" spans="1:6" s="504" customFormat="1" ht="27" customHeight="1">
      <c r="A11" s="502" t="s">
        <v>23</v>
      </c>
      <c r="B11" s="505">
        <v>26</v>
      </c>
      <c r="C11" s="505">
        <v>27</v>
      </c>
      <c r="D11" s="505">
        <v>27</v>
      </c>
      <c r="E11" s="100">
        <v>27</v>
      </c>
      <c r="F11" s="505">
        <v>28</v>
      </c>
    </row>
    <row r="12" spans="1:6" s="504" customFormat="1" ht="27" customHeight="1">
      <c r="A12" s="502" t="s">
        <v>24</v>
      </c>
      <c r="B12" s="505">
        <v>2</v>
      </c>
      <c r="C12" s="505">
        <v>2</v>
      </c>
      <c r="D12" s="505">
        <v>3</v>
      </c>
      <c r="E12" s="100">
        <v>3</v>
      </c>
      <c r="F12" s="505">
        <v>3</v>
      </c>
    </row>
    <row r="13" spans="1:6" s="504" customFormat="1" ht="27" customHeight="1">
      <c r="A13" s="502" t="s">
        <v>25</v>
      </c>
      <c r="B13" s="505">
        <v>57</v>
      </c>
      <c r="C13" s="505">
        <v>62</v>
      </c>
      <c r="D13" s="505">
        <v>65</v>
      </c>
      <c r="E13" s="100">
        <v>72</v>
      </c>
      <c r="F13" s="505">
        <v>76</v>
      </c>
    </row>
    <row r="14" spans="1:6" s="504" customFormat="1" ht="27" customHeight="1">
      <c r="A14" s="502" t="s">
        <v>26</v>
      </c>
      <c r="B14" s="505">
        <v>39</v>
      </c>
      <c r="C14" s="505">
        <v>39</v>
      </c>
      <c r="D14" s="505">
        <v>40</v>
      </c>
      <c r="E14" s="100">
        <v>48</v>
      </c>
      <c r="F14" s="505">
        <v>53</v>
      </c>
    </row>
    <row r="15" spans="1:6" s="504" customFormat="1" ht="27" customHeight="1">
      <c r="A15" s="502" t="s">
        <v>27</v>
      </c>
      <c r="B15" s="505">
        <v>25</v>
      </c>
      <c r="C15" s="505">
        <v>25</v>
      </c>
      <c r="D15" s="505">
        <v>25</v>
      </c>
      <c r="E15" s="100">
        <v>26</v>
      </c>
      <c r="F15" s="505">
        <v>27</v>
      </c>
    </row>
    <row r="16" spans="1:6" s="504" customFormat="1" ht="27" customHeight="1">
      <c r="A16" s="502" t="s">
        <v>57</v>
      </c>
      <c r="B16" s="505">
        <v>11</v>
      </c>
      <c r="C16" s="505">
        <v>12</v>
      </c>
      <c r="D16" s="505">
        <v>14</v>
      </c>
      <c r="E16" s="100">
        <v>15</v>
      </c>
      <c r="F16" s="505">
        <v>15</v>
      </c>
    </row>
    <row r="17" spans="1:6" s="504" customFormat="1" ht="27" customHeight="1">
      <c r="A17" s="502" t="s">
        <v>29</v>
      </c>
      <c r="B17" s="505">
        <v>14</v>
      </c>
      <c r="C17" s="505">
        <v>18</v>
      </c>
      <c r="D17" s="505">
        <v>21</v>
      </c>
      <c r="E17" s="100">
        <v>25</v>
      </c>
      <c r="F17" s="505">
        <v>32</v>
      </c>
    </row>
    <row r="18" spans="1:6" s="504" customFormat="1" ht="27" customHeight="1">
      <c r="A18" s="502" t="s">
        <v>30</v>
      </c>
      <c r="B18" s="505">
        <v>52</v>
      </c>
      <c r="C18" s="505">
        <v>55</v>
      </c>
      <c r="D18" s="505">
        <v>60</v>
      </c>
      <c r="E18" s="100">
        <v>65</v>
      </c>
      <c r="F18" s="505">
        <v>69</v>
      </c>
    </row>
    <row r="19" spans="1:6" s="504" customFormat="1" ht="27" customHeight="1">
      <c r="A19" s="502" t="s">
        <v>31</v>
      </c>
      <c r="B19" s="505">
        <v>20</v>
      </c>
      <c r="C19" s="505">
        <v>21</v>
      </c>
      <c r="D19" s="505">
        <v>22</v>
      </c>
      <c r="E19" s="100">
        <v>23</v>
      </c>
      <c r="F19" s="505">
        <v>23</v>
      </c>
    </row>
    <row r="20" spans="1:6" s="504" customFormat="1" ht="27" customHeight="1">
      <c r="A20" s="502" t="s">
        <v>761</v>
      </c>
      <c r="B20" s="505"/>
      <c r="C20" s="505"/>
      <c r="D20" s="505"/>
      <c r="E20" s="100"/>
      <c r="F20" s="505">
        <v>1</v>
      </c>
    </row>
    <row r="21" spans="1:6" s="504" customFormat="1" ht="27" customHeight="1">
      <c r="A21" s="502" t="s">
        <v>33</v>
      </c>
      <c r="B21" s="505">
        <v>43</v>
      </c>
      <c r="C21" s="505">
        <v>48</v>
      </c>
      <c r="D21" s="505">
        <v>52</v>
      </c>
      <c r="E21" s="100">
        <v>65</v>
      </c>
      <c r="F21" s="505">
        <v>66</v>
      </c>
    </row>
    <row r="22" spans="1:6" s="504" customFormat="1" ht="27" customHeight="1">
      <c r="A22" s="502" t="s">
        <v>34</v>
      </c>
      <c r="B22" s="505">
        <v>45</v>
      </c>
      <c r="C22" s="505">
        <v>49</v>
      </c>
      <c r="D22" s="505">
        <v>54</v>
      </c>
      <c r="E22" s="100">
        <v>62</v>
      </c>
      <c r="F22" s="505">
        <v>65</v>
      </c>
    </row>
    <row r="23" spans="1:6" s="504" customFormat="1" ht="27" customHeight="1">
      <c r="A23" s="502" t="s">
        <v>35</v>
      </c>
      <c r="B23" s="505">
        <v>4</v>
      </c>
      <c r="C23" s="505">
        <v>6</v>
      </c>
      <c r="D23" s="505">
        <v>5</v>
      </c>
      <c r="E23" s="100">
        <v>6</v>
      </c>
      <c r="F23" s="505">
        <v>8</v>
      </c>
    </row>
    <row r="24" spans="1:6" s="504" customFormat="1" ht="27" customHeight="1">
      <c r="A24" s="502" t="s">
        <v>36</v>
      </c>
      <c r="B24" s="505">
        <v>10</v>
      </c>
      <c r="C24" s="505">
        <v>10</v>
      </c>
      <c r="D24" s="505">
        <v>8</v>
      </c>
      <c r="E24" s="100">
        <v>10</v>
      </c>
      <c r="F24" s="505">
        <v>10</v>
      </c>
    </row>
    <row r="25" spans="1:6" s="504" customFormat="1" ht="27" customHeight="1">
      <c r="A25" s="502" t="s">
        <v>37</v>
      </c>
      <c r="B25" s="505">
        <v>3</v>
      </c>
      <c r="C25" s="505">
        <v>3</v>
      </c>
      <c r="D25" s="505">
        <v>3</v>
      </c>
      <c r="E25" s="100">
        <v>3</v>
      </c>
      <c r="F25" s="505">
        <v>3</v>
      </c>
    </row>
    <row r="26" spans="1:6" s="504" customFormat="1" ht="27" customHeight="1">
      <c r="A26" s="502" t="s">
        <v>38</v>
      </c>
      <c r="B26" s="505">
        <v>4</v>
      </c>
      <c r="C26" s="505">
        <v>5</v>
      </c>
      <c r="D26" s="505">
        <v>5</v>
      </c>
      <c r="E26" s="100">
        <v>5</v>
      </c>
      <c r="F26" s="505">
        <v>5</v>
      </c>
    </row>
    <row r="27" spans="1:6" s="504" customFormat="1" ht="27" customHeight="1">
      <c r="A27" s="502" t="s">
        <v>39</v>
      </c>
      <c r="B27" s="505">
        <v>21</v>
      </c>
      <c r="C27" s="505">
        <v>24</v>
      </c>
      <c r="D27" s="505">
        <v>25</v>
      </c>
      <c r="E27" s="100">
        <v>28</v>
      </c>
      <c r="F27" s="505">
        <v>32</v>
      </c>
    </row>
    <row r="28" spans="1:6" s="504" customFormat="1" ht="27" customHeight="1">
      <c r="A28" s="502" t="s">
        <v>40</v>
      </c>
      <c r="B28" s="505">
        <v>4</v>
      </c>
      <c r="C28" s="505">
        <v>4</v>
      </c>
      <c r="D28" s="505">
        <v>4</v>
      </c>
      <c r="E28" s="100">
        <v>4</v>
      </c>
      <c r="F28" s="505">
        <v>4</v>
      </c>
    </row>
    <row r="29" spans="1:6" s="504" customFormat="1" ht="27" customHeight="1">
      <c r="A29" s="502" t="s">
        <v>41</v>
      </c>
      <c r="B29" s="505">
        <v>26</v>
      </c>
      <c r="C29" s="505">
        <v>28</v>
      </c>
      <c r="D29" s="505">
        <v>31</v>
      </c>
      <c r="E29" s="100">
        <v>32</v>
      </c>
      <c r="F29" s="505">
        <v>32</v>
      </c>
    </row>
    <row r="30" spans="1:6" s="504" customFormat="1" ht="27" customHeight="1">
      <c r="A30" s="502" t="s">
        <v>42</v>
      </c>
      <c r="B30" s="505">
        <v>70</v>
      </c>
      <c r="C30" s="505">
        <v>78</v>
      </c>
      <c r="D30" s="505">
        <v>79</v>
      </c>
      <c r="E30" s="100">
        <v>83</v>
      </c>
      <c r="F30" s="505">
        <v>89</v>
      </c>
    </row>
    <row r="31" spans="1:6" s="504" customFormat="1" ht="27" customHeight="1">
      <c r="A31" s="502" t="s">
        <v>43</v>
      </c>
      <c r="B31" s="505">
        <v>7</v>
      </c>
      <c r="C31" s="505">
        <v>7</v>
      </c>
      <c r="D31" s="505">
        <v>7</v>
      </c>
      <c r="E31" s="100">
        <v>7</v>
      </c>
      <c r="F31" s="505">
        <v>8</v>
      </c>
    </row>
    <row r="32" spans="1:6" s="504" customFormat="1" ht="27" customHeight="1">
      <c r="A32" s="502" t="s">
        <v>44</v>
      </c>
      <c r="B32" s="505">
        <v>58</v>
      </c>
      <c r="C32" s="505">
        <v>58</v>
      </c>
      <c r="D32" s="505">
        <v>58</v>
      </c>
      <c r="E32" s="100">
        <v>59</v>
      </c>
      <c r="F32" s="505">
        <v>59</v>
      </c>
    </row>
    <row r="33" spans="1:6" s="504" customFormat="1" ht="27" customHeight="1">
      <c r="A33" s="502" t="s">
        <v>134</v>
      </c>
      <c r="B33" s="505">
        <v>21</v>
      </c>
      <c r="C33" s="505">
        <v>24</v>
      </c>
      <c r="D33" s="505">
        <v>24</v>
      </c>
      <c r="E33" s="100">
        <v>24</v>
      </c>
      <c r="F33" s="505">
        <v>24</v>
      </c>
    </row>
    <row r="34" spans="1:6" s="504" customFormat="1" ht="27" customHeight="1">
      <c r="A34" s="502" t="s">
        <v>45</v>
      </c>
      <c r="B34" s="505">
        <v>3</v>
      </c>
      <c r="C34" s="505">
        <v>5</v>
      </c>
      <c r="D34" s="505">
        <v>4</v>
      </c>
      <c r="E34" s="100">
        <v>4</v>
      </c>
      <c r="F34" s="505">
        <v>4</v>
      </c>
    </row>
    <row r="35" spans="1:6" s="504" customFormat="1" ht="27" customHeight="1">
      <c r="A35" s="502" t="s">
        <v>47</v>
      </c>
      <c r="B35" s="505">
        <v>67</v>
      </c>
      <c r="C35" s="505">
        <v>72</v>
      </c>
      <c r="D35" s="505">
        <v>76</v>
      </c>
      <c r="E35" s="100">
        <v>79</v>
      </c>
      <c r="F35" s="505">
        <v>81</v>
      </c>
    </row>
    <row r="36" spans="1:6" s="504" customFormat="1" ht="27" customHeight="1">
      <c r="A36" s="502" t="s">
        <v>46</v>
      </c>
      <c r="B36" s="505">
        <v>28</v>
      </c>
      <c r="C36" s="505">
        <v>28</v>
      </c>
      <c r="D36" s="505">
        <v>33</v>
      </c>
      <c r="E36" s="100">
        <v>36</v>
      </c>
      <c r="F36" s="505">
        <v>36</v>
      </c>
    </row>
    <row r="37" spans="1:6" s="504" customFormat="1" ht="27" customHeight="1">
      <c r="A37" s="502" t="s">
        <v>48</v>
      </c>
      <c r="B37" s="505">
        <v>34</v>
      </c>
      <c r="C37" s="505">
        <v>41</v>
      </c>
      <c r="D37" s="505">
        <v>43</v>
      </c>
      <c r="E37" s="100">
        <v>45</v>
      </c>
      <c r="F37" s="505">
        <v>47</v>
      </c>
    </row>
  </sheetData>
  <mergeCells count="1">
    <mergeCell ref="A1:E1"/>
  </mergeCells>
  <printOptions horizontalCentered="1"/>
  <pageMargins left="0.5" right="0.5" top="0.4" bottom="0.5" header="0.27559055118110198" footer="0.23622047244094499"/>
  <pageSetup paperSize="9" scale="80" firstPageNumber="2" pageOrder="overThenDown" orientation="portrait" useFirstPageNumber="1" r:id="rId1"/>
  <headerFooter alignWithMargins="0">
    <oddFooter>&amp;L     AISHE 2019-20&amp;CT-40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K203"/>
  <sheetViews>
    <sheetView showZeros="0" view="pageBreakPreview" zoomScale="85" zoomScaleSheetLayoutView="85" workbookViewId="0">
      <pane ySplit="2" topLeftCell="A189" activePane="bottomLeft" state="frozen"/>
      <selection activeCell="A20" sqref="A20"/>
      <selection pane="bottomLeft" activeCell="D14" sqref="D14"/>
    </sheetView>
  </sheetViews>
  <sheetFormatPr defaultColWidth="9.140625" defaultRowHeight="14.25"/>
  <cols>
    <col min="1" max="1" width="22" style="497" customWidth="1"/>
    <col min="2" max="8" width="14.28515625" style="497" customWidth="1"/>
    <col min="9" max="9" width="8.28515625" style="497" customWidth="1"/>
    <col min="10" max="16384" width="9.140625" style="497"/>
  </cols>
  <sheetData>
    <row r="1" spans="1:11" ht="28.5" customHeight="1">
      <c r="A1" s="565" t="s">
        <v>834</v>
      </c>
    </row>
    <row r="2" spans="1:11" s="499" customFormat="1" ht="106.5" customHeight="1">
      <c r="A2" s="507" t="s">
        <v>713</v>
      </c>
      <c r="B2" s="508" t="s">
        <v>123</v>
      </c>
      <c r="C2" s="508" t="s">
        <v>130</v>
      </c>
      <c r="D2" s="508" t="s">
        <v>131</v>
      </c>
      <c r="E2" s="508" t="s">
        <v>132</v>
      </c>
      <c r="F2" s="508" t="s">
        <v>125</v>
      </c>
      <c r="G2" s="508" t="s">
        <v>128</v>
      </c>
      <c r="H2" s="508" t="s">
        <v>126</v>
      </c>
      <c r="I2" s="497"/>
      <c r="J2" s="497"/>
      <c r="K2" s="497"/>
    </row>
    <row r="3" spans="1:11" s="501" customFormat="1" ht="11.25">
      <c r="A3" s="509">
        <v>1</v>
      </c>
      <c r="B3" s="509">
        <v>2</v>
      </c>
      <c r="C3" s="509">
        <v>3</v>
      </c>
      <c r="D3" s="509">
        <v>4</v>
      </c>
      <c r="E3" s="509">
        <v>5</v>
      </c>
      <c r="F3" s="509">
        <v>6</v>
      </c>
      <c r="G3" s="509">
        <v>7</v>
      </c>
      <c r="H3" s="500">
        <v>8</v>
      </c>
      <c r="I3" s="510"/>
      <c r="J3" s="510"/>
      <c r="K3" s="510"/>
    </row>
    <row r="4" spans="1:11" ht="17.25" customHeight="1">
      <c r="A4" s="511" t="s">
        <v>833</v>
      </c>
      <c r="B4" s="512"/>
      <c r="C4" s="512"/>
      <c r="D4" s="512"/>
      <c r="E4" s="512"/>
      <c r="F4" s="512"/>
      <c r="G4" s="512"/>
      <c r="H4" s="513"/>
    </row>
    <row r="5" spans="1:11" ht="17.25" customHeight="1">
      <c r="A5" s="514" t="s">
        <v>832</v>
      </c>
      <c r="B5" s="515">
        <v>48</v>
      </c>
      <c r="C5" s="515">
        <v>36</v>
      </c>
      <c r="D5" s="515">
        <v>10</v>
      </c>
      <c r="E5" s="515">
        <v>80</v>
      </c>
      <c r="F5" s="515">
        <v>135</v>
      </c>
      <c r="G5" s="515">
        <v>327</v>
      </c>
      <c r="H5" s="515">
        <v>386</v>
      </c>
    </row>
    <row r="6" spans="1:11" ht="17.25" customHeight="1">
      <c r="A6" s="514" t="s">
        <v>831</v>
      </c>
      <c r="B6" s="515">
        <v>46</v>
      </c>
      <c r="C6" s="515">
        <v>34</v>
      </c>
      <c r="D6" s="515">
        <v>10</v>
      </c>
      <c r="E6" s="515">
        <v>80</v>
      </c>
      <c r="F6" s="515">
        <v>127</v>
      </c>
      <c r="G6" s="515">
        <v>304</v>
      </c>
      <c r="H6" s="515">
        <v>371</v>
      </c>
    </row>
    <row r="7" spans="1:11" ht="17.25" customHeight="1">
      <c r="A7" s="514" t="s">
        <v>830</v>
      </c>
      <c r="B7" s="515">
        <v>45</v>
      </c>
      <c r="C7" s="515">
        <v>33</v>
      </c>
      <c r="D7" s="515">
        <v>10</v>
      </c>
      <c r="E7" s="515">
        <v>80</v>
      </c>
      <c r="F7" s="515">
        <v>101</v>
      </c>
      <c r="G7" s="515">
        <v>262</v>
      </c>
      <c r="H7" s="515">
        <v>351</v>
      </c>
    </row>
    <row r="8" spans="1:11" ht="17.25" customHeight="1">
      <c r="A8" s="514" t="s">
        <v>829</v>
      </c>
      <c r="B8" s="515">
        <v>44</v>
      </c>
      <c r="C8" s="515">
        <v>33</v>
      </c>
      <c r="D8" s="515">
        <v>10</v>
      </c>
      <c r="E8" s="515">
        <v>79</v>
      </c>
      <c r="F8" s="515">
        <v>100</v>
      </c>
      <c r="G8" s="515">
        <v>233</v>
      </c>
      <c r="H8" s="515">
        <v>345</v>
      </c>
    </row>
    <row r="9" spans="1:11" ht="17.25" customHeight="1">
      <c r="A9" s="514" t="s">
        <v>828</v>
      </c>
      <c r="B9" s="515">
        <v>43</v>
      </c>
      <c r="C9" s="515">
        <v>32</v>
      </c>
      <c r="D9" s="515">
        <v>11</v>
      </c>
      <c r="E9" s="515">
        <v>79</v>
      </c>
      <c r="F9" s="515">
        <v>75</v>
      </c>
      <c r="G9" s="515">
        <v>197</v>
      </c>
      <c r="H9" s="515">
        <v>329</v>
      </c>
    </row>
    <row r="10" spans="1:11" ht="17.25" customHeight="1">
      <c r="A10" s="511" t="s">
        <v>15</v>
      </c>
      <c r="B10" s="512"/>
      <c r="C10" s="512"/>
      <c r="D10" s="512"/>
      <c r="E10" s="512"/>
      <c r="F10" s="512"/>
      <c r="G10" s="512"/>
      <c r="H10" s="513"/>
    </row>
    <row r="11" spans="1:11" ht="17.25" customHeight="1">
      <c r="A11" s="514" t="s">
        <v>832</v>
      </c>
      <c r="B11" s="515">
        <v>1</v>
      </c>
      <c r="C11" s="515">
        <v>1</v>
      </c>
      <c r="D11" s="515"/>
      <c r="E11" s="515">
        <v>4</v>
      </c>
      <c r="F11" s="515">
        <v>9</v>
      </c>
      <c r="G11" s="515">
        <v>22</v>
      </c>
      <c r="H11" s="515">
        <v>3</v>
      </c>
    </row>
    <row r="12" spans="1:11" ht="17.25" customHeight="1">
      <c r="A12" s="514" t="s">
        <v>831</v>
      </c>
      <c r="B12" s="92">
        <v>1</v>
      </c>
      <c r="C12" s="92">
        <v>1</v>
      </c>
      <c r="D12" s="92">
        <v>0</v>
      </c>
      <c r="E12" s="92">
        <v>4</v>
      </c>
      <c r="F12" s="92">
        <v>9</v>
      </c>
      <c r="G12" s="92">
        <v>3</v>
      </c>
      <c r="H12" s="92">
        <v>22</v>
      </c>
    </row>
    <row r="13" spans="1:11" ht="17.25" customHeight="1">
      <c r="A13" s="514" t="s">
        <v>830</v>
      </c>
      <c r="B13" s="515"/>
      <c r="C13" s="515">
        <v>1</v>
      </c>
      <c r="D13" s="515"/>
      <c r="E13" s="515">
        <v>4</v>
      </c>
      <c r="F13" s="515">
        <v>6</v>
      </c>
      <c r="G13" s="515">
        <v>1</v>
      </c>
      <c r="H13" s="515">
        <v>21</v>
      </c>
    </row>
    <row r="14" spans="1:11" ht="17.25" customHeight="1">
      <c r="A14" s="514" t="s">
        <v>829</v>
      </c>
      <c r="B14" s="515"/>
      <c r="C14" s="515">
        <v>1</v>
      </c>
      <c r="D14" s="515"/>
      <c r="E14" s="515">
        <v>4</v>
      </c>
      <c r="F14" s="515">
        <v>6</v>
      </c>
      <c r="G14" s="515"/>
      <c r="H14" s="515">
        <v>21</v>
      </c>
    </row>
    <row r="15" spans="1:11" ht="17.25" customHeight="1">
      <c r="A15" s="514" t="s">
        <v>828</v>
      </c>
      <c r="B15" s="515">
        <v>0</v>
      </c>
      <c r="C15" s="515">
        <v>1</v>
      </c>
      <c r="D15" s="515">
        <v>0</v>
      </c>
      <c r="E15" s="515">
        <v>4</v>
      </c>
      <c r="F15" s="515">
        <v>1</v>
      </c>
      <c r="G15" s="515">
        <v>0</v>
      </c>
      <c r="H15" s="515">
        <v>20</v>
      </c>
    </row>
    <row r="16" spans="1:11" ht="17.25" customHeight="1">
      <c r="A16" s="511" t="s">
        <v>16</v>
      </c>
      <c r="B16" s="512"/>
      <c r="C16" s="512"/>
      <c r="D16" s="512"/>
      <c r="E16" s="512"/>
      <c r="F16" s="512"/>
      <c r="G16" s="512"/>
      <c r="H16" s="513"/>
    </row>
    <row r="17" spans="1:8" ht="17.25" customHeight="1">
      <c r="A17" s="514" t="s">
        <v>832</v>
      </c>
      <c r="B17" s="515">
        <v>1</v>
      </c>
      <c r="C17" s="515">
        <v>1</v>
      </c>
      <c r="D17" s="515"/>
      <c r="E17" s="515"/>
      <c r="F17" s="515">
        <v>1</v>
      </c>
      <c r="G17" s="515">
        <v>6</v>
      </c>
      <c r="H17" s="515"/>
    </row>
    <row r="18" spans="1:8" ht="17.25" customHeight="1">
      <c r="A18" s="514" t="s">
        <v>831</v>
      </c>
      <c r="B18" s="92">
        <v>1</v>
      </c>
      <c r="C18" s="92">
        <v>1</v>
      </c>
      <c r="D18" s="92">
        <v>0</v>
      </c>
      <c r="E18" s="92">
        <v>0</v>
      </c>
      <c r="F18" s="92">
        <v>1</v>
      </c>
      <c r="G18" s="92">
        <v>6</v>
      </c>
      <c r="H18" s="92">
        <v>0</v>
      </c>
    </row>
    <row r="19" spans="1:8" ht="17.25" customHeight="1">
      <c r="A19" s="514" t="s">
        <v>830</v>
      </c>
      <c r="B19" s="515">
        <v>1</v>
      </c>
      <c r="C19" s="515">
        <v>1</v>
      </c>
      <c r="D19" s="515"/>
      <c r="E19" s="515"/>
      <c r="F19" s="515">
        <v>1</v>
      </c>
      <c r="G19" s="515">
        <v>5</v>
      </c>
      <c r="H19" s="515"/>
    </row>
    <row r="20" spans="1:8" ht="17.25" customHeight="1">
      <c r="A20" s="514" t="s">
        <v>829</v>
      </c>
      <c r="B20" s="515">
        <v>1</v>
      </c>
      <c r="C20" s="515">
        <v>1</v>
      </c>
      <c r="D20" s="515"/>
      <c r="E20" s="515"/>
      <c r="F20" s="515">
        <v>1</v>
      </c>
      <c r="G20" s="515">
        <v>5</v>
      </c>
      <c r="H20" s="515"/>
    </row>
    <row r="21" spans="1:8" ht="17.25" customHeight="1">
      <c r="A21" s="514" t="s">
        <v>828</v>
      </c>
      <c r="B21" s="515">
        <v>1</v>
      </c>
      <c r="C21" s="515">
        <v>1</v>
      </c>
      <c r="D21" s="515">
        <v>0</v>
      </c>
      <c r="E21" s="515">
        <v>0</v>
      </c>
      <c r="F21" s="515">
        <v>1</v>
      </c>
      <c r="G21" s="515">
        <v>5</v>
      </c>
      <c r="H21" s="515">
        <v>0</v>
      </c>
    </row>
    <row r="22" spans="1:8" ht="17.25" customHeight="1">
      <c r="A22" s="511" t="s">
        <v>17</v>
      </c>
      <c r="B22" s="512"/>
      <c r="C22" s="512"/>
      <c r="D22" s="512"/>
      <c r="E22" s="512"/>
      <c r="F22" s="512"/>
      <c r="G22" s="512"/>
      <c r="H22" s="513"/>
    </row>
    <row r="23" spans="1:8" ht="17.25" customHeight="1">
      <c r="A23" s="514" t="s">
        <v>832</v>
      </c>
      <c r="B23" s="515">
        <v>2</v>
      </c>
      <c r="C23" s="515">
        <v>1</v>
      </c>
      <c r="D23" s="515"/>
      <c r="E23" s="515"/>
      <c r="F23" s="515">
        <v>4</v>
      </c>
      <c r="G23" s="515">
        <v>6</v>
      </c>
      <c r="H23" s="515">
        <v>12</v>
      </c>
    </row>
    <row r="24" spans="1:8" ht="17.25" customHeight="1">
      <c r="A24" s="514" t="s">
        <v>831</v>
      </c>
      <c r="B24" s="92">
        <v>2</v>
      </c>
      <c r="C24" s="92">
        <v>0</v>
      </c>
      <c r="D24" s="92">
        <v>0</v>
      </c>
      <c r="E24" s="92">
        <v>0</v>
      </c>
      <c r="F24" s="92">
        <v>3</v>
      </c>
      <c r="G24" s="92">
        <v>6</v>
      </c>
      <c r="H24" s="92">
        <v>10</v>
      </c>
    </row>
    <row r="25" spans="1:8" ht="17.25" customHeight="1">
      <c r="A25" s="514" t="s">
        <v>830</v>
      </c>
      <c r="B25" s="515">
        <v>2</v>
      </c>
      <c r="C25" s="515"/>
      <c r="D25" s="515"/>
      <c r="E25" s="515"/>
      <c r="F25" s="515">
        <v>3</v>
      </c>
      <c r="G25" s="515">
        <v>5</v>
      </c>
      <c r="H25" s="515">
        <v>10</v>
      </c>
    </row>
    <row r="26" spans="1:8" ht="17.25" customHeight="1">
      <c r="A26" s="514" t="s">
        <v>829</v>
      </c>
      <c r="B26" s="515">
        <v>2</v>
      </c>
      <c r="C26" s="515"/>
      <c r="D26" s="515"/>
      <c r="E26" s="515"/>
      <c r="F26" s="515">
        <v>3</v>
      </c>
      <c r="G26" s="515">
        <v>4</v>
      </c>
      <c r="H26" s="515">
        <v>11</v>
      </c>
    </row>
    <row r="27" spans="1:8" ht="17.25" customHeight="1">
      <c r="A27" s="514" t="s">
        <v>828</v>
      </c>
      <c r="B27" s="515">
        <v>2</v>
      </c>
      <c r="C27" s="515">
        <v>0</v>
      </c>
      <c r="D27" s="515">
        <v>0</v>
      </c>
      <c r="E27" s="515">
        <v>0</v>
      </c>
      <c r="F27" s="515">
        <v>2</v>
      </c>
      <c r="G27" s="515">
        <v>4</v>
      </c>
      <c r="H27" s="515">
        <v>11</v>
      </c>
    </row>
    <row r="28" spans="1:8" ht="17.25" customHeight="1">
      <c r="A28" s="511" t="s">
        <v>18</v>
      </c>
      <c r="B28" s="512"/>
      <c r="C28" s="512"/>
      <c r="D28" s="512"/>
      <c r="E28" s="512"/>
      <c r="F28" s="512"/>
      <c r="G28" s="512"/>
      <c r="H28" s="513"/>
    </row>
    <row r="29" spans="1:8" ht="17.25" customHeight="1">
      <c r="A29" s="514" t="s">
        <v>832</v>
      </c>
      <c r="B29" s="515">
        <v>4</v>
      </c>
      <c r="C29" s="515">
        <v>1</v>
      </c>
      <c r="D29" s="515"/>
      <c r="E29" s="515"/>
      <c r="F29" s="515">
        <v>5</v>
      </c>
      <c r="G29" s="515">
        <v>6</v>
      </c>
      <c r="H29" s="515">
        <v>17</v>
      </c>
    </row>
    <row r="30" spans="1:8" ht="17.25" customHeight="1">
      <c r="A30" s="514" t="s">
        <v>831</v>
      </c>
      <c r="B30" s="92">
        <v>4</v>
      </c>
      <c r="C30" s="92">
        <v>1</v>
      </c>
      <c r="D30" s="92">
        <v>0</v>
      </c>
      <c r="E30" s="92">
        <v>0</v>
      </c>
      <c r="F30" s="92">
        <v>5</v>
      </c>
      <c r="G30" s="92">
        <v>4</v>
      </c>
      <c r="H30" s="92">
        <v>17</v>
      </c>
    </row>
    <row r="31" spans="1:8" ht="17.25" customHeight="1">
      <c r="A31" s="514" t="s">
        <v>830</v>
      </c>
      <c r="B31" s="515">
        <v>4</v>
      </c>
      <c r="C31" s="515">
        <v>1</v>
      </c>
      <c r="D31" s="515"/>
      <c r="E31" s="515"/>
      <c r="F31" s="515">
        <v>3</v>
      </c>
      <c r="G31" s="515">
        <v>1</v>
      </c>
      <c r="H31" s="515">
        <v>13</v>
      </c>
    </row>
    <row r="32" spans="1:8" ht="17.25" customHeight="1">
      <c r="A32" s="514" t="s">
        <v>829</v>
      </c>
      <c r="B32" s="515">
        <v>3</v>
      </c>
      <c r="C32" s="515">
        <v>1</v>
      </c>
      <c r="D32" s="515"/>
      <c r="E32" s="515"/>
      <c r="F32" s="515">
        <v>3</v>
      </c>
      <c r="G32" s="515"/>
      <c r="H32" s="515">
        <v>14</v>
      </c>
    </row>
    <row r="33" spans="1:8" ht="17.25" customHeight="1">
      <c r="A33" s="514" t="s">
        <v>828</v>
      </c>
      <c r="B33" s="515">
        <v>2</v>
      </c>
      <c r="C33" s="515">
        <v>1</v>
      </c>
      <c r="D33" s="515">
        <v>0</v>
      </c>
      <c r="E33" s="515">
        <v>0</v>
      </c>
      <c r="F33" s="515">
        <v>3</v>
      </c>
      <c r="G33" s="515">
        <v>0</v>
      </c>
      <c r="H33" s="515">
        <v>14</v>
      </c>
    </row>
    <row r="34" spans="1:8" ht="17.25" customHeight="1">
      <c r="A34" s="511" t="s">
        <v>19</v>
      </c>
      <c r="B34" s="512"/>
      <c r="C34" s="512"/>
      <c r="D34" s="512"/>
      <c r="E34" s="512"/>
      <c r="F34" s="512"/>
      <c r="G34" s="512"/>
      <c r="H34" s="513"/>
    </row>
    <row r="35" spans="1:8" ht="17.25" customHeight="1">
      <c r="A35" s="514" t="s">
        <v>832</v>
      </c>
      <c r="B35" s="515"/>
      <c r="C35" s="515">
        <v>1</v>
      </c>
      <c r="D35" s="515"/>
      <c r="E35" s="515"/>
      <c r="F35" s="515">
        <v>1</v>
      </c>
      <c r="G35" s="515"/>
      <c r="H35" s="515">
        <v>1</v>
      </c>
    </row>
    <row r="36" spans="1:8" ht="17.25" customHeight="1">
      <c r="A36" s="514" t="s">
        <v>831</v>
      </c>
      <c r="B36" s="92">
        <v>0</v>
      </c>
      <c r="C36" s="92">
        <v>1</v>
      </c>
      <c r="D36" s="92">
        <v>0</v>
      </c>
      <c r="E36" s="92">
        <v>0</v>
      </c>
      <c r="F36" s="92">
        <v>1</v>
      </c>
      <c r="G36" s="92">
        <v>0</v>
      </c>
      <c r="H36" s="92">
        <v>1</v>
      </c>
    </row>
    <row r="37" spans="1:8" ht="17.25" customHeight="1">
      <c r="A37" s="514" t="s">
        <v>830</v>
      </c>
      <c r="B37" s="515"/>
      <c r="C37" s="515">
        <v>1</v>
      </c>
      <c r="D37" s="515"/>
      <c r="E37" s="515"/>
      <c r="F37" s="515">
        <v>1</v>
      </c>
      <c r="G37" s="515"/>
      <c r="H37" s="515">
        <v>1</v>
      </c>
    </row>
    <row r="38" spans="1:8" ht="17.25" customHeight="1">
      <c r="A38" s="514" t="s">
        <v>829</v>
      </c>
      <c r="B38" s="515"/>
      <c r="C38" s="515">
        <v>1</v>
      </c>
      <c r="D38" s="515"/>
      <c r="E38" s="515"/>
      <c r="F38" s="515">
        <v>1</v>
      </c>
      <c r="G38" s="515"/>
      <c r="H38" s="515">
        <v>1</v>
      </c>
    </row>
    <row r="39" spans="1:8" ht="17.25" customHeight="1">
      <c r="A39" s="514" t="s">
        <v>828</v>
      </c>
      <c r="B39" s="515">
        <v>0</v>
      </c>
      <c r="C39" s="515">
        <v>1</v>
      </c>
      <c r="D39" s="515">
        <v>0</v>
      </c>
      <c r="E39" s="515">
        <v>0</v>
      </c>
      <c r="F39" s="515">
        <v>1</v>
      </c>
      <c r="G39" s="515">
        <v>0</v>
      </c>
      <c r="H39" s="515">
        <v>1</v>
      </c>
    </row>
    <row r="40" spans="1:8" ht="17.25" customHeight="1">
      <c r="A40" s="511" t="s">
        <v>20</v>
      </c>
      <c r="B40" s="512"/>
      <c r="C40" s="512"/>
      <c r="D40" s="512"/>
      <c r="E40" s="512"/>
      <c r="F40" s="512"/>
      <c r="G40" s="512"/>
      <c r="H40" s="513"/>
    </row>
    <row r="41" spans="1:8" ht="17.25" customHeight="1">
      <c r="A41" s="514" t="s">
        <v>832</v>
      </c>
      <c r="B41" s="515">
        <v>1</v>
      </c>
      <c r="C41" s="515"/>
      <c r="D41" s="515"/>
      <c r="E41" s="515"/>
      <c r="F41" s="515">
        <v>4</v>
      </c>
      <c r="G41" s="515">
        <v>9</v>
      </c>
      <c r="H41" s="515">
        <v>13</v>
      </c>
    </row>
    <row r="42" spans="1:8" ht="17.25" customHeight="1">
      <c r="A42" s="514" t="s">
        <v>831</v>
      </c>
      <c r="B42" s="92">
        <v>1</v>
      </c>
      <c r="C42" s="92">
        <v>0</v>
      </c>
      <c r="D42" s="92">
        <v>0</v>
      </c>
      <c r="E42" s="92">
        <v>0</v>
      </c>
      <c r="F42" s="92">
        <v>4</v>
      </c>
      <c r="G42" s="92">
        <v>9</v>
      </c>
      <c r="H42" s="92">
        <v>13</v>
      </c>
    </row>
    <row r="43" spans="1:8" ht="17.25" customHeight="1">
      <c r="A43" s="514" t="s">
        <v>830</v>
      </c>
      <c r="B43" s="515">
        <v>1</v>
      </c>
      <c r="C43" s="515"/>
      <c r="D43" s="515"/>
      <c r="E43" s="515"/>
      <c r="F43" s="515">
        <v>2</v>
      </c>
      <c r="G43" s="515">
        <v>8</v>
      </c>
      <c r="H43" s="515">
        <v>12</v>
      </c>
    </row>
    <row r="44" spans="1:8" ht="17.25" customHeight="1">
      <c r="A44" s="514" t="s">
        <v>829</v>
      </c>
      <c r="B44" s="515">
        <v>1</v>
      </c>
      <c r="C44" s="515"/>
      <c r="D44" s="515"/>
      <c r="E44" s="515"/>
      <c r="F44" s="515">
        <v>2</v>
      </c>
      <c r="G44" s="515">
        <v>8</v>
      </c>
      <c r="H44" s="515">
        <v>12</v>
      </c>
    </row>
    <row r="45" spans="1:8" ht="17.25" customHeight="1">
      <c r="A45" s="514" t="s">
        <v>828</v>
      </c>
      <c r="B45" s="515">
        <v>1</v>
      </c>
      <c r="C45" s="515">
        <v>0</v>
      </c>
      <c r="D45" s="515">
        <v>0</v>
      </c>
      <c r="E45" s="515">
        <v>0</v>
      </c>
      <c r="F45" s="515">
        <v>2</v>
      </c>
      <c r="G45" s="515">
        <v>7</v>
      </c>
      <c r="H45" s="515">
        <v>11</v>
      </c>
    </row>
    <row r="46" spans="1:8" ht="17.25" customHeight="1">
      <c r="A46" s="511" t="s">
        <v>23</v>
      </c>
      <c r="B46" s="512"/>
      <c r="C46" s="512"/>
      <c r="D46" s="512"/>
      <c r="E46" s="512"/>
      <c r="F46" s="512"/>
      <c r="G46" s="512"/>
      <c r="H46" s="513"/>
    </row>
    <row r="47" spans="1:8" ht="17.25" customHeight="1">
      <c r="A47" s="514" t="s">
        <v>832</v>
      </c>
      <c r="B47" s="515">
        <v>5</v>
      </c>
      <c r="C47" s="515">
        <v>7</v>
      </c>
      <c r="D47" s="515">
        <v>1</v>
      </c>
      <c r="E47" s="515">
        <v>1</v>
      </c>
      <c r="F47" s="515">
        <v>5</v>
      </c>
      <c r="G47" s="515"/>
      <c r="H47" s="515">
        <v>8</v>
      </c>
    </row>
    <row r="48" spans="1:8" ht="17.25" customHeight="1">
      <c r="A48" s="514" t="s">
        <v>831</v>
      </c>
      <c r="B48" s="92">
        <v>4</v>
      </c>
      <c r="C48" s="92">
        <v>8</v>
      </c>
      <c r="D48" s="92">
        <v>1</v>
      </c>
      <c r="E48" s="92">
        <v>1</v>
      </c>
      <c r="F48" s="92">
        <v>5</v>
      </c>
      <c r="G48" s="92">
        <v>0</v>
      </c>
      <c r="H48" s="92">
        <v>7</v>
      </c>
    </row>
    <row r="49" spans="1:8" ht="17.25" customHeight="1">
      <c r="A49" s="514" t="s">
        <v>830</v>
      </c>
      <c r="B49" s="515">
        <v>4</v>
      </c>
      <c r="C49" s="515">
        <v>8</v>
      </c>
      <c r="D49" s="515">
        <v>1</v>
      </c>
      <c r="E49" s="515">
        <v>1</v>
      </c>
      <c r="F49" s="515">
        <v>5</v>
      </c>
      <c r="G49" s="515"/>
      <c r="H49" s="515">
        <v>7</v>
      </c>
    </row>
    <row r="50" spans="1:8" ht="17.25" customHeight="1">
      <c r="A50" s="514" t="s">
        <v>829</v>
      </c>
      <c r="B50" s="515">
        <v>4</v>
      </c>
      <c r="C50" s="515">
        <v>8</v>
      </c>
      <c r="D50" s="515">
        <v>1</v>
      </c>
      <c r="E50" s="515">
        <v>1</v>
      </c>
      <c r="F50" s="515">
        <v>5</v>
      </c>
      <c r="G50" s="515"/>
      <c r="H50" s="515">
        <v>7</v>
      </c>
    </row>
    <row r="51" spans="1:8" ht="17.25" customHeight="1">
      <c r="A51" s="514" t="s">
        <v>828</v>
      </c>
      <c r="B51" s="515">
        <v>4</v>
      </c>
      <c r="C51" s="515">
        <v>7</v>
      </c>
      <c r="D51" s="515">
        <v>2</v>
      </c>
      <c r="E51" s="515">
        <v>1</v>
      </c>
      <c r="F51" s="515">
        <v>4</v>
      </c>
      <c r="G51" s="515">
        <v>0</v>
      </c>
      <c r="H51" s="515">
        <v>6</v>
      </c>
    </row>
    <row r="52" spans="1:8" ht="17.25" customHeight="1">
      <c r="A52" s="511" t="s">
        <v>24</v>
      </c>
      <c r="B52" s="512"/>
      <c r="C52" s="512"/>
      <c r="D52" s="512"/>
      <c r="E52" s="512"/>
      <c r="F52" s="512"/>
      <c r="G52" s="512"/>
      <c r="H52" s="513"/>
    </row>
    <row r="53" spans="1:8" ht="17.25" customHeight="1">
      <c r="A53" s="514" t="s">
        <v>832</v>
      </c>
      <c r="B53" s="515"/>
      <c r="C53" s="515"/>
      <c r="D53" s="515"/>
      <c r="E53" s="515"/>
      <c r="F53" s="515">
        <v>2</v>
      </c>
      <c r="G53" s="515"/>
      <c r="H53" s="515">
        <v>1</v>
      </c>
    </row>
    <row r="54" spans="1:8" ht="17.25" customHeight="1">
      <c r="A54" s="514" t="s">
        <v>831</v>
      </c>
      <c r="B54" s="92">
        <v>0</v>
      </c>
      <c r="C54" s="92">
        <v>0</v>
      </c>
      <c r="D54" s="92">
        <v>0</v>
      </c>
      <c r="E54" s="92">
        <v>0</v>
      </c>
      <c r="F54" s="92">
        <v>2</v>
      </c>
      <c r="G54" s="92">
        <v>0</v>
      </c>
      <c r="H54" s="92">
        <v>1</v>
      </c>
    </row>
    <row r="55" spans="1:8" ht="17.25" customHeight="1">
      <c r="A55" s="514" t="s">
        <v>830</v>
      </c>
      <c r="B55" s="515"/>
      <c r="C55" s="515"/>
      <c r="D55" s="515"/>
      <c r="E55" s="515"/>
      <c r="F55" s="515">
        <v>2</v>
      </c>
      <c r="G55" s="515"/>
      <c r="H55" s="515">
        <v>1</v>
      </c>
    </row>
    <row r="56" spans="1:8" ht="17.25" customHeight="1">
      <c r="A56" s="514" t="s">
        <v>829</v>
      </c>
      <c r="B56" s="515"/>
      <c r="C56" s="515"/>
      <c r="D56" s="515"/>
      <c r="E56" s="515"/>
      <c r="F56" s="515">
        <v>1</v>
      </c>
      <c r="G56" s="515"/>
      <c r="H56" s="515">
        <v>1</v>
      </c>
    </row>
    <row r="57" spans="1:8" ht="17.25" customHeight="1">
      <c r="A57" s="514" t="s">
        <v>828</v>
      </c>
      <c r="B57" s="515">
        <v>0</v>
      </c>
      <c r="C57" s="515">
        <v>0</v>
      </c>
      <c r="D57" s="515">
        <v>0</v>
      </c>
      <c r="E57" s="515">
        <v>0</v>
      </c>
      <c r="F57" s="515">
        <v>1</v>
      </c>
      <c r="G57" s="515">
        <v>0</v>
      </c>
      <c r="H57" s="515">
        <v>1</v>
      </c>
    </row>
    <row r="58" spans="1:8" ht="17.25" customHeight="1">
      <c r="A58" s="511" t="s">
        <v>25</v>
      </c>
      <c r="B58" s="512"/>
      <c r="C58" s="512"/>
      <c r="D58" s="512"/>
      <c r="E58" s="512"/>
      <c r="F58" s="512"/>
      <c r="G58" s="512"/>
      <c r="H58" s="513"/>
    </row>
    <row r="59" spans="1:8" ht="17.25" customHeight="1">
      <c r="A59" s="514" t="s">
        <v>832</v>
      </c>
      <c r="B59" s="515">
        <v>1</v>
      </c>
      <c r="C59" s="515">
        <v>1</v>
      </c>
      <c r="D59" s="515">
        <v>1</v>
      </c>
      <c r="E59" s="515">
        <v>1</v>
      </c>
      <c r="F59" s="515">
        <v>6</v>
      </c>
      <c r="G59" s="515">
        <v>37</v>
      </c>
      <c r="H59" s="515">
        <v>28</v>
      </c>
    </row>
    <row r="60" spans="1:8" ht="17.25" customHeight="1">
      <c r="A60" s="514" t="s">
        <v>831</v>
      </c>
      <c r="B60" s="92">
        <v>1</v>
      </c>
      <c r="C60" s="92">
        <v>1</v>
      </c>
      <c r="D60" s="92">
        <v>1</v>
      </c>
      <c r="E60" s="92">
        <v>1</v>
      </c>
      <c r="F60" s="92">
        <v>5</v>
      </c>
      <c r="G60" s="92">
        <v>34</v>
      </c>
      <c r="H60" s="92">
        <v>28</v>
      </c>
    </row>
    <row r="61" spans="1:8" ht="17.25" customHeight="1">
      <c r="A61" s="514" t="s">
        <v>830</v>
      </c>
      <c r="B61" s="515">
        <v>1</v>
      </c>
      <c r="C61" s="515"/>
      <c r="D61" s="515">
        <v>1</v>
      </c>
      <c r="E61" s="515">
        <v>1</v>
      </c>
      <c r="F61" s="515">
        <v>3</v>
      </c>
      <c r="G61" s="515">
        <v>31</v>
      </c>
      <c r="H61" s="515">
        <v>27</v>
      </c>
    </row>
    <row r="62" spans="1:8" ht="17.25" customHeight="1">
      <c r="A62" s="514" t="s">
        <v>829</v>
      </c>
      <c r="B62" s="515">
        <v>1</v>
      </c>
      <c r="C62" s="515"/>
      <c r="D62" s="515">
        <v>1</v>
      </c>
      <c r="E62" s="515">
        <v>1</v>
      </c>
      <c r="F62" s="515">
        <v>3</v>
      </c>
      <c r="G62" s="515">
        <v>28</v>
      </c>
      <c r="H62" s="515">
        <v>27</v>
      </c>
    </row>
    <row r="63" spans="1:8" ht="17.25" customHeight="1">
      <c r="A63" s="514" t="s">
        <v>828</v>
      </c>
      <c r="B63" s="515">
        <v>1</v>
      </c>
      <c r="C63" s="515">
        <v>0</v>
      </c>
      <c r="D63" s="515">
        <v>1</v>
      </c>
      <c r="E63" s="515">
        <v>1</v>
      </c>
      <c r="F63" s="515">
        <v>2</v>
      </c>
      <c r="G63" s="515">
        <v>22</v>
      </c>
      <c r="H63" s="515">
        <v>28</v>
      </c>
    </row>
    <row r="64" spans="1:8" ht="17.25" customHeight="1">
      <c r="A64" s="511" t="s">
        <v>26</v>
      </c>
      <c r="B64" s="512"/>
      <c r="C64" s="512"/>
      <c r="D64" s="512"/>
      <c r="E64" s="512"/>
      <c r="F64" s="512"/>
      <c r="G64" s="512"/>
      <c r="H64" s="513"/>
    </row>
    <row r="65" spans="1:8" ht="17.25" customHeight="1">
      <c r="A65" s="514" t="s">
        <v>832</v>
      </c>
      <c r="B65" s="515">
        <v>1</v>
      </c>
      <c r="C65" s="515">
        <v>3</v>
      </c>
      <c r="D65" s="515"/>
      <c r="E65" s="515">
        <v>3</v>
      </c>
      <c r="F65" s="515">
        <v>5</v>
      </c>
      <c r="G65" s="515">
        <v>23</v>
      </c>
      <c r="H65" s="515">
        <v>18</v>
      </c>
    </row>
    <row r="66" spans="1:8" ht="17.25" customHeight="1">
      <c r="A66" s="514" t="s">
        <v>831</v>
      </c>
      <c r="B66" s="92">
        <v>1</v>
      </c>
      <c r="C66" s="92">
        <v>3</v>
      </c>
      <c r="D66" s="92">
        <v>0</v>
      </c>
      <c r="E66" s="92">
        <v>3</v>
      </c>
      <c r="F66" s="92">
        <v>3</v>
      </c>
      <c r="G66" s="92">
        <v>22</v>
      </c>
      <c r="H66" s="92">
        <v>16</v>
      </c>
    </row>
    <row r="67" spans="1:8" ht="17.25" customHeight="1">
      <c r="A67" s="514" t="s">
        <v>830</v>
      </c>
      <c r="B67" s="515">
        <v>1</v>
      </c>
      <c r="C67" s="515">
        <v>2</v>
      </c>
      <c r="D67" s="515"/>
      <c r="E67" s="515">
        <v>3</v>
      </c>
      <c r="F67" s="515">
        <v>2</v>
      </c>
      <c r="G67" s="515">
        <v>18</v>
      </c>
      <c r="H67" s="515">
        <v>14</v>
      </c>
    </row>
    <row r="68" spans="1:8" ht="17.25" customHeight="1">
      <c r="A68" s="514" t="s">
        <v>829</v>
      </c>
      <c r="B68" s="515">
        <v>1</v>
      </c>
      <c r="C68" s="515">
        <v>2</v>
      </c>
      <c r="D68" s="515"/>
      <c r="E68" s="515">
        <v>3</v>
      </c>
      <c r="F68" s="515">
        <v>2</v>
      </c>
      <c r="G68" s="515">
        <v>17</v>
      </c>
      <c r="H68" s="515">
        <v>14</v>
      </c>
    </row>
    <row r="69" spans="1:8" ht="17.25" customHeight="1">
      <c r="A69" s="514" t="s">
        <v>828</v>
      </c>
      <c r="B69" s="515">
        <v>1</v>
      </c>
      <c r="C69" s="515">
        <v>2</v>
      </c>
      <c r="D69" s="515">
        <v>0</v>
      </c>
      <c r="E69" s="515">
        <v>3</v>
      </c>
      <c r="F69" s="515">
        <v>1</v>
      </c>
      <c r="G69" s="515">
        <v>17</v>
      </c>
      <c r="H69" s="515">
        <v>14</v>
      </c>
    </row>
    <row r="70" spans="1:8" ht="17.25" customHeight="1">
      <c r="A70" s="511" t="s">
        <v>27</v>
      </c>
      <c r="B70" s="512"/>
      <c r="C70" s="512"/>
      <c r="D70" s="512"/>
      <c r="E70" s="512"/>
      <c r="F70" s="512"/>
      <c r="G70" s="512"/>
      <c r="H70" s="513"/>
    </row>
    <row r="71" spans="1:8" ht="17.25" customHeight="1">
      <c r="A71" s="514" t="s">
        <v>832</v>
      </c>
      <c r="B71" s="515">
        <v>1</v>
      </c>
      <c r="C71" s="515"/>
      <c r="D71" s="515"/>
      <c r="E71" s="515"/>
      <c r="F71" s="515">
        <v>4</v>
      </c>
      <c r="G71" s="515">
        <v>17</v>
      </c>
      <c r="H71" s="515">
        <v>5</v>
      </c>
    </row>
    <row r="72" spans="1:8" ht="17.25" customHeight="1">
      <c r="A72" s="514" t="s">
        <v>831</v>
      </c>
      <c r="B72" s="92">
        <v>1</v>
      </c>
      <c r="C72" s="92">
        <v>0</v>
      </c>
      <c r="D72" s="92">
        <v>0</v>
      </c>
      <c r="E72" s="92">
        <v>0</v>
      </c>
      <c r="F72" s="92">
        <v>4</v>
      </c>
      <c r="G72" s="92">
        <v>17</v>
      </c>
      <c r="H72" s="92">
        <v>4</v>
      </c>
    </row>
    <row r="73" spans="1:8" ht="17.25" customHeight="1">
      <c r="A73" s="514" t="s">
        <v>830</v>
      </c>
      <c r="B73" s="515">
        <v>1</v>
      </c>
      <c r="C73" s="515"/>
      <c r="D73" s="515"/>
      <c r="E73" s="515"/>
      <c r="F73" s="515">
        <v>3</v>
      </c>
      <c r="G73" s="515">
        <v>17</v>
      </c>
      <c r="H73" s="515">
        <v>4</v>
      </c>
    </row>
    <row r="74" spans="1:8" ht="17.25" customHeight="1">
      <c r="A74" s="514" t="s">
        <v>829</v>
      </c>
      <c r="B74" s="515">
        <v>1</v>
      </c>
      <c r="C74" s="515"/>
      <c r="D74" s="515"/>
      <c r="E74" s="515"/>
      <c r="F74" s="515">
        <v>3</v>
      </c>
      <c r="G74" s="515">
        <v>17</v>
      </c>
      <c r="H74" s="515">
        <v>4</v>
      </c>
    </row>
    <row r="75" spans="1:8" ht="17.25" customHeight="1">
      <c r="A75" s="514" t="s">
        <v>828</v>
      </c>
      <c r="B75" s="515">
        <v>1</v>
      </c>
      <c r="C75" s="515">
        <v>0</v>
      </c>
      <c r="D75" s="515">
        <v>0</v>
      </c>
      <c r="E75" s="515">
        <v>0</v>
      </c>
      <c r="F75" s="515">
        <v>2</v>
      </c>
      <c r="G75" s="515">
        <v>17</v>
      </c>
      <c r="H75" s="515">
        <v>4</v>
      </c>
    </row>
    <row r="76" spans="1:8" ht="17.25" customHeight="1">
      <c r="A76" s="511" t="s">
        <v>57</v>
      </c>
      <c r="B76" s="512"/>
      <c r="C76" s="512"/>
      <c r="D76" s="512"/>
      <c r="E76" s="512"/>
      <c r="F76" s="512"/>
      <c r="G76" s="512"/>
      <c r="H76" s="513"/>
    </row>
    <row r="77" spans="1:8" ht="17.25" customHeight="1">
      <c r="A77" s="514" t="s">
        <v>832</v>
      </c>
      <c r="B77" s="515">
        <v>2</v>
      </c>
      <c r="C77" s="515"/>
      <c r="D77" s="515"/>
      <c r="E77" s="515"/>
      <c r="F77" s="515">
        <v>3</v>
      </c>
      <c r="G77" s="515"/>
      <c r="H77" s="515">
        <v>9</v>
      </c>
    </row>
    <row r="78" spans="1:8" ht="17.25" customHeight="1">
      <c r="A78" s="514" t="s">
        <v>831</v>
      </c>
      <c r="B78" s="92">
        <v>2</v>
      </c>
      <c r="C78" s="92">
        <v>0</v>
      </c>
      <c r="D78" s="92">
        <v>0</v>
      </c>
      <c r="E78" s="92">
        <v>0</v>
      </c>
      <c r="F78" s="92">
        <v>3</v>
      </c>
      <c r="G78" s="92">
        <v>0</v>
      </c>
      <c r="H78" s="92">
        <v>9</v>
      </c>
    </row>
    <row r="79" spans="1:8" ht="17.25" customHeight="1">
      <c r="A79" s="514" t="s">
        <v>830</v>
      </c>
      <c r="B79" s="515">
        <v>2</v>
      </c>
      <c r="C79" s="515"/>
      <c r="D79" s="515"/>
      <c r="E79" s="515"/>
      <c r="F79" s="515">
        <v>2</v>
      </c>
      <c r="G79" s="515"/>
      <c r="H79" s="515">
        <v>9</v>
      </c>
    </row>
    <row r="80" spans="1:8" ht="17.25" customHeight="1">
      <c r="A80" s="514" t="s">
        <v>829</v>
      </c>
      <c r="B80" s="515">
        <v>2</v>
      </c>
      <c r="C80" s="515"/>
      <c r="D80" s="515"/>
      <c r="E80" s="515"/>
      <c r="F80" s="515">
        <v>2</v>
      </c>
      <c r="G80" s="515"/>
      <c r="H80" s="515">
        <v>7</v>
      </c>
    </row>
    <row r="81" spans="1:8" ht="17.25" customHeight="1">
      <c r="A81" s="514" t="s">
        <v>828</v>
      </c>
      <c r="B81" s="515">
        <v>2</v>
      </c>
      <c r="C81" s="515">
        <v>0</v>
      </c>
      <c r="D81" s="515">
        <v>0</v>
      </c>
      <c r="E81" s="515">
        <v>0</v>
      </c>
      <c r="F81" s="515">
        <v>1</v>
      </c>
      <c r="G81" s="515">
        <v>0</v>
      </c>
      <c r="H81" s="515">
        <v>7</v>
      </c>
    </row>
    <row r="82" spans="1:8" ht="17.25" customHeight="1">
      <c r="A82" s="511" t="s">
        <v>29</v>
      </c>
      <c r="B82" s="512"/>
      <c r="C82" s="512"/>
      <c r="D82" s="512"/>
      <c r="E82" s="512"/>
      <c r="F82" s="512"/>
      <c r="G82" s="512"/>
      <c r="H82" s="513"/>
    </row>
    <row r="83" spans="1:8" ht="17.25" customHeight="1">
      <c r="A83" s="514" t="s">
        <v>832</v>
      </c>
      <c r="B83" s="515">
        <v>1</v>
      </c>
      <c r="C83" s="515"/>
      <c r="D83" s="515"/>
      <c r="E83" s="515">
        <v>1</v>
      </c>
      <c r="F83" s="515">
        <v>5</v>
      </c>
      <c r="G83" s="515">
        <v>14</v>
      </c>
      <c r="H83" s="515">
        <v>11</v>
      </c>
    </row>
    <row r="84" spans="1:8" ht="17.25" customHeight="1">
      <c r="A84" s="514" t="s">
        <v>831</v>
      </c>
      <c r="B84" s="92">
        <v>1</v>
      </c>
      <c r="C84" s="92">
        <v>0</v>
      </c>
      <c r="D84" s="92">
        <v>0</v>
      </c>
      <c r="E84" s="92">
        <v>1</v>
      </c>
      <c r="F84" s="92">
        <v>4</v>
      </c>
      <c r="G84" s="92">
        <v>9</v>
      </c>
      <c r="H84" s="92">
        <v>10</v>
      </c>
    </row>
    <row r="85" spans="1:8" ht="17.25" customHeight="1">
      <c r="A85" s="514" t="s">
        <v>830</v>
      </c>
      <c r="B85" s="515">
        <v>1</v>
      </c>
      <c r="C85" s="515">
        <v>1</v>
      </c>
      <c r="D85" s="515"/>
      <c r="E85" s="515">
        <v>1</v>
      </c>
      <c r="F85" s="515">
        <v>2</v>
      </c>
      <c r="G85" s="515">
        <v>8</v>
      </c>
      <c r="H85" s="515">
        <v>8</v>
      </c>
    </row>
    <row r="86" spans="1:8" ht="17.25" customHeight="1">
      <c r="A86" s="514" t="s">
        <v>829</v>
      </c>
      <c r="B86" s="515">
        <v>1</v>
      </c>
      <c r="C86" s="515">
        <v>1</v>
      </c>
      <c r="D86" s="515"/>
      <c r="E86" s="515">
        <v>1</v>
      </c>
      <c r="F86" s="515">
        <v>2</v>
      </c>
      <c r="G86" s="515">
        <v>5</v>
      </c>
      <c r="H86" s="515">
        <v>8</v>
      </c>
    </row>
    <row r="87" spans="1:8" ht="17.25" customHeight="1">
      <c r="A87" s="514" t="s">
        <v>828</v>
      </c>
      <c r="B87" s="515">
        <v>1</v>
      </c>
      <c r="C87" s="515">
        <v>1</v>
      </c>
      <c r="D87" s="515">
        <v>0</v>
      </c>
      <c r="E87" s="515">
        <v>1</v>
      </c>
      <c r="F87" s="515">
        <v>1</v>
      </c>
      <c r="G87" s="515">
        <v>3</v>
      </c>
      <c r="H87" s="515">
        <v>7</v>
      </c>
    </row>
    <row r="88" spans="1:8" ht="17.25" customHeight="1">
      <c r="A88" s="511" t="s">
        <v>30</v>
      </c>
      <c r="B88" s="512"/>
      <c r="C88" s="512"/>
      <c r="D88" s="512"/>
      <c r="E88" s="512"/>
      <c r="F88" s="512"/>
      <c r="G88" s="512"/>
      <c r="H88" s="513"/>
    </row>
    <row r="89" spans="1:8" ht="17.25" customHeight="1">
      <c r="A89" s="514" t="s">
        <v>832</v>
      </c>
      <c r="B89" s="515">
        <v>1</v>
      </c>
      <c r="C89" s="515">
        <v>4</v>
      </c>
      <c r="D89" s="515"/>
      <c r="E89" s="515">
        <v>11</v>
      </c>
      <c r="F89" s="515">
        <v>4</v>
      </c>
      <c r="G89" s="515">
        <v>18</v>
      </c>
      <c r="H89" s="515">
        <v>30</v>
      </c>
    </row>
    <row r="90" spans="1:8" ht="17.25" customHeight="1">
      <c r="A90" s="514" t="s">
        <v>831</v>
      </c>
      <c r="B90" s="92">
        <v>1</v>
      </c>
      <c r="C90" s="92">
        <v>4</v>
      </c>
      <c r="D90" s="92">
        <v>0</v>
      </c>
      <c r="E90" s="92">
        <v>11</v>
      </c>
      <c r="F90" s="92">
        <v>4</v>
      </c>
      <c r="G90" s="92">
        <v>16</v>
      </c>
      <c r="H90" s="92">
        <v>28</v>
      </c>
    </row>
    <row r="91" spans="1:8" ht="17.25" customHeight="1">
      <c r="A91" s="514" t="s">
        <v>830</v>
      </c>
      <c r="B91" s="515">
        <v>1</v>
      </c>
      <c r="C91" s="515">
        <v>4</v>
      </c>
      <c r="D91" s="515"/>
      <c r="E91" s="515">
        <v>11</v>
      </c>
      <c r="F91" s="515">
        <v>3</v>
      </c>
      <c r="G91" s="515">
        <v>14</v>
      </c>
      <c r="H91" s="515">
        <v>26</v>
      </c>
    </row>
    <row r="92" spans="1:8" ht="17.25" customHeight="1">
      <c r="A92" s="514" t="s">
        <v>829</v>
      </c>
      <c r="B92" s="515">
        <v>1</v>
      </c>
      <c r="C92" s="515">
        <v>4</v>
      </c>
      <c r="D92" s="515"/>
      <c r="E92" s="515">
        <v>11</v>
      </c>
      <c r="F92" s="515">
        <v>2</v>
      </c>
      <c r="G92" s="515">
        <v>11</v>
      </c>
      <c r="H92" s="515">
        <v>25</v>
      </c>
    </row>
    <row r="93" spans="1:8" ht="17.25" customHeight="1">
      <c r="A93" s="514" t="s">
        <v>828</v>
      </c>
      <c r="B93" s="515">
        <v>1</v>
      </c>
      <c r="C93" s="515">
        <v>4</v>
      </c>
      <c r="D93" s="515">
        <v>0</v>
      </c>
      <c r="E93" s="515">
        <v>11</v>
      </c>
      <c r="F93" s="515">
        <v>1</v>
      </c>
      <c r="G93" s="515">
        <v>8</v>
      </c>
      <c r="H93" s="515">
        <v>25</v>
      </c>
    </row>
    <row r="94" spans="1:8" ht="17.25" customHeight="1">
      <c r="A94" s="511" t="s">
        <v>31</v>
      </c>
      <c r="B94" s="512"/>
      <c r="C94" s="512"/>
      <c r="D94" s="512"/>
      <c r="E94" s="512"/>
      <c r="F94" s="512"/>
      <c r="G94" s="512"/>
      <c r="H94" s="513"/>
    </row>
    <row r="95" spans="1:8" ht="17.25" customHeight="1">
      <c r="A95" s="514" t="s">
        <v>832</v>
      </c>
      <c r="B95" s="515">
        <v>1</v>
      </c>
      <c r="C95" s="515">
        <v>2</v>
      </c>
      <c r="D95" s="515"/>
      <c r="E95" s="515">
        <v>1</v>
      </c>
      <c r="F95" s="515">
        <v>6</v>
      </c>
      <c r="G95" s="515"/>
      <c r="H95" s="515">
        <v>13</v>
      </c>
    </row>
    <row r="96" spans="1:8" ht="17.25" customHeight="1">
      <c r="A96" s="514" t="s">
        <v>831</v>
      </c>
      <c r="B96" s="92">
        <v>1</v>
      </c>
      <c r="C96" s="92">
        <v>2</v>
      </c>
      <c r="D96" s="92">
        <v>0</v>
      </c>
      <c r="E96" s="92">
        <v>1</v>
      </c>
      <c r="F96" s="92">
        <v>6</v>
      </c>
      <c r="G96" s="92">
        <v>0</v>
      </c>
      <c r="H96" s="92">
        <v>13</v>
      </c>
    </row>
    <row r="97" spans="1:8" ht="17.25" customHeight="1">
      <c r="A97" s="514" t="s">
        <v>830</v>
      </c>
      <c r="B97" s="515">
        <v>1</v>
      </c>
      <c r="C97" s="515">
        <v>2</v>
      </c>
      <c r="D97" s="515"/>
      <c r="E97" s="515">
        <v>1</v>
      </c>
      <c r="F97" s="515">
        <v>5</v>
      </c>
      <c r="G97" s="515"/>
      <c r="H97" s="515">
        <v>13</v>
      </c>
    </row>
    <row r="98" spans="1:8" ht="17.25" customHeight="1">
      <c r="A98" s="514" t="s">
        <v>829</v>
      </c>
      <c r="B98" s="515">
        <v>1</v>
      </c>
      <c r="C98" s="515">
        <v>2</v>
      </c>
      <c r="D98" s="515"/>
      <c r="E98" s="515"/>
      <c r="F98" s="515">
        <v>5</v>
      </c>
      <c r="G98" s="515"/>
      <c r="H98" s="515">
        <v>13</v>
      </c>
    </row>
    <row r="99" spans="1:8" ht="17.25" customHeight="1">
      <c r="A99" s="514" t="s">
        <v>828</v>
      </c>
      <c r="B99" s="515">
        <v>1</v>
      </c>
      <c r="C99" s="515">
        <v>2</v>
      </c>
      <c r="D99" s="515">
        <v>0</v>
      </c>
      <c r="E99" s="515">
        <v>0</v>
      </c>
      <c r="F99" s="515">
        <v>3</v>
      </c>
      <c r="G99" s="515">
        <v>0</v>
      </c>
      <c r="H99" s="515">
        <v>13</v>
      </c>
    </row>
    <row r="100" spans="1:8" ht="17.25" customHeight="1">
      <c r="A100" s="511" t="s">
        <v>761</v>
      </c>
      <c r="B100" s="512"/>
      <c r="C100" s="512"/>
      <c r="D100" s="512"/>
      <c r="E100" s="512"/>
      <c r="F100" s="512"/>
      <c r="G100" s="512"/>
      <c r="H100" s="513"/>
    </row>
    <row r="101" spans="1:8" ht="17.25" customHeight="1">
      <c r="A101" s="514" t="s">
        <v>832</v>
      </c>
      <c r="B101" s="515"/>
      <c r="C101" s="515">
        <v>1</v>
      </c>
      <c r="D101" s="515"/>
      <c r="E101" s="515"/>
      <c r="F101" s="515"/>
      <c r="G101" s="515"/>
      <c r="H101" s="515"/>
    </row>
    <row r="102" spans="1:8" ht="17.25" customHeight="1">
      <c r="A102" s="511" t="s">
        <v>33</v>
      </c>
      <c r="B102" s="512"/>
      <c r="C102" s="512"/>
      <c r="D102" s="512"/>
      <c r="E102" s="512"/>
      <c r="F102" s="512"/>
      <c r="G102" s="512"/>
      <c r="H102" s="513"/>
    </row>
    <row r="103" spans="1:8" ht="17.25" customHeight="1">
      <c r="A103" s="514" t="s">
        <v>832</v>
      </c>
      <c r="B103" s="515">
        <v>2</v>
      </c>
      <c r="C103" s="515">
        <v>1</v>
      </c>
      <c r="D103" s="515"/>
      <c r="E103" s="515"/>
      <c r="F103" s="515">
        <v>8</v>
      </c>
      <c r="G103" s="515">
        <v>33</v>
      </c>
      <c r="H103" s="515">
        <v>21</v>
      </c>
    </row>
    <row r="104" spans="1:8" ht="17.25" customHeight="1">
      <c r="A104" s="514" t="s">
        <v>831</v>
      </c>
      <c r="B104" s="92">
        <v>2</v>
      </c>
      <c r="C104" s="92">
        <v>1</v>
      </c>
      <c r="D104" s="92">
        <v>0</v>
      </c>
      <c r="E104" s="92">
        <v>0</v>
      </c>
      <c r="F104" s="92">
        <v>8</v>
      </c>
      <c r="G104" s="92">
        <v>31</v>
      </c>
      <c r="H104" s="92">
        <v>22</v>
      </c>
    </row>
    <row r="105" spans="1:8" ht="17.25" customHeight="1">
      <c r="A105" s="514" t="s">
        <v>830</v>
      </c>
      <c r="B105" s="515">
        <v>2</v>
      </c>
      <c r="C105" s="515">
        <v>1</v>
      </c>
      <c r="D105" s="515"/>
      <c r="E105" s="515"/>
      <c r="F105" s="515">
        <v>7</v>
      </c>
      <c r="G105" s="515">
        <v>22</v>
      </c>
      <c r="H105" s="515">
        <v>19</v>
      </c>
    </row>
    <row r="106" spans="1:8" ht="17.25" customHeight="1">
      <c r="A106" s="514" t="s">
        <v>829</v>
      </c>
      <c r="B106" s="515">
        <v>2</v>
      </c>
      <c r="C106" s="515">
        <v>1</v>
      </c>
      <c r="D106" s="515"/>
      <c r="E106" s="515"/>
      <c r="F106" s="515">
        <v>8</v>
      </c>
      <c r="G106" s="515">
        <v>18</v>
      </c>
      <c r="H106" s="515">
        <v>18</v>
      </c>
    </row>
    <row r="107" spans="1:8" ht="17.25" customHeight="1">
      <c r="A107" s="514" t="s">
        <v>828</v>
      </c>
      <c r="B107" s="515">
        <v>2</v>
      </c>
      <c r="C107" s="515">
        <v>1</v>
      </c>
      <c r="D107" s="515">
        <v>0</v>
      </c>
      <c r="E107" s="515">
        <v>0</v>
      </c>
      <c r="F107" s="515">
        <v>7</v>
      </c>
      <c r="G107" s="515">
        <v>14</v>
      </c>
      <c r="H107" s="515">
        <v>18</v>
      </c>
    </row>
    <row r="108" spans="1:8" ht="17.25" customHeight="1">
      <c r="A108" s="511" t="s">
        <v>34</v>
      </c>
      <c r="B108" s="512"/>
      <c r="C108" s="512"/>
      <c r="D108" s="512"/>
      <c r="E108" s="512"/>
      <c r="F108" s="512"/>
      <c r="G108" s="512"/>
      <c r="H108" s="513"/>
    </row>
    <row r="109" spans="1:8" ht="17.25" customHeight="1">
      <c r="A109" s="514" t="s">
        <v>832</v>
      </c>
      <c r="B109" s="515">
        <v>1</v>
      </c>
      <c r="C109" s="515">
        <v>7</v>
      </c>
      <c r="D109" s="515">
        <v>2</v>
      </c>
      <c r="E109" s="515">
        <v>12</v>
      </c>
      <c r="F109" s="515">
        <v>8</v>
      </c>
      <c r="G109" s="515">
        <v>11</v>
      </c>
      <c r="H109" s="515">
        <v>23</v>
      </c>
    </row>
    <row r="110" spans="1:8" ht="17.25" customHeight="1">
      <c r="A110" s="514" t="s">
        <v>831</v>
      </c>
      <c r="B110" s="92">
        <v>1</v>
      </c>
      <c r="C110" s="92">
        <v>7</v>
      </c>
      <c r="D110" s="92">
        <v>2</v>
      </c>
      <c r="E110" s="92">
        <v>12</v>
      </c>
      <c r="F110" s="92">
        <v>6</v>
      </c>
      <c r="G110" s="92">
        <v>11</v>
      </c>
      <c r="H110" s="92">
        <v>22</v>
      </c>
    </row>
    <row r="111" spans="1:8" ht="17.25" customHeight="1">
      <c r="A111" s="514" t="s">
        <v>830</v>
      </c>
      <c r="B111" s="515">
        <v>1</v>
      </c>
      <c r="C111" s="515">
        <v>7</v>
      </c>
      <c r="D111" s="515">
        <v>2</v>
      </c>
      <c r="E111" s="515">
        <v>12</v>
      </c>
      <c r="F111" s="515">
        <v>5</v>
      </c>
      <c r="G111" s="515">
        <v>4</v>
      </c>
      <c r="H111" s="515">
        <v>22</v>
      </c>
    </row>
    <row r="112" spans="1:8" ht="17.25" customHeight="1">
      <c r="A112" s="514" t="s">
        <v>829</v>
      </c>
      <c r="B112" s="515">
        <v>1</v>
      </c>
      <c r="C112" s="515">
        <v>7</v>
      </c>
      <c r="D112" s="515">
        <v>2</v>
      </c>
      <c r="E112" s="515">
        <v>12</v>
      </c>
      <c r="F112" s="515">
        <v>5</v>
      </c>
      <c r="G112" s="515">
        <v>1</v>
      </c>
      <c r="H112" s="515">
        <v>20</v>
      </c>
    </row>
    <row r="113" spans="1:8" ht="17.25" customHeight="1">
      <c r="A113" s="514" t="s">
        <v>828</v>
      </c>
      <c r="B113" s="515">
        <v>1</v>
      </c>
      <c r="C113" s="515">
        <v>7</v>
      </c>
      <c r="D113" s="515">
        <v>2</v>
      </c>
      <c r="E113" s="515">
        <v>12</v>
      </c>
      <c r="F113" s="515">
        <v>3</v>
      </c>
      <c r="G113" s="515">
        <v>0</v>
      </c>
      <c r="H113" s="515">
        <v>19</v>
      </c>
    </row>
    <row r="114" spans="1:8" ht="17.25" customHeight="1">
      <c r="A114" s="511" t="s">
        <v>35</v>
      </c>
      <c r="B114" s="512"/>
      <c r="C114" s="512"/>
      <c r="D114" s="512"/>
      <c r="E114" s="512"/>
      <c r="F114" s="512"/>
      <c r="G114" s="512"/>
      <c r="H114" s="513"/>
    </row>
    <row r="115" spans="1:8" ht="17.25" customHeight="1">
      <c r="A115" s="514" t="s">
        <v>832</v>
      </c>
      <c r="B115" s="515">
        <v>3</v>
      </c>
      <c r="C115" s="515"/>
      <c r="D115" s="515"/>
      <c r="E115" s="515"/>
      <c r="F115" s="515">
        <v>2</v>
      </c>
      <c r="G115" s="515"/>
      <c r="H115" s="515">
        <v>3</v>
      </c>
    </row>
    <row r="116" spans="1:8" ht="17.25" customHeight="1">
      <c r="A116" s="514" t="s">
        <v>831</v>
      </c>
      <c r="B116" s="92">
        <v>2</v>
      </c>
      <c r="C116" s="92">
        <v>0</v>
      </c>
      <c r="D116" s="92">
        <v>0</v>
      </c>
      <c r="E116" s="92">
        <v>0</v>
      </c>
      <c r="F116" s="92">
        <v>2</v>
      </c>
      <c r="G116" s="92">
        <v>0</v>
      </c>
      <c r="H116" s="92">
        <v>2</v>
      </c>
    </row>
    <row r="117" spans="1:8" ht="17.25" customHeight="1">
      <c r="A117" s="514" t="s">
        <v>830</v>
      </c>
      <c r="B117" s="515">
        <v>2</v>
      </c>
      <c r="C117" s="515"/>
      <c r="D117" s="515"/>
      <c r="E117" s="515"/>
      <c r="F117" s="515">
        <v>2</v>
      </c>
      <c r="G117" s="515"/>
      <c r="H117" s="515">
        <v>1</v>
      </c>
    </row>
    <row r="118" spans="1:8" ht="17.25" customHeight="1">
      <c r="A118" s="514" t="s">
        <v>829</v>
      </c>
      <c r="B118" s="515">
        <v>2</v>
      </c>
      <c r="C118" s="515"/>
      <c r="D118" s="515"/>
      <c r="E118" s="515"/>
      <c r="F118" s="515">
        <v>2</v>
      </c>
      <c r="G118" s="515">
        <v>1</v>
      </c>
      <c r="H118" s="515">
        <v>1</v>
      </c>
    </row>
    <row r="119" spans="1:8" ht="17.25" customHeight="1">
      <c r="A119" s="514" t="s">
        <v>828</v>
      </c>
      <c r="B119" s="515">
        <v>2</v>
      </c>
      <c r="C119" s="515">
        <v>0</v>
      </c>
      <c r="D119" s="515">
        <v>0</v>
      </c>
      <c r="E119" s="515">
        <v>0</v>
      </c>
      <c r="F119" s="515">
        <v>1</v>
      </c>
      <c r="G119" s="515">
        <v>0</v>
      </c>
      <c r="H119" s="515">
        <v>0</v>
      </c>
    </row>
    <row r="120" spans="1:8" ht="17.25" customHeight="1">
      <c r="A120" s="511" t="s">
        <v>36</v>
      </c>
      <c r="B120" s="512"/>
      <c r="C120" s="512"/>
      <c r="D120" s="512"/>
      <c r="E120" s="512"/>
      <c r="F120" s="512"/>
      <c r="G120" s="512"/>
      <c r="H120" s="513"/>
    </row>
    <row r="121" spans="1:8" ht="17.25" customHeight="1">
      <c r="A121" s="514" t="s">
        <v>832</v>
      </c>
      <c r="B121" s="515">
        <v>1</v>
      </c>
      <c r="C121" s="515"/>
      <c r="D121" s="515"/>
      <c r="E121" s="515"/>
      <c r="F121" s="515">
        <v>2</v>
      </c>
      <c r="G121" s="515">
        <v>7</v>
      </c>
      <c r="H121" s="515"/>
    </row>
    <row r="122" spans="1:8" ht="17.25" customHeight="1">
      <c r="A122" s="514" t="s">
        <v>831</v>
      </c>
      <c r="B122" s="92">
        <v>1</v>
      </c>
      <c r="C122" s="92">
        <v>0</v>
      </c>
      <c r="D122" s="92">
        <v>0</v>
      </c>
      <c r="E122" s="92">
        <v>0</v>
      </c>
      <c r="F122" s="92">
        <v>2</v>
      </c>
      <c r="G122" s="92">
        <v>7</v>
      </c>
      <c r="H122" s="92">
        <v>0</v>
      </c>
    </row>
    <row r="123" spans="1:8" ht="17.25" customHeight="1">
      <c r="A123" s="514" t="s">
        <v>830</v>
      </c>
      <c r="B123" s="515">
        <v>1</v>
      </c>
      <c r="C123" s="515"/>
      <c r="D123" s="515"/>
      <c r="E123" s="515"/>
      <c r="F123" s="515">
        <v>1</v>
      </c>
      <c r="G123" s="515">
        <v>6</v>
      </c>
      <c r="H123" s="515"/>
    </row>
    <row r="124" spans="1:8" ht="17.25" customHeight="1">
      <c r="A124" s="514" t="s">
        <v>829</v>
      </c>
      <c r="B124" s="515">
        <v>1</v>
      </c>
      <c r="C124" s="515"/>
      <c r="D124" s="515"/>
      <c r="E124" s="515"/>
      <c r="F124" s="515">
        <v>1</v>
      </c>
      <c r="G124" s="515">
        <v>8</v>
      </c>
      <c r="H124" s="515"/>
    </row>
    <row r="125" spans="1:8" ht="17.25" customHeight="1">
      <c r="A125" s="514" t="s">
        <v>828</v>
      </c>
      <c r="B125" s="515">
        <v>1</v>
      </c>
      <c r="C125" s="515">
        <v>0</v>
      </c>
      <c r="D125" s="515">
        <v>0</v>
      </c>
      <c r="E125" s="515">
        <v>0</v>
      </c>
      <c r="F125" s="515">
        <v>1</v>
      </c>
      <c r="G125" s="515">
        <v>8</v>
      </c>
      <c r="H125" s="515">
        <v>0</v>
      </c>
    </row>
    <row r="126" spans="1:8" ht="17.25" customHeight="1">
      <c r="A126" s="511" t="s">
        <v>37</v>
      </c>
      <c r="B126" s="512"/>
      <c r="C126" s="512"/>
      <c r="D126" s="512"/>
      <c r="E126" s="512"/>
      <c r="F126" s="512"/>
      <c r="G126" s="512"/>
      <c r="H126" s="513"/>
    </row>
    <row r="127" spans="1:8" ht="17.25" customHeight="1">
      <c r="A127" s="514" t="s">
        <v>832</v>
      </c>
      <c r="B127" s="515">
        <v>1</v>
      </c>
      <c r="C127" s="515"/>
      <c r="D127" s="515"/>
      <c r="E127" s="515"/>
      <c r="F127" s="515">
        <v>1</v>
      </c>
      <c r="G127" s="515">
        <v>1</v>
      </c>
      <c r="H127" s="515"/>
    </row>
    <row r="128" spans="1:8" ht="17.25" customHeight="1">
      <c r="A128" s="514" t="s">
        <v>831</v>
      </c>
      <c r="B128" s="92">
        <v>1</v>
      </c>
      <c r="C128" s="92">
        <v>0</v>
      </c>
      <c r="D128" s="92">
        <v>0</v>
      </c>
      <c r="E128" s="92">
        <v>0</v>
      </c>
      <c r="F128" s="92">
        <v>1</v>
      </c>
      <c r="G128" s="92">
        <v>1</v>
      </c>
      <c r="H128" s="92">
        <v>0</v>
      </c>
    </row>
    <row r="129" spans="1:8" ht="17.25" customHeight="1">
      <c r="A129" s="514" t="s">
        <v>830</v>
      </c>
      <c r="B129" s="515">
        <v>1</v>
      </c>
      <c r="C129" s="515"/>
      <c r="D129" s="515"/>
      <c r="E129" s="515"/>
      <c r="F129" s="515">
        <v>1</v>
      </c>
      <c r="G129" s="515">
        <v>1</v>
      </c>
      <c r="H129" s="515"/>
    </row>
    <row r="130" spans="1:8" ht="17.25" customHeight="1">
      <c r="A130" s="514" t="s">
        <v>829</v>
      </c>
      <c r="B130" s="515">
        <v>1</v>
      </c>
      <c r="C130" s="515"/>
      <c r="D130" s="515"/>
      <c r="E130" s="515"/>
      <c r="F130" s="515">
        <v>1</v>
      </c>
      <c r="G130" s="515">
        <v>1</v>
      </c>
      <c r="H130" s="515"/>
    </row>
    <row r="131" spans="1:8" ht="17.25" customHeight="1">
      <c r="A131" s="514" t="s">
        <v>828</v>
      </c>
      <c r="B131" s="515">
        <v>1</v>
      </c>
      <c r="C131" s="515">
        <v>0</v>
      </c>
      <c r="D131" s="515">
        <v>0</v>
      </c>
      <c r="E131" s="515">
        <v>0</v>
      </c>
      <c r="F131" s="515">
        <v>1</v>
      </c>
      <c r="G131" s="515">
        <v>1</v>
      </c>
      <c r="H131" s="515">
        <v>0</v>
      </c>
    </row>
    <row r="132" spans="1:8" ht="17.25" customHeight="1">
      <c r="A132" s="511" t="s">
        <v>38</v>
      </c>
      <c r="B132" s="512"/>
      <c r="C132" s="512"/>
      <c r="D132" s="512"/>
      <c r="E132" s="512"/>
      <c r="F132" s="512"/>
      <c r="G132" s="512"/>
      <c r="H132" s="513"/>
    </row>
    <row r="133" spans="1:8" ht="17.25" customHeight="1">
      <c r="A133" s="514" t="s">
        <v>832</v>
      </c>
      <c r="B133" s="515">
        <v>1</v>
      </c>
      <c r="C133" s="515"/>
      <c r="D133" s="515"/>
      <c r="E133" s="515"/>
      <c r="F133" s="515">
        <v>1</v>
      </c>
      <c r="G133" s="515">
        <v>3</v>
      </c>
      <c r="H133" s="515"/>
    </row>
    <row r="134" spans="1:8" ht="17.25" customHeight="1">
      <c r="A134" s="514" t="s">
        <v>831</v>
      </c>
      <c r="B134" s="92">
        <v>1</v>
      </c>
      <c r="C134" s="92">
        <v>0</v>
      </c>
      <c r="D134" s="92">
        <v>0</v>
      </c>
      <c r="E134" s="92">
        <v>0</v>
      </c>
      <c r="F134" s="92">
        <v>1</v>
      </c>
      <c r="G134" s="92">
        <v>3</v>
      </c>
      <c r="H134" s="92">
        <v>0</v>
      </c>
    </row>
    <row r="135" spans="1:8" ht="17.25" customHeight="1">
      <c r="A135" s="514" t="s">
        <v>830</v>
      </c>
      <c r="B135" s="515">
        <v>1</v>
      </c>
      <c r="C135" s="515"/>
      <c r="D135" s="515"/>
      <c r="E135" s="515"/>
      <c r="F135" s="515">
        <v>1</v>
      </c>
      <c r="G135" s="515">
        <v>3</v>
      </c>
      <c r="H135" s="515"/>
    </row>
    <row r="136" spans="1:8" ht="17.25" customHeight="1">
      <c r="A136" s="514" t="s">
        <v>829</v>
      </c>
      <c r="B136" s="515">
        <v>1</v>
      </c>
      <c r="C136" s="515"/>
      <c r="D136" s="515"/>
      <c r="E136" s="515"/>
      <c r="F136" s="515">
        <v>1</v>
      </c>
      <c r="G136" s="515">
        <v>3</v>
      </c>
      <c r="H136" s="515"/>
    </row>
    <row r="137" spans="1:8" ht="17.25" customHeight="1">
      <c r="A137" s="514" t="s">
        <v>828</v>
      </c>
      <c r="B137" s="515">
        <v>1</v>
      </c>
      <c r="C137" s="515">
        <v>0</v>
      </c>
      <c r="D137" s="515">
        <v>0</v>
      </c>
      <c r="E137" s="515">
        <v>0</v>
      </c>
      <c r="F137" s="515">
        <v>1</v>
      </c>
      <c r="G137" s="515">
        <v>2</v>
      </c>
      <c r="H137" s="515">
        <v>0</v>
      </c>
    </row>
    <row r="138" spans="1:8" ht="17.25" customHeight="1">
      <c r="A138" s="511" t="s">
        <v>39</v>
      </c>
      <c r="B138" s="512"/>
      <c r="C138" s="512"/>
      <c r="D138" s="512"/>
      <c r="E138" s="512"/>
      <c r="F138" s="512"/>
      <c r="G138" s="512"/>
      <c r="H138" s="513"/>
    </row>
    <row r="139" spans="1:8" ht="17.25" customHeight="1">
      <c r="A139" s="514" t="s">
        <v>832</v>
      </c>
      <c r="B139" s="515">
        <v>1</v>
      </c>
      <c r="C139" s="515"/>
      <c r="D139" s="515"/>
      <c r="E139" s="515">
        <v>3</v>
      </c>
      <c r="F139" s="515">
        <v>5</v>
      </c>
      <c r="G139" s="515">
        <v>6</v>
      </c>
      <c r="H139" s="515">
        <v>16</v>
      </c>
    </row>
    <row r="140" spans="1:8" ht="17.25" customHeight="1">
      <c r="A140" s="514" t="s">
        <v>831</v>
      </c>
      <c r="B140" s="92">
        <v>1</v>
      </c>
      <c r="C140" s="92">
        <v>0</v>
      </c>
      <c r="D140" s="92">
        <v>0</v>
      </c>
      <c r="E140" s="92">
        <v>2</v>
      </c>
      <c r="F140" s="92">
        <v>5</v>
      </c>
      <c r="G140" s="92">
        <v>4</v>
      </c>
      <c r="H140" s="92">
        <v>15</v>
      </c>
    </row>
    <row r="141" spans="1:8" ht="17.25" customHeight="1">
      <c r="A141" s="514" t="s">
        <v>830</v>
      </c>
      <c r="B141" s="515">
        <v>1</v>
      </c>
      <c r="C141" s="515"/>
      <c r="D141" s="515"/>
      <c r="E141" s="515">
        <v>2</v>
      </c>
      <c r="F141" s="515">
        <v>4</v>
      </c>
      <c r="G141" s="515">
        <v>3</v>
      </c>
      <c r="H141" s="515">
        <v>14</v>
      </c>
    </row>
    <row r="142" spans="1:8" ht="17.25" customHeight="1">
      <c r="A142" s="514" t="s">
        <v>829</v>
      </c>
      <c r="B142" s="515">
        <v>1</v>
      </c>
      <c r="C142" s="515"/>
      <c r="D142" s="515"/>
      <c r="E142" s="515">
        <v>2</v>
      </c>
      <c r="F142" s="515">
        <v>4</v>
      </c>
      <c r="G142" s="515">
        <v>3</v>
      </c>
      <c r="H142" s="515">
        <v>14</v>
      </c>
    </row>
    <row r="143" spans="1:8" ht="17.25" customHeight="1">
      <c r="A143" s="514" t="s">
        <v>828</v>
      </c>
      <c r="B143" s="515">
        <v>1</v>
      </c>
      <c r="C143" s="515">
        <v>0</v>
      </c>
      <c r="D143" s="515">
        <v>0</v>
      </c>
      <c r="E143" s="515">
        <v>2</v>
      </c>
      <c r="F143" s="515">
        <v>3</v>
      </c>
      <c r="G143" s="515">
        <v>3</v>
      </c>
      <c r="H143" s="515">
        <v>12</v>
      </c>
    </row>
    <row r="144" spans="1:8" ht="17.25" customHeight="1">
      <c r="A144" s="511" t="s">
        <v>40</v>
      </c>
      <c r="B144" s="512"/>
      <c r="C144" s="512"/>
      <c r="D144" s="512"/>
      <c r="E144" s="512"/>
      <c r="F144" s="512"/>
      <c r="G144" s="512"/>
      <c r="H144" s="513"/>
    </row>
    <row r="145" spans="1:8" ht="17.25" customHeight="1">
      <c r="A145" s="514" t="s">
        <v>832</v>
      </c>
      <c r="B145" s="515">
        <v>1</v>
      </c>
      <c r="C145" s="515"/>
      <c r="D145" s="515"/>
      <c r="E145" s="515">
        <v>1</v>
      </c>
      <c r="F145" s="515">
        <v>2</v>
      </c>
      <c r="G145" s="515"/>
      <c r="H145" s="515"/>
    </row>
    <row r="146" spans="1:8" ht="17.25" customHeight="1">
      <c r="A146" s="514" t="s">
        <v>831</v>
      </c>
      <c r="B146" s="92">
        <v>1</v>
      </c>
      <c r="C146" s="92">
        <v>0</v>
      </c>
      <c r="D146" s="92">
        <v>0</v>
      </c>
      <c r="E146" s="92">
        <v>1</v>
      </c>
      <c r="F146" s="92">
        <v>2</v>
      </c>
      <c r="G146" s="92">
        <v>0</v>
      </c>
      <c r="H146" s="92">
        <v>0</v>
      </c>
    </row>
    <row r="147" spans="1:8" ht="17.25" customHeight="1">
      <c r="A147" s="514" t="s">
        <v>830</v>
      </c>
      <c r="B147" s="515">
        <v>1</v>
      </c>
      <c r="C147" s="515"/>
      <c r="D147" s="515"/>
      <c r="E147" s="515">
        <v>1</v>
      </c>
      <c r="F147" s="515">
        <v>2</v>
      </c>
      <c r="G147" s="515"/>
      <c r="H147" s="515"/>
    </row>
    <row r="148" spans="1:8" ht="17.25" customHeight="1">
      <c r="A148" s="514" t="s">
        <v>829</v>
      </c>
      <c r="B148" s="515">
        <v>1</v>
      </c>
      <c r="C148" s="515"/>
      <c r="D148" s="515"/>
      <c r="E148" s="515">
        <v>1</v>
      </c>
      <c r="F148" s="515">
        <v>2</v>
      </c>
      <c r="G148" s="515"/>
      <c r="H148" s="515"/>
    </row>
    <row r="149" spans="1:8" ht="17.25" customHeight="1">
      <c r="A149" s="514" t="s">
        <v>828</v>
      </c>
      <c r="B149" s="515">
        <v>1</v>
      </c>
      <c r="C149" s="515">
        <v>0</v>
      </c>
      <c r="D149" s="515">
        <v>0</v>
      </c>
      <c r="E149" s="515">
        <v>1</v>
      </c>
      <c r="F149" s="515">
        <v>2</v>
      </c>
      <c r="G149" s="515">
        <v>0</v>
      </c>
      <c r="H149" s="515">
        <v>0</v>
      </c>
    </row>
    <row r="150" spans="1:8" ht="17.25" customHeight="1">
      <c r="A150" s="511" t="s">
        <v>41</v>
      </c>
      <c r="B150" s="512"/>
      <c r="C150" s="512"/>
      <c r="D150" s="512"/>
      <c r="E150" s="512"/>
      <c r="F150" s="512"/>
      <c r="G150" s="512"/>
      <c r="H150" s="513"/>
    </row>
    <row r="151" spans="1:8" ht="17.25" customHeight="1">
      <c r="A151" s="514" t="s">
        <v>832</v>
      </c>
      <c r="B151" s="515">
        <v>1</v>
      </c>
      <c r="C151" s="515">
        <v>1</v>
      </c>
      <c r="D151" s="515"/>
      <c r="E151" s="515">
        <v>1</v>
      </c>
      <c r="F151" s="515">
        <v>5</v>
      </c>
      <c r="G151" s="515">
        <v>15</v>
      </c>
      <c r="H151" s="515">
        <v>9</v>
      </c>
    </row>
    <row r="152" spans="1:8" ht="17.25" customHeight="1">
      <c r="A152" s="514" t="s">
        <v>831</v>
      </c>
      <c r="B152" s="92">
        <v>1</v>
      </c>
      <c r="C152" s="92">
        <v>1</v>
      </c>
      <c r="D152" s="92">
        <v>0</v>
      </c>
      <c r="E152" s="92">
        <v>1</v>
      </c>
      <c r="F152" s="92">
        <v>5</v>
      </c>
      <c r="G152" s="92">
        <v>15</v>
      </c>
      <c r="H152" s="92">
        <v>9</v>
      </c>
    </row>
    <row r="153" spans="1:8" ht="17.25" customHeight="1">
      <c r="A153" s="514" t="s">
        <v>830</v>
      </c>
      <c r="B153" s="515">
        <v>1</v>
      </c>
      <c r="C153" s="515">
        <v>1</v>
      </c>
      <c r="D153" s="515"/>
      <c r="E153" s="515">
        <v>1</v>
      </c>
      <c r="F153" s="515">
        <v>4</v>
      </c>
      <c r="G153" s="515">
        <v>15</v>
      </c>
      <c r="H153" s="515">
        <v>9</v>
      </c>
    </row>
    <row r="154" spans="1:8" ht="17.25" customHeight="1">
      <c r="A154" s="514" t="s">
        <v>829</v>
      </c>
      <c r="B154" s="515">
        <v>1</v>
      </c>
      <c r="C154" s="515">
        <v>1</v>
      </c>
      <c r="D154" s="515"/>
      <c r="E154" s="515">
        <v>1</v>
      </c>
      <c r="F154" s="515">
        <v>4</v>
      </c>
      <c r="G154" s="515">
        <v>12</v>
      </c>
      <c r="H154" s="515">
        <v>9</v>
      </c>
    </row>
    <row r="155" spans="1:8" ht="17.25" customHeight="1">
      <c r="A155" s="514" t="s">
        <v>828</v>
      </c>
      <c r="B155" s="515">
        <v>1</v>
      </c>
      <c r="C155" s="515">
        <v>1</v>
      </c>
      <c r="D155" s="515">
        <v>0</v>
      </c>
      <c r="E155" s="515">
        <v>1</v>
      </c>
      <c r="F155" s="515">
        <v>4</v>
      </c>
      <c r="G155" s="515">
        <v>10</v>
      </c>
      <c r="H155" s="515">
        <v>9</v>
      </c>
    </row>
    <row r="156" spans="1:8" ht="17.25" customHeight="1">
      <c r="A156" s="511" t="s">
        <v>42</v>
      </c>
      <c r="B156" s="512"/>
      <c r="C156" s="512"/>
      <c r="D156" s="512"/>
      <c r="E156" s="512"/>
      <c r="F156" s="512"/>
      <c r="G156" s="512"/>
      <c r="H156" s="513"/>
    </row>
    <row r="157" spans="1:8" ht="17.25" customHeight="1">
      <c r="A157" s="514" t="s">
        <v>832</v>
      </c>
      <c r="B157" s="515">
        <v>1</v>
      </c>
      <c r="C157" s="515"/>
      <c r="D157" s="515"/>
      <c r="E157" s="515">
        <v>7</v>
      </c>
      <c r="F157" s="515">
        <v>5</v>
      </c>
      <c r="G157" s="515">
        <v>50</v>
      </c>
      <c r="H157" s="515">
        <v>25</v>
      </c>
    </row>
    <row r="158" spans="1:8" ht="17.25" customHeight="1">
      <c r="A158" s="514" t="s">
        <v>831</v>
      </c>
      <c r="B158" s="92">
        <v>1</v>
      </c>
      <c r="C158" s="92">
        <v>0</v>
      </c>
      <c r="D158" s="92">
        <v>0</v>
      </c>
      <c r="E158" s="92">
        <v>8</v>
      </c>
      <c r="F158" s="92">
        <v>5</v>
      </c>
      <c r="G158" s="92">
        <v>45</v>
      </c>
      <c r="H158" s="92">
        <v>23</v>
      </c>
    </row>
    <row r="159" spans="1:8" ht="17.25" customHeight="1">
      <c r="A159" s="514" t="s">
        <v>830</v>
      </c>
      <c r="B159" s="515">
        <v>1</v>
      </c>
      <c r="C159" s="515"/>
      <c r="D159" s="515"/>
      <c r="E159" s="515">
        <v>8</v>
      </c>
      <c r="F159" s="515">
        <v>4</v>
      </c>
      <c r="G159" s="515">
        <v>43</v>
      </c>
      <c r="H159" s="515">
        <v>22</v>
      </c>
    </row>
    <row r="160" spans="1:8" ht="17.25" customHeight="1">
      <c r="A160" s="514" t="s">
        <v>829</v>
      </c>
      <c r="B160" s="515">
        <v>1</v>
      </c>
      <c r="C160" s="515"/>
      <c r="D160" s="515"/>
      <c r="E160" s="515">
        <v>8</v>
      </c>
      <c r="F160" s="515">
        <v>4</v>
      </c>
      <c r="G160" s="515">
        <v>42</v>
      </c>
      <c r="H160" s="515">
        <v>22</v>
      </c>
    </row>
    <row r="161" spans="1:8" ht="17.25" customHeight="1">
      <c r="A161" s="514" t="s">
        <v>828</v>
      </c>
      <c r="B161" s="515">
        <v>1</v>
      </c>
      <c r="C161" s="515">
        <v>0</v>
      </c>
      <c r="D161" s="515">
        <v>0</v>
      </c>
      <c r="E161" s="515">
        <v>8</v>
      </c>
      <c r="F161" s="515">
        <v>3</v>
      </c>
      <c r="G161" s="515">
        <v>34</v>
      </c>
      <c r="H161" s="515">
        <v>22</v>
      </c>
    </row>
    <row r="162" spans="1:8" ht="17.25" customHeight="1">
      <c r="A162" s="511" t="s">
        <v>43</v>
      </c>
      <c r="B162" s="512"/>
      <c r="C162" s="512"/>
      <c r="D162" s="512"/>
      <c r="E162" s="512"/>
      <c r="F162" s="512"/>
      <c r="G162" s="512"/>
      <c r="H162" s="513"/>
    </row>
    <row r="163" spans="1:8" ht="17.25" customHeight="1">
      <c r="A163" s="514" t="s">
        <v>832</v>
      </c>
      <c r="B163" s="515">
        <v>1</v>
      </c>
      <c r="C163" s="515"/>
      <c r="D163" s="515"/>
      <c r="E163" s="515"/>
      <c r="F163" s="515">
        <v>1</v>
      </c>
      <c r="G163" s="515">
        <v>5</v>
      </c>
      <c r="H163" s="515">
        <v>1</v>
      </c>
    </row>
    <row r="164" spans="1:8" ht="17.25" customHeight="1">
      <c r="A164" s="514" t="s">
        <v>831</v>
      </c>
      <c r="B164" s="92">
        <v>1</v>
      </c>
      <c r="C164" s="92">
        <v>0</v>
      </c>
      <c r="D164" s="92">
        <v>0</v>
      </c>
      <c r="E164" s="92">
        <v>0</v>
      </c>
      <c r="F164" s="92">
        <v>1</v>
      </c>
      <c r="G164" s="92">
        <v>5</v>
      </c>
      <c r="H164" s="92">
        <v>0</v>
      </c>
    </row>
    <row r="165" spans="1:8" ht="17.25" customHeight="1">
      <c r="A165" s="514" t="s">
        <v>830</v>
      </c>
      <c r="B165" s="515">
        <v>1</v>
      </c>
      <c r="C165" s="515"/>
      <c r="D165" s="515"/>
      <c r="E165" s="515"/>
      <c r="F165" s="515">
        <v>1</v>
      </c>
      <c r="G165" s="515">
        <v>5</v>
      </c>
      <c r="H165" s="515"/>
    </row>
    <row r="166" spans="1:8" ht="17.25" customHeight="1">
      <c r="A166" s="514" t="s">
        <v>829</v>
      </c>
      <c r="B166" s="515">
        <v>1</v>
      </c>
      <c r="C166" s="515"/>
      <c r="D166" s="515"/>
      <c r="E166" s="515"/>
      <c r="F166" s="515">
        <v>1</v>
      </c>
      <c r="G166" s="515">
        <v>5</v>
      </c>
      <c r="H166" s="515"/>
    </row>
    <row r="167" spans="1:8" ht="17.25" customHeight="1">
      <c r="A167" s="514" t="s">
        <v>828</v>
      </c>
      <c r="B167" s="515">
        <v>1</v>
      </c>
      <c r="C167" s="515">
        <v>0</v>
      </c>
      <c r="D167" s="515">
        <v>0</v>
      </c>
      <c r="E167" s="515">
        <v>0</v>
      </c>
      <c r="F167" s="515">
        <v>1</v>
      </c>
      <c r="G167" s="515">
        <v>5</v>
      </c>
      <c r="H167" s="515">
        <v>0</v>
      </c>
    </row>
    <row r="168" spans="1:8" ht="17.25" customHeight="1">
      <c r="A168" s="511" t="s">
        <v>44</v>
      </c>
      <c r="B168" s="512"/>
      <c r="C168" s="512"/>
      <c r="D168" s="512"/>
      <c r="E168" s="512"/>
      <c r="F168" s="512"/>
      <c r="G168" s="512"/>
      <c r="H168" s="513"/>
    </row>
    <row r="169" spans="1:8" ht="17.25" customHeight="1">
      <c r="A169" s="514" t="s">
        <v>832</v>
      </c>
      <c r="B169" s="515">
        <v>2</v>
      </c>
      <c r="C169" s="515"/>
      <c r="D169" s="515">
        <v>2</v>
      </c>
      <c r="E169" s="515">
        <v>26</v>
      </c>
      <c r="F169" s="515">
        <v>7</v>
      </c>
      <c r="G169" s="515"/>
      <c r="H169" s="515">
        <v>21</v>
      </c>
    </row>
    <row r="170" spans="1:8" ht="17.25" customHeight="1">
      <c r="A170" s="514" t="s">
        <v>831</v>
      </c>
      <c r="B170" s="92">
        <v>2</v>
      </c>
      <c r="C170" s="92">
        <v>0</v>
      </c>
      <c r="D170" s="92">
        <v>2</v>
      </c>
      <c r="E170" s="92">
        <v>26</v>
      </c>
      <c r="F170" s="92">
        <v>7</v>
      </c>
      <c r="G170" s="92">
        <v>0</v>
      </c>
      <c r="H170" s="92">
        <v>21</v>
      </c>
    </row>
    <row r="171" spans="1:8" ht="17.25" customHeight="1">
      <c r="A171" s="514" t="s">
        <v>830</v>
      </c>
      <c r="B171" s="515">
        <v>2</v>
      </c>
      <c r="C171" s="515"/>
      <c r="D171" s="515">
        <v>2</v>
      </c>
      <c r="E171" s="515">
        <v>26</v>
      </c>
      <c r="F171" s="515">
        <v>7</v>
      </c>
      <c r="G171" s="515"/>
      <c r="H171" s="515">
        <v>20</v>
      </c>
    </row>
    <row r="172" spans="1:8" ht="17.25" customHeight="1">
      <c r="A172" s="514" t="s">
        <v>829</v>
      </c>
      <c r="B172" s="515">
        <v>2</v>
      </c>
      <c r="C172" s="515"/>
      <c r="D172" s="515">
        <v>2</v>
      </c>
      <c r="E172" s="515">
        <v>26</v>
      </c>
      <c r="F172" s="515">
        <v>7</v>
      </c>
      <c r="G172" s="515"/>
      <c r="H172" s="515">
        <v>20</v>
      </c>
    </row>
    <row r="173" spans="1:8" ht="17.25" customHeight="1">
      <c r="A173" s="514" t="s">
        <v>828</v>
      </c>
      <c r="B173" s="515">
        <v>2</v>
      </c>
      <c r="C173" s="515">
        <v>0</v>
      </c>
      <c r="D173" s="515">
        <v>2</v>
      </c>
      <c r="E173" s="515">
        <v>26</v>
      </c>
      <c r="F173" s="515">
        <v>6</v>
      </c>
      <c r="G173" s="515">
        <v>0</v>
      </c>
      <c r="H173" s="515">
        <v>20</v>
      </c>
    </row>
    <row r="174" spans="1:8" ht="17.25" customHeight="1">
      <c r="A174" s="511" t="s">
        <v>134</v>
      </c>
      <c r="B174" s="512"/>
      <c r="C174" s="512"/>
      <c r="D174" s="512"/>
      <c r="E174" s="512"/>
      <c r="F174" s="512"/>
      <c r="G174" s="512"/>
      <c r="H174" s="513"/>
    </row>
    <row r="175" spans="1:8" ht="17.25" customHeight="1">
      <c r="A175" s="514" t="s">
        <v>832</v>
      </c>
      <c r="B175" s="515">
        <v>3</v>
      </c>
      <c r="C175" s="515"/>
      <c r="D175" s="515"/>
      <c r="E175" s="515">
        <v>2</v>
      </c>
      <c r="F175" s="515">
        <v>2</v>
      </c>
      <c r="G175" s="515"/>
      <c r="H175" s="515">
        <v>15</v>
      </c>
    </row>
    <row r="176" spans="1:8" ht="17.25" customHeight="1">
      <c r="A176" s="514" t="s">
        <v>831</v>
      </c>
      <c r="B176" s="92">
        <v>3</v>
      </c>
      <c r="C176" s="92">
        <v>0</v>
      </c>
      <c r="D176" s="92">
        <v>0</v>
      </c>
      <c r="E176" s="92">
        <v>2</v>
      </c>
      <c r="F176" s="92">
        <v>2</v>
      </c>
      <c r="G176" s="92">
        <v>0</v>
      </c>
      <c r="H176" s="92">
        <v>15</v>
      </c>
    </row>
    <row r="177" spans="1:8" ht="17.25" customHeight="1">
      <c r="A177" s="514" t="s">
        <v>830</v>
      </c>
      <c r="B177" s="515">
        <v>3</v>
      </c>
      <c r="C177" s="515"/>
      <c r="D177" s="515"/>
      <c r="E177" s="515">
        <v>2</v>
      </c>
      <c r="F177" s="515">
        <v>2</v>
      </c>
      <c r="G177" s="515"/>
      <c r="H177" s="515">
        <v>15</v>
      </c>
    </row>
    <row r="178" spans="1:8" ht="17.25" customHeight="1">
      <c r="A178" s="514" t="s">
        <v>829</v>
      </c>
      <c r="B178" s="515">
        <v>3</v>
      </c>
      <c r="C178" s="515"/>
      <c r="D178" s="515"/>
      <c r="E178" s="515">
        <v>2</v>
      </c>
      <c r="F178" s="515">
        <v>2</v>
      </c>
      <c r="G178" s="515"/>
      <c r="H178" s="515">
        <v>15</v>
      </c>
    </row>
    <row r="179" spans="1:8" ht="17.25" customHeight="1">
      <c r="A179" s="514" t="s">
        <v>828</v>
      </c>
      <c r="B179" s="515">
        <v>3</v>
      </c>
      <c r="C179" s="515">
        <v>0</v>
      </c>
      <c r="D179" s="515">
        <v>0</v>
      </c>
      <c r="E179" s="515">
        <v>2</v>
      </c>
      <c r="F179" s="515">
        <v>2</v>
      </c>
      <c r="G179" s="515">
        <v>0</v>
      </c>
      <c r="H179" s="515">
        <v>12</v>
      </c>
    </row>
    <row r="180" spans="1:8" ht="17.25" customHeight="1">
      <c r="A180" s="511" t="s">
        <v>45</v>
      </c>
      <c r="B180" s="512"/>
      <c r="C180" s="512"/>
      <c r="D180" s="512"/>
      <c r="E180" s="512"/>
      <c r="F180" s="512"/>
      <c r="G180" s="512"/>
      <c r="H180" s="513"/>
    </row>
    <row r="181" spans="1:8" ht="17.25" customHeight="1">
      <c r="A181" s="514" t="s">
        <v>832</v>
      </c>
      <c r="B181" s="515">
        <v>1</v>
      </c>
      <c r="C181" s="515"/>
      <c r="D181" s="515"/>
      <c r="E181" s="515"/>
      <c r="F181" s="515">
        <v>1</v>
      </c>
      <c r="G181" s="515">
        <v>1</v>
      </c>
      <c r="H181" s="515">
        <v>1</v>
      </c>
    </row>
    <row r="182" spans="1:8" ht="17.25" customHeight="1">
      <c r="A182" s="514" t="s">
        <v>831</v>
      </c>
      <c r="B182" s="92">
        <v>1</v>
      </c>
      <c r="C182" s="92">
        <v>0</v>
      </c>
      <c r="D182" s="92">
        <v>0</v>
      </c>
      <c r="E182" s="92">
        <v>0</v>
      </c>
      <c r="F182" s="92">
        <v>1</v>
      </c>
      <c r="G182" s="92">
        <v>1</v>
      </c>
      <c r="H182" s="92">
        <v>1</v>
      </c>
    </row>
    <row r="183" spans="1:8" ht="17.25" customHeight="1">
      <c r="A183" s="514" t="s">
        <v>830</v>
      </c>
      <c r="B183" s="515">
        <v>1</v>
      </c>
      <c r="C183" s="515"/>
      <c r="D183" s="515"/>
      <c r="E183" s="515"/>
      <c r="F183" s="515">
        <v>1</v>
      </c>
      <c r="G183" s="515">
        <v>1</v>
      </c>
      <c r="H183" s="515">
        <v>1</v>
      </c>
    </row>
    <row r="184" spans="1:8" ht="17.25" customHeight="1">
      <c r="A184" s="514" t="s">
        <v>829</v>
      </c>
      <c r="B184" s="515">
        <v>1</v>
      </c>
      <c r="C184" s="515"/>
      <c r="D184" s="515"/>
      <c r="E184" s="515"/>
      <c r="F184" s="515">
        <v>2</v>
      </c>
      <c r="G184" s="515">
        <v>1</v>
      </c>
      <c r="H184" s="515">
        <v>1</v>
      </c>
    </row>
    <row r="185" spans="1:8" ht="17.25" customHeight="1">
      <c r="A185" s="514" t="s">
        <v>828</v>
      </c>
      <c r="B185" s="515">
        <v>1</v>
      </c>
      <c r="C185" s="515">
        <v>0</v>
      </c>
      <c r="D185" s="515">
        <v>0</v>
      </c>
      <c r="E185" s="515">
        <v>0</v>
      </c>
      <c r="F185" s="515">
        <v>1</v>
      </c>
      <c r="G185" s="515">
        <v>1</v>
      </c>
      <c r="H185" s="515">
        <v>0</v>
      </c>
    </row>
    <row r="186" spans="1:8" ht="17.25" customHeight="1">
      <c r="A186" s="511" t="s">
        <v>47</v>
      </c>
      <c r="B186" s="512"/>
      <c r="C186" s="512"/>
      <c r="D186" s="512"/>
      <c r="E186" s="512"/>
      <c r="F186" s="512"/>
      <c r="G186" s="512"/>
      <c r="H186" s="513"/>
    </row>
    <row r="187" spans="1:8" ht="17.25" customHeight="1">
      <c r="A187" s="514" t="s">
        <v>832</v>
      </c>
      <c r="B187" s="515">
        <v>4</v>
      </c>
      <c r="C187" s="515">
        <v>2</v>
      </c>
      <c r="D187" s="515">
        <v>3</v>
      </c>
      <c r="E187" s="515">
        <v>4</v>
      </c>
      <c r="F187" s="515">
        <v>9</v>
      </c>
      <c r="G187" s="515">
        <v>29</v>
      </c>
      <c r="H187" s="515">
        <v>28</v>
      </c>
    </row>
    <row r="188" spans="1:8" ht="17.25" customHeight="1">
      <c r="A188" s="514" t="s">
        <v>831</v>
      </c>
      <c r="B188" s="92">
        <v>4</v>
      </c>
      <c r="C188" s="92">
        <v>2</v>
      </c>
      <c r="D188" s="92">
        <v>3</v>
      </c>
      <c r="E188" s="92">
        <v>4</v>
      </c>
      <c r="F188" s="92">
        <v>9</v>
      </c>
      <c r="G188" s="92">
        <v>28</v>
      </c>
      <c r="H188" s="92">
        <v>27</v>
      </c>
    </row>
    <row r="189" spans="1:8" ht="17.25" customHeight="1">
      <c r="A189" s="514" t="s">
        <v>830</v>
      </c>
      <c r="B189" s="515">
        <v>4</v>
      </c>
      <c r="C189" s="515">
        <v>2</v>
      </c>
      <c r="D189" s="515">
        <v>3</v>
      </c>
      <c r="E189" s="515">
        <v>4</v>
      </c>
      <c r="F189" s="515">
        <v>7</v>
      </c>
      <c r="G189" s="515">
        <v>27</v>
      </c>
      <c r="H189" s="515">
        <v>27</v>
      </c>
    </row>
    <row r="190" spans="1:8" ht="17.25" customHeight="1">
      <c r="A190" s="514" t="s">
        <v>829</v>
      </c>
      <c r="B190" s="515">
        <v>4</v>
      </c>
      <c r="C190" s="515">
        <v>2</v>
      </c>
      <c r="D190" s="515">
        <v>3</v>
      </c>
      <c r="E190" s="515">
        <v>4</v>
      </c>
      <c r="F190" s="515">
        <v>6</v>
      </c>
      <c r="G190" s="515">
        <v>24</v>
      </c>
      <c r="H190" s="515">
        <v>27</v>
      </c>
    </row>
    <row r="191" spans="1:8" ht="17.25" customHeight="1">
      <c r="A191" s="514" t="s">
        <v>828</v>
      </c>
      <c r="B191" s="515">
        <v>4</v>
      </c>
      <c r="C191" s="515">
        <v>2</v>
      </c>
      <c r="D191" s="515">
        <v>3</v>
      </c>
      <c r="E191" s="515">
        <v>4</v>
      </c>
      <c r="F191" s="515">
        <v>5</v>
      </c>
      <c r="G191" s="515">
        <v>23</v>
      </c>
      <c r="H191" s="515">
        <v>23</v>
      </c>
    </row>
    <row r="192" spans="1:8" ht="17.25" customHeight="1">
      <c r="A192" s="511" t="s">
        <v>46</v>
      </c>
      <c r="B192" s="512"/>
      <c r="C192" s="512"/>
      <c r="D192" s="512"/>
      <c r="E192" s="512"/>
      <c r="F192" s="512"/>
      <c r="G192" s="512"/>
      <c r="H192" s="513"/>
    </row>
    <row r="193" spans="1:8" ht="17.25" customHeight="1">
      <c r="A193" s="514" t="s">
        <v>832</v>
      </c>
      <c r="B193" s="515">
        <v>1</v>
      </c>
      <c r="C193" s="515">
        <v>1</v>
      </c>
      <c r="D193" s="515">
        <v>1</v>
      </c>
      <c r="E193" s="515">
        <v>1</v>
      </c>
      <c r="F193" s="515">
        <v>4</v>
      </c>
      <c r="G193" s="515">
        <v>17</v>
      </c>
      <c r="H193" s="515">
        <v>10</v>
      </c>
    </row>
    <row r="194" spans="1:8" ht="17.25" customHeight="1">
      <c r="A194" s="514" t="s">
        <v>831</v>
      </c>
      <c r="B194" s="92">
        <v>1</v>
      </c>
      <c r="C194" s="92">
        <v>1</v>
      </c>
      <c r="D194" s="92">
        <v>1</v>
      </c>
      <c r="E194" s="92">
        <v>1</v>
      </c>
      <c r="F194" s="92">
        <v>4</v>
      </c>
      <c r="G194" s="92">
        <v>17</v>
      </c>
      <c r="H194" s="92">
        <v>10</v>
      </c>
    </row>
    <row r="195" spans="1:8" ht="17.25" customHeight="1">
      <c r="A195" s="514" t="s">
        <v>830</v>
      </c>
      <c r="B195" s="515">
        <v>1</v>
      </c>
      <c r="C195" s="515">
        <v>1</v>
      </c>
      <c r="D195" s="515">
        <v>1</v>
      </c>
      <c r="E195" s="515">
        <v>1</v>
      </c>
      <c r="F195" s="515">
        <v>3</v>
      </c>
      <c r="G195" s="515">
        <v>15</v>
      </c>
      <c r="H195" s="515">
        <v>10</v>
      </c>
    </row>
    <row r="196" spans="1:8" ht="17.25" customHeight="1">
      <c r="A196" s="514" t="s">
        <v>829</v>
      </c>
      <c r="B196" s="515">
        <v>1</v>
      </c>
      <c r="C196" s="515">
        <v>1</v>
      </c>
      <c r="D196" s="515">
        <v>1</v>
      </c>
      <c r="E196" s="515">
        <v>1</v>
      </c>
      <c r="F196" s="515">
        <v>3</v>
      </c>
      <c r="G196" s="515">
        <v>11</v>
      </c>
      <c r="H196" s="515">
        <v>9</v>
      </c>
    </row>
    <row r="197" spans="1:8" ht="17.25" customHeight="1">
      <c r="A197" s="514" t="s">
        <v>828</v>
      </c>
      <c r="B197" s="515">
        <v>1</v>
      </c>
      <c r="C197" s="515">
        <v>1</v>
      </c>
      <c r="D197" s="515">
        <v>1</v>
      </c>
      <c r="E197" s="515">
        <v>1</v>
      </c>
      <c r="F197" s="515">
        <v>3</v>
      </c>
      <c r="G197" s="515">
        <v>11</v>
      </c>
      <c r="H197" s="515">
        <v>9</v>
      </c>
    </row>
    <row r="198" spans="1:8" ht="17.25" customHeight="1">
      <c r="A198" s="511" t="s">
        <v>48</v>
      </c>
      <c r="B198" s="512"/>
      <c r="C198" s="512"/>
      <c r="D198" s="512"/>
      <c r="E198" s="512"/>
      <c r="F198" s="512"/>
      <c r="G198" s="512"/>
      <c r="H198" s="513"/>
    </row>
    <row r="199" spans="1:8" ht="17.25" customHeight="1">
      <c r="A199" s="514" t="s">
        <v>832</v>
      </c>
      <c r="B199" s="515">
        <v>1</v>
      </c>
      <c r="C199" s="515">
        <v>1</v>
      </c>
      <c r="D199" s="515"/>
      <c r="E199" s="515">
        <v>1</v>
      </c>
      <c r="F199" s="515">
        <v>8</v>
      </c>
      <c r="G199" s="515">
        <v>10</v>
      </c>
      <c r="H199" s="515">
        <v>25</v>
      </c>
    </row>
    <row r="200" spans="1:8" ht="17.25" customHeight="1">
      <c r="A200" s="514" t="s">
        <v>831</v>
      </c>
      <c r="B200" s="92">
        <v>1</v>
      </c>
      <c r="C200" s="92">
        <v>0</v>
      </c>
      <c r="D200" s="92">
        <v>0</v>
      </c>
      <c r="E200" s="92">
        <v>1</v>
      </c>
      <c r="F200" s="92">
        <v>7</v>
      </c>
      <c r="G200" s="92">
        <v>10</v>
      </c>
      <c r="H200" s="92">
        <v>25</v>
      </c>
    </row>
    <row r="201" spans="1:8" ht="17.25" customHeight="1">
      <c r="A201" s="514" t="s">
        <v>830</v>
      </c>
      <c r="B201" s="515">
        <v>1</v>
      </c>
      <c r="C201" s="515"/>
      <c r="D201" s="515"/>
      <c r="E201" s="515">
        <v>1</v>
      </c>
      <c r="F201" s="515">
        <v>6</v>
      </c>
      <c r="G201" s="515">
        <v>9</v>
      </c>
      <c r="H201" s="515">
        <v>25</v>
      </c>
    </row>
    <row r="202" spans="1:8" ht="17.25" customHeight="1">
      <c r="A202" s="514" t="s">
        <v>829</v>
      </c>
      <c r="B202" s="515">
        <v>1</v>
      </c>
      <c r="C202" s="515"/>
      <c r="D202" s="515"/>
      <c r="E202" s="515">
        <v>1</v>
      </c>
      <c r="F202" s="515">
        <v>6</v>
      </c>
      <c r="G202" s="515">
        <v>8</v>
      </c>
      <c r="H202" s="515">
        <v>24</v>
      </c>
    </row>
    <row r="203" spans="1:8" ht="17.25" customHeight="1">
      <c r="A203" s="514" t="s">
        <v>828</v>
      </c>
      <c r="B203" s="515">
        <v>1</v>
      </c>
      <c r="C203" s="515">
        <v>0</v>
      </c>
      <c r="D203" s="515">
        <v>0</v>
      </c>
      <c r="E203" s="515">
        <v>1</v>
      </c>
      <c r="F203" s="515">
        <v>5</v>
      </c>
      <c r="G203" s="515">
        <v>2</v>
      </c>
      <c r="H203" s="515">
        <v>23</v>
      </c>
    </row>
  </sheetData>
  <printOptions horizontalCentered="1"/>
  <pageMargins left="0.5" right="0.4" top="0.5" bottom="0.5" header="0.27559055118110198" footer="0.23622047244094499"/>
  <pageSetup paperSize="9" scale="65" firstPageNumber="2" pageOrder="overThenDown" orientation="portrait" useFirstPageNumber="1" r:id="rId1"/>
  <headerFooter alignWithMargins="0">
    <oddFooter>&amp;L     AISHE 2019-20&amp;CT-41</oddFooter>
  </headerFooter>
  <rowBreaks count="3" manualBreakCount="3">
    <brk id="63" max="16383" man="1"/>
    <brk id="125" max="16383" man="1"/>
    <brk id="185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P42"/>
  <sheetViews>
    <sheetView view="pageBreakPreview" topLeftCell="G1" zoomScaleSheetLayoutView="100" workbookViewId="0">
      <selection activeCell="A20" sqref="A20"/>
    </sheetView>
  </sheetViews>
  <sheetFormatPr defaultColWidth="9.140625" defaultRowHeight="14.25"/>
  <cols>
    <col min="1" max="1" width="27.7109375" style="499" customWidth="1"/>
    <col min="2" max="11" width="11.42578125" style="497" customWidth="1"/>
    <col min="12" max="16" width="11" style="497" customWidth="1"/>
    <col min="17" max="17" width="21.7109375" style="497" customWidth="1"/>
    <col min="18" max="16384" width="9.140625" style="497"/>
  </cols>
  <sheetData>
    <row r="1" spans="1:16" s="506" customFormat="1" ht="27.75" customHeight="1">
      <c r="A1" s="516" t="s">
        <v>835</v>
      </c>
      <c r="B1" s="506" t="s">
        <v>836</v>
      </c>
      <c r="G1" s="506" t="str">
        <f>B1</f>
        <v>Various College Indicators during last 5 years</v>
      </c>
      <c r="L1" s="506" t="str">
        <f>B1</f>
        <v>Various College Indicators during last 5 years</v>
      </c>
    </row>
    <row r="2" spans="1:16" s="517" customFormat="1" ht="18" customHeight="1">
      <c r="A2" s="985" t="s">
        <v>713</v>
      </c>
      <c r="B2" s="986" t="s">
        <v>138</v>
      </c>
      <c r="C2" s="987"/>
      <c r="D2" s="987"/>
      <c r="E2" s="987"/>
      <c r="F2" s="987"/>
      <c r="G2" s="988" t="s">
        <v>837</v>
      </c>
      <c r="H2" s="988"/>
      <c r="I2" s="988"/>
      <c r="J2" s="988"/>
      <c r="K2" s="988"/>
      <c r="L2" s="987" t="s">
        <v>142</v>
      </c>
      <c r="M2" s="987"/>
      <c r="N2" s="987"/>
      <c r="O2" s="987"/>
      <c r="P2" s="987"/>
    </row>
    <row r="3" spans="1:16" s="517" customFormat="1" ht="24" customHeight="1">
      <c r="A3" s="985"/>
      <c r="B3" s="507" t="s">
        <v>828</v>
      </c>
      <c r="C3" s="507" t="s">
        <v>829</v>
      </c>
      <c r="D3" s="507" t="s">
        <v>830</v>
      </c>
      <c r="E3" s="507" t="s">
        <v>831</v>
      </c>
      <c r="F3" s="507" t="s">
        <v>832</v>
      </c>
      <c r="G3" s="507" t="s">
        <v>828</v>
      </c>
      <c r="H3" s="507" t="s">
        <v>829</v>
      </c>
      <c r="I3" s="507" t="s">
        <v>830</v>
      </c>
      <c r="J3" s="507" t="s">
        <v>831</v>
      </c>
      <c r="K3" s="507" t="s">
        <v>832</v>
      </c>
      <c r="L3" s="507" t="s">
        <v>828</v>
      </c>
      <c r="M3" s="507" t="s">
        <v>829</v>
      </c>
      <c r="N3" s="507" t="s">
        <v>830</v>
      </c>
      <c r="O3" s="507" t="s">
        <v>831</v>
      </c>
      <c r="P3" s="518" t="s">
        <v>832</v>
      </c>
    </row>
    <row r="4" spans="1:16" s="520" customFormat="1" ht="15.75" customHeight="1">
      <c r="A4" s="519">
        <v>1</v>
      </c>
      <c r="B4" s="519">
        <v>2</v>
      </c>
      <c r="C4" s="519">
        <v>3</v>
      </c>
      <c r="D4" s="519">
        <v>4</v>
      </c>
      <c r="E4" s="519">
        <v>5</v>
      </c>
      <c r="F4" s="519">
        <v>6</v>
      </c>
      <c r="G4" s="519">
        <v>2</v>
      </c>
      <c r="H4" s="519">
        <v>3</v>
      </c>
      <c r="I4" s="519">
        <v>4</v>
      </c>
      <c r="J4" s="519">
        <v>5</v>
      </c>
      <c r="K4" s="519">
        <v>6</v>
      </c>
      <c r="L4" s="519">
        <v>2</v>
      </c>
      <c r="M4" s="519">
        <v>3</v>
      </c>
      <c r="N4" s="519">
        <v>4</v>
      </c>
      <c r="O4" s="519">
        <v>5</v>
      </c>
      <c r="P4" s="519">
        <v>6</v>
      </c>
    </row>
    <row r="5" spans="1:16" s="524" customFormat="1" ht="26.25" customHeight="1">
      <c r="A5" s="521" t="s">
        <v>833</v>
      </c>
      <c r="B5" s="522">
        <v>721.42773432024001</v>
      </c>
      <c r="C5" s="522">
        <v>659</v>
      </c>
      <c r="D5" s="522">
        <v>698</v>
      </c>
      <c r="E5" s="522">
        <v>693</v>
      </c>
      <c r="F5" s="522">
        <v>679.60803403829311</v>
      </c>
      <c r="G5" s="522">
        <v>27.65289879857918</v>
      </c>
      <c r="H5" s="522">
        <v>28</v>
      </c>
      <c r="I5" s="522">
        <v>28</v>
      </c>
      <c r="J5" s="522">
        <v>28</v>
      </c>
      <c r="K5" s="522">
        <v>30</v>
      </c>
      <c r="L5" s="523">
        <v>39071</v>
      </c>
      <c r="M5" s="523">
        <f>SUM(M6:M42)</f>
        <v>40026</v>
      </c>
      <c r="N5" s="523">
        <v>39050</v>
      </c>
      <c r="O5" s="523">
        <v>39931</v>
      </c>
      <c r="P5" s="523">
        <v>42343</v>
      </c>
    </row>
    <row r="6" spans="1:16" s="504" customFormat="1" ht="28.15" customHeight="1">
      <c r="A6" s="521" t="s">
        <v>154</v>
      </c>
      <c r="B6" s="525">
        <v>887.85714285714289</v>
      </c>
      <c r="C6" s="525">
        <v>903.71428571428567</v>
      </c>
      <c r="D6" s="525">
        <v>927.57142857142856</v>
      </c>
      <c r="E6" s="525">
        <v>913.5</v>
      </c>
      <c r="F6" s="525">
        <v>738.5</v>
      </c>
      <c r="G6" s="525">
        <v>14.922509539747169</v>
      </c>
      <c r="H6" s="525">
        <v>14.704955570027099</v>
      </c>
      <c r="I6" s="526">
        <v>14</v>
      </c>
      <c r="J6" s="526">
        <v>16.107274447822498</v>
      </c>
      <c r="K6" s="526">
        <v>15.781894221853978</v>
      </c>
      <c r="L6" s="527">
        <v>7</v>
      </c>
      <c r="M6" s="527">
        <v>7</v>
      </c>
      <c r="N6" s="209">
        <v>7</v>
      </c>
      <c r="O6" s="527">
        <v>8</v>
      </c>
      <c r="P6" s="527">
        <v>8</v>
      </c>
    </row>
    <row r="7" spans="1:16" s="504" customFormat="1" ht="26.25" customHeight="1">
      <c r="A7" s="521" t="s">
        <v>15</v>
      </c>
      <c r="B7" s="525">
        <v>493.53836633663366</v>
      </c>
      <c r="C7" s="525">
        <v>468.62598573037928</v>
      </c>
      <c r="D7" s="525">
        <v>493</v>
      </c>
      <c r="E7" s="525">
        <v>524.3216977389925</v>
      </c>
      <c r="F7" s="525">
        <v>546.52738904438229</v>
      </c>
      <c r="G7" s="525">
        <v>45.198635686679204</v>
      </c>
      <c r="H7" s="525">
        <v>47.993656114550383</v>
      </c>
      <c r="I7" s="526">
        <v>48</v>
      </c>
      <c r="J7" s="526">
        <v>49.212842603987859</v>
      </c>
      <c r="K7" s="526">
        <v>51.03848468780501</v>
      </c>
      <c r="L7" s="527">
        <v>2532</v>
      </c>
      <c r="M7" s="527">
        <v>2663</v>
      </c>
      <c r="N7" s="209">
        <v>2624</v>
      </c>
      <c r="O7" s="527">
        <v>2678</v>
      </c>
      <c r="P7" s="527">
        <v>2750</v>
      </c>
    </row>
    <row r="8" spans="1:16" s="504" customFormat="1" ht="26.25" customHeight="1">
      <c r="A8" s="521" t="s">
        <v>16</v>
      </c>
      <c r="B8" s="525">
        <v>1355.578947368421</v>
      </c>
      <c r="C8" s="525">
        <v>695.41935483870964</v>
      </c>
      <c r="D8" s="525">
        <v>810</v>
      </c>
      <c r="E8" s="525">
        <v>551.36111111111109</v>
      </c>
      <c r="F8" s="525">
        <v>552.97368421052636</v>
      </c>
      <c r="G8" s="525">
        <v>17.279684028634904</v>
      </c>
      <c r="H8" s="525">
        <v>19.256093621884862</v>
      </c>
      <c r="I8" s="526">
        <v>19</v>
      </c>
      <c r="J8" s="526">
        <v>23.293147407850419</v>
      </c>
      <c r="K8" s="526">
        <v>24.721252036333901</v>
      </c>
      <c r="L8" s="527">
        <v>28</v>
      </c>
      <c r="M8" s="527">
        <v>31</v>
      </c>
      <c r="N8" s="209">
        <v>30</v>
      </c>
      <c r="O8" s="527">
        <v>37</v>
      </c>
      <c r="P8" s="527">
        <v>39</v>
      </c>
    </row>
    <row r="9" spans="1:16" s="504" customFormat="1" ht="26.25" customHeight="1">
      <c r="A9" s="521" t="s">
        <v>17</v>
      </c>
      <c r="B9" s="525">
        <v>942.35729386892183</v>
      </c>
      <c r="C9" s="525">
        <v>916.94824399260631</v>
      </c>
      <c r="D9" s="525">
        <v>983</v>
      </c>
      <c r="E9" s="525">
        <v>970.819391634981</v>
      </c>
      <c r="F9" s="525">
        <v>870.01688555347096</v>
      </c>
      <c r="G9" s="525">
        <v>14.579609536958092</v>
      </c>
      <c r="H9" s="525">
        <v>14.569470791577391</v>
      </c>
      <c r="I9" s="526">
        <v>13.729714480933662</v>
      </c>
      <c r="J9" s="526">
        <v>14.527225596330595</v>
      </c>
      <c r="K9" s="526">
        <v>14.84070971571796</v>
      </c>
      <c r="L9" s="527">
        <v>539</v>
      </c>
      <c r="M9" s="527">
        <v>541</v>
      </c>
      <c r="N9" s="209">
        <v>512</v>
      </c>
      <c r="O9" s="527">
        <v>544</v>
      </c>
      <c r="P9" s="527">
        <v>558</v>
      </c>
    </row>
    <row r="10" spans="1:16" s="504" customFormat="1" ht="26.25" customHeight="1">
      <c r="A10" s="521" t="s">
        <v>18</v>
      </c>
      <c r="B10" s="525">
        <v>2142.1763803680983</v>
      </c>
      <c r="C10" s="525">
        <v>1801.4563492063492</v>
      </c>
      <c r="D10" s="525">
        <v>1686</v>
      </c>
      <c r="E10" s="525">
        <v>1616.0833333333333</v>
      </c>
      <c r="F10" s="525">
        <v>1703.0509849362688</v>
      </c>
      <c r="G10" s="525">
        <v>6.6414019642481898</v>
      </c>
      <c r="H10" s="525">
        <v>6.6294383366213063</v>
      </c>
      <c r="I10" s="526">
        <v>6.6336683307123163</v>
      </c>
      <c r="J10" s="526">
        <v>7.1101979961599842</v>
      </c>
      <c r="K10" s="526">
        <v>7.269127036062522</v>
      </c>
      <c r="L10" s="527">
        <v>744</v>
      </c>
      <c r="M10" s="527">
        <v>756</v>
      </c>
      <c r="N10" s="209">
        <v>770</v>
      </c>
      <c r="O10" s="527">
        <v>840</v>
      </c>
      <c r="P10" s="527">
        <v>874</v>
      </c>
    </row>
    <row r="11" spans="1:16" s="504" customFormat="1" ht="26.25" customHeight="1">
      <c r="A11" s="521" t="s">
        <v>19</v>
      </c>
      <c r="B11" s="525">
        <v>1870.56</v>
      </c>
      <c r="C11" s="525">
        <v>1963.6</v>
      </c>
      <c r="D11" s="525">
        <v>2052</v>
      </c>
      <c r="E11" s="525">
        <v>2034</v>
      </c>
      <c r="F11" s="525">
        <v>2022.24</v>
      </c>
      <c r="G11" s="525">
        <v>14.398101754264719</v>
      </c>
      <c r="H11" s="525">
        <v>13.913237053732921</v>
      </c>
      <c r="I11" s="526">
        <v>13.31692687941789</v>
      </c>
      <c r="J11" s="526">
        <v>12.764740722586444</v>
      </c>
      <c r="K11" s="526">
        <v>12.22189087318077</v>
      </c>
      <c r="L11" s="527">
        <v>25</v>
      </c>
      <c r="M11" s="527">
        <v>25</v>
      </c>
      <c r="N11" s="209">
        <v>25</v>
      </c>
      <c r="O11" s="527">
        <v>25</v>
      </c>
      <c r="P11" s="527">
        <v>25</v>
      </c>
    </row>
    <row r="12" spans="1:16" s="504" customFormat="1" ht="26.25" customHeight="1">
      <c r="A12" s="521" t="s">
        <v>20</v>
      </c>
      <c r="B12" s="525">
        <v>526.52646638054364</v>
      </c>
      <c r="C12" s="525">
        <v>531.41655172413789</v>
      </c>
      <c r="D12" s="525">
        <v>550</v>
      </c>
      <c r="E12" s="525">
        <v>565.32232496697486</v>
      </c>
      <c r="F12" s="525">
        <v>557.02106567534076</v>
      </c>
      <c r="G12" s="525">
        <v>22.887686943125718</v>
      </c>
      <c r="H12" s="525">
        <v>23.339491739912429</v>
      </c>
      <c r="I12" s="526">
        <v>23.691000297336441</v>
      </c>
      <c r="J12" s="526">
        <v>24.134469643441793</v>
      </c>
      <c r="K12" s="526">
        <v>25.551308921002924</v>
      </c>
      <c r="L12" s="527">
        <v>706</v>
      </c>
      <c r="M12" s="527">
        <v>725</v>
      </c>
      <c r="N12" s="209">
        <v>741</v>
      </c>
      <c r="O12" s="527">
        <v>760</v>
      </c>
      <c r="P12" s="527">
        <v>810</v>
      </c>
    </row>
    <row r="13" spans="1:16" s="504" customFormat="1" ht="26.25" customHeight="1">
      <c r="A13" s="521" t="s">
        <v>155</v>
      </c>
      <c r="B13" s="525">
        <v>747.42857142857144</v>
      </c>
      <c r="C13" s="525">
        <v>668.375</v>
      </c>
      <c r="D13" s="525">
        <v>690</v>
      </c>
      <c r="E13" s="525">
        <v>728.625</v>
      </c>
      <c r="F13" s="525">
        <v>761</v>
      </c>
      <c r="G13" s="525">
        <v>13.367420254983541</v>
      </c>
      <c r="H13" s="525">
        <v>13.095432967752496</v>
      </c>
      <c r="I13" s="526">
        <v>12.647821412761651</v>
      </c>
      <c r="J13" s="526">
        <v>12.231293765098004</v>
      </c>
      <c r="K13" s="526">
        <v>11.813697982811069</v>
      </c>
      <c r="L13" s="527">
        <v>8</v>
      </c>
      <c r="M13" s="527">
        <v>8</v>
      </c>
      <c r="N13" s="209">
        <v>8</v>
      </c>
      <c r="O13" s="527">
        <v>8</v>
      </c>
      <c r="P13" s="527">
        <v>8</v>
      </c>
    </row>
    <row r="14" spans="1:16" s="504" customFormat="1" ht="26.25" customHeight="1">
      <c r="A14" s="521" t="s">
        <v>156</v>
      </c>
      <c r="B14" s="525">
        <v>382.125</v>
      </c>
      <c r="C14" s="525">
        <v>381.75</v>
      </c>
      <c r="D14" s="525">
        <v>336</v>
      </c>
      <c r="E14" s="525">
        <v>340.3</v>
      </c>
      <c r="F14" s="525">
        <v>393.2</v>
      </c>
      <c r="G14" s="525">
        <v>14.697776961234615</v>
      </c>
      <c r="H14" s="525">
        <v>14.113579027221565</v>
      </c>
      <c r="I14" s="526">
        <v>15.206041867301941</v>
      </c>
      <c r="J14" s="526">
        <v>16.211133806698438</v>
      </c>
      <c r="K14" s="526">
        <v>15.458339774308239</v>
      </c>
      <c r="L14" s="527">
        <v>8</v>
      </c>
      <c r="M14" s="527">
        <v>8</v>
      </c>
      <c r="N14" s="209">
        <v>9</v>
      </c>
      <c r="O14" s="527">
        <v>10</v>
      </c>
      <c r="P14" s="527">
        <v>10</v>
      </c>
    </row>
    <row r="15" spans="1:16" s="504" customFormat="1" ht="26.25" customHeight="1">
      <c r="A15" s="521" t="s">
        <v>23</v>
      </c>
      <c r="B15" s="525">
        <v>1526.7964071856288</v>
      </c>
      <c r="C15" s="525">
        <v>1501.1404494382023</v>
      </c>
      <c r="D15" s="525">
        <v>1531</v>
      </c>
      <c r="E15" s="525">
        <v>1562.4269662921349</v>
      </c>
      <c r="F15" s="525">
        <v>1620.0977011494253</v>
      </c>
      <c r="G15" s="525">
        <v>8.5363929672636036</v>
      </c>
      <c r="H15" s="525">
        <v>7.8493904815997944</v>
      </c>
      <c r="I15" s="526">
        <v>7.7458086689524048</v>
      </c>
      <c r="J15" s="526">
        <v>7.7303217145166423</v>
      </c>
      <c r="K15" s="526">
        <v>7.5875396491335154</v>
      </c>
      <c r="L15" s="527">
        <v>191</v>
      </c>
      <c r="M15" s="527">
        <v>178</v>
      </c>
      <c r="N15" s="209">
        <v>178</v>
      </c>
      <c r="O15" s="527">
        <v>180</v>
      </c>
      <c r="P15" s="527">
        <v>179</v>
      </c>
    </row>
    <row r="16" spans="1:16" s="504" customFormat="1" ht="26.25" customHeight="1">
      <c r="A16" s="521" t="s">
        <v>24</v>
      </c>
      <c r="B16" s="525">
        <v>560.4</v>
      </c>
      <c r="C16" s="525">
        <v>594.38181818181818</v>
      </c>
      <c r="D16" s="525">
        <v>640.48214285714289</v>
      </c>
      <c r="E16" s="525">
        <v>699.56140350877195</v>
      </c>
      <c r="F16" s="525">
        <v>670.32758620689651</v>
      </c>
      <c r="G16" s="525">
        <v>32.152461124751547</v>
      </c>
      <c r="H16" s="525">
        <v>31.734125724836282</v>
      </c>
      <c r="I16" s="526">
        <v>31.585240668253448</v>
      </c>
      <c r="J16" s="526">
        <v>31.415517060830364</v>
      </c>
      <c r="K16" s="526">
        <v>31.255388860148301</v>
      </c>
      <c r="L16" s="527">
        <v>55</v>
      </c>
      <c r="M16" s="527">
        <v>55</v>
      </c>
      <c r="N16" s="209">
        <v>56</v>
      </c>
      <c r="O16" s="527">
        <v>57</v>
      </c>
      <c r="P16" s="527">
        <v>58</v>
      </c>
    </row>
    <row r="17" spans="1:16" s="504" customFormat="1" ht="26.25" customHeight="1">
      <c r="A17" s="521" t="s">
        <v>25</v>
      </c>
      <c r="B17" s="525">
        <v>584.70693959061407</v>
      </c>
      <c r="C17" s="525">
        <v>535.95888468809073</v>
      </c>
      <c r="D17" s="525">
        <v>519</v>
      </c>
      <c r="E17" s="525">
        <v>512.93631436314365</v>
      </c>
      <c r="F17" s="525">
        <v>527.68777679362267</v>
      </c>
      <c r="G17" s="525">
        <v>28.099270170516228</v>
      </c>
      <c r="H17" s="525">
        <v>29.382383955552061</v>
      </c>
      <c r="I17" s="526">
        <v>30.427801588564023</v>
      </c>
      <c r="J17" s="526">
        <v>30.863450663764688</v>
      </c>
      <c r="K17" s="526">
        <v>31.396927268983479</v>
      </c>
      <c r="L17" s="527">
        <v>2019</v>
      </c>
      <c r="M17" s="527">
        <v>2116</v>
      </c>
      <c r="N17" s="209">
        <v>2196</v>
      </c>
      <c r="O17" s="527">
        <v>2232</v>
      </c>
      <c r="P17" s="527">
        <v>2275</v>
      </c>
    </row>
    <row r="18" spans="1:16" s="504" customFormat="1" ht="26.25" customHeight="1">
      <c r="A18" s="521" t="s">
        <v>26</v>
      </c>
      <c r="B18" s="525">
        <v>646.14597701149421</v>
      </c>
      <c r="C18" s="525">
        <v>514.10476190476186</v>
      </c>
      <c r="D18" s="525">
        <v>611</v>
      </c>
      <c r="E18" s="525">
        <v>610.14040404040406</v>
      </c>
      <c r="F18" s="525">
        <v>590.30270793036755</v>
      </c>
      <c r="G18" s="525">
        <v>34.940019632963413</v>
      </c>
      <c r="H18" s="525">
        <v>36.261311252968014</v>
      </c>
      <c r="I18" s="526">
        <v>30.271124393282197</v>
      </c>
      <c r="J18" s="526">
        <v>32.605151613955002</v>
      </c>
      <c r="K18" s="526">
        <v>34.158640014757033</v>
      </c>
      <c r="L18" s="527">
        <v>1113</v>
      </c>
      <c r="M18" s="527">
        <v>1155</v>
      </c>
      <c r="N18" s="209">
        <v>964</v>
      </c>
      <c r="O18" s="527">
        <v>1038</v>
      </c>
      <c r="P18" s="527">
        <v>1087</v>
      </c>
    </row>
    <row r="19" spans="1:16" s="504" customFormat="1" ht="26.25" customHeight="1">
      <c r="A19" s="521" t="s">
        <v>27</v>
      </c>
      <c r="B19" s="525">
        <v>519.85666666666668</v>
      </c>
      <c r="C19" s="525">
        <v>471.19518716577539</v>
      </c>
      <c r="D19" s="525">
        <v>553.49541284403665</v>
      </c>
      <c r="E19" s="525">
        <v>558.21492537313429</v>
      </c>
      <c r="F19" s="525">
        <v>540.58139534883719</v>
      </c>
      <c r="G19" s="525">
        <v>46.734055025320991</v>
      </c>
      <c r="H19" s="525">
        <v>50.841743518357404</v>
      </c>
      <c r="I19" s="526">
        <v>45.003261704288654</v>
      </c>
      <c r="J19" s="526">
        <v>46.819610728379374</v>
      </c>
      <c r="K19" s="526">
        <v>48.537935783182171</v>
      </c>
      <c r="L19" s="527">
        <v>348</v>
      </c>
      <c r="M19" s="527">
        <v>374</v>
      </c>
      <c r="N19" s="209">
        <v>327</v>
      </c>
      <c r="O19" s="527">
        <v>336</v>
      </c>
      <c r="P19" s="527">
        <v>344</v>
      </c>
    </row>
    <row r="20" spans="1:16" s="504" customFormat="1" ht="26.25" customHeight="1">
      <c r="A20" s="521" t="s">
        <v>57</v>
      </c>
      <c r="B20" s="525">
        <v>644.05921052631584</v>
      </c>
      <c r="C20" s="525">
        <v>645.60759493670889</v>
      </c>
      <c r="D20" s="525">
        <v>720.24829931972783</v>
      </c>
      <c r="E20" s="525">
        <v>798.91003460207617</v>
      </c>
      <c r="F20" s="525">
        <v>721.31309904153352</v>
      </c>
      <c r="G20" s="525">
        <v>24.536546402785682</v>
      </c>
      <c r="H20" s="525">
        <v>23.949917387943188</v>
      </c>
      <c r="I20" s="526">
        <v>22.878606269200311</v>
      </c>
      <c r="J20" s="526">
        <v>22.94271212612384</v>
      </c>
      <c r="K20" s="526">
        <v>25.909014252271419</v>
      </c>
      <c r="L20" s="527">
        <v>329</v>
      </c>
      <c r="M20" s="527">
        <v>316</v>
      </c>
      <c r="N20" s="209">
        <v>297</v>
      </c>
      <c r="O20" s="527">
        <v>293</v>
      </c>
      <c r="P20" s="527">
        <v>316</v>
      </c>
    </row>
    <row r="21" spans="1:16" s="504" customFormat="1" ht="26.25" customHeight="1">
      <c r="A21" s="521" t="s">
        <v>29</v>
      </c>
      <c r="B21" s="525">
        <v>1715.6939501779359</v>
      </c>
      <c r="C21" s="525">
        <v>1786.4299674267102</v>
      </c>
      <c r="D21" s="525">
        <v>1786.4032786885246</v>
      </c>
      <c r="E21" s="525">
        <v>1875.2597402597403</v>
      </c>
      <c r="F21" s="525">
        <v>1938.1104100946372</v>
      </c>
      <c r="G21" s="525">
        <v>8.7434747154971948</v>
      </c>
      <c r="H21" s="525">
        <v>8.0984454414061648</v>
      </c>
      <c r="I21" s="526">
        <v>8.0672468992661948</v>
      </c>
      <c r="J21" s="526">
        <v>8.0882921067313465</v>
      </c>
      <c r="K21" s="526">
        <v>8.2622811262896061</v>
      </c>
      <c r="L21" s="527">
        <v>328</v>
      </c>
      <c r="M21" s="527">
        <v>307</v>
      </c>
      <c r="N21" s="209">
        <v>309</v>
      </c>
      <c r="O21" s="527">
        <v>313</v>
      </c>
      <c r="P21" s="527">
        <v>323</v>
      </c>
    </row>
    <row r="22" spans="1:16" s="504" customFormat="1" ht="26.25" customHeight="1">
      <c r="A22" s="521" t="s">
        <v>30</v>
      </c>
      <c r="B22" s="525">
        <v>437.82046568627453</v>
      </c>
      <c r="C22" s="525">
        <v>381.02904343192114</v>
      </c>
      <c r="D22" s="525">
        <v>416</v>
      </c>
      <c r="E22" s="525">
        <v>426.389816360601</v>
      </c>
      <c r="F22" s="525">
        <v>414.57794006547471</v>
      </c>
      <c r="G22" s="525">
        <v>49.915473656424275</v>
      </c>
      <c r="H22" s="525">
        <v>53.215571843361602</v>
      </c>
      <c r="I22" s="526">
        <v>51.441913100688524</v>
      </c>
      <c r="J22" s="526">
        <v>53.090235027721931</v>
      </c>
      <c r="K22" s="526">
        <v>59.141764870931532</v>
      </c>
      <c r="L22" s="527">
        <v>3555</v>
      </c>
      <c r="M22" s="527">
        <v>3753</v>
      </c>
      <c r="N22" s="209">
        <v>3593</v>
      </c>
      <c r="O22" s="527">
        <v>3670</v>
      </c>
      <c r="P22" s="527">
        <v>4047</v>
      </c>
    </row>
    <row r="23" spans="1:16" s="504" customFormat="1" ht="26.25" customHeight="1">
      <c r="A23" s="521" t="s">
        <v>31</v>
      </c>
      <c r="B23" s="525">
        <v>521.40542763157896</v>
      </c>
      <c r="C23" s="525">
        <v>509.7991004497751</v>
      </c>
      <c r="D23" s="525">
        <v>554</v>
      </c>
      <c r="E23" s="525">
        <v>568.00937499999998</v>
      </c>
      <c r="F23" s="525">
        <v>574.73267326732673</v>
      </c>
      <c r="G23" s="525">
        <v>42.67023934333713</v>
      </c>
      <c r="H23" s="525">
        <v>44.143083152795626</v>
      </c>
      <c r="I23" s="526">
        <v>43.741725328697846</v>
      </c>
      <c r="J23" s="526">
        <v>45.492834541075844</v>
      </c>
      <c r="K23" s="526">
        <v>48.301966029776096</v>
      </c>
      <c r="L23" s="527">
        <v>1302</v>
      </c>
      <c r="M23" s="527">
        <v>1334</v>
      </c>
      <c r="N23" s="209">
        <v>1306</v>
      </c>
      <c r="O23" s="527">
        <v>1348</v>
      </c>
      <c r="P23" s="527">
        <v>1417</v>
      </c>
    </row>
    <row r="24" spans="1:16" s="504" customFormat="1" ht="26.25" customHeight="1">
      <c r="A24" s="521" t="s">
        <v>761</v>
      </c>
      <c r="B24" s="525"/>
      <c r="C24" s="525"/>
      <c r="D24" s="525"/>
      <c r="E24" s="525"/>
      <c r="F24" s="525">
        <v>479.6</v>
      </c>
      <c r="G24" s="525"/>
      <c r="H24" s="525"/>
      <c r="I24" s="526"/>
      <c r="J24" s="526"/>
      <c r="K24" s="526">
        <v>13.665582406093526</v>
      </c>
      <c r="L24" s="527"/>
      <c r="M24" s="527"/>
      <c r="N24" s="209"/>
      <c r="O24" s="527"/>
      <c r="P24" s="527">
        <v>5</v>
      </c>
    </row>
    <row r="25" spans="1:16" s="504" customFormat="1" ht="26.25" customHeight="1">
      <c r="A25" s="521" t="s">
        <v>32</v>
      </c>
      <c r="B25" s="525">
        <v>0</v>
      </c>
      <c r="C25" s="525">
        <v>0</v>
      </c>
      <c r="D25" s="525">
        <v>0</v>
      </c>
      <c r="E25" s="525">
        <v>0</v>
      </c>
      <c r="F25" s="525">
        <v>0</v>
      </c>
      <c r="G25" s="525">
        <v>0</v>
      </c>
      <c r="H25" s="525">
        <v>0</v>
      </c>
      <c r="I25" s="526">
        <v>0</v>
      </c>
      <c r="J25" s="526">
        <v>0</v>
      </c>
      <c r="K25" s="526">
        <v>0</v>
      </c>
      <c r="L25" s="527">
        <v>0</v>
      </c>
      <c r="M25" s="527">
        <v>0</v>
      </c>
      <c r="N25" s="209">
        <v>0</v>
      </c>
      <c r="O25" s="527">
        <v>0</v>
      </c>
      <c r="P25" s="527">
        <v>0</v>
      </c>
    </row>
    <row r="26" spans="1:16" s="504" customFormat="1" ht="26.25" customHeight="1">
      <c r="A26" s="521" t="s">
        <v>33</v>
      </c>
      <c r="B26" s="525">
        <v>589.11414634146342</v>
      </c>
      <c r="C26" s="525">
        <v>575.06488725264614</v>
      </c>
      <c r="D26" s="525">
        <v>646</v>
      </c>
      <c r="E26" s="525">
        <v>733.92137203166226</v>
      </c>
      <c r="F26" s="525">
        <v>771.44707091469684</v>
      </c>
      <c r="G26" s="525">
        <v>25.717878739291379</v>
      </c>
      <c r="H26" s="525">
        <v>24.562109470371745</v>
      </c>
      <c r="I26" s="526">
        <v>23.850327739885003</v>
      </c>
      <c r="J26" s="526">
        <v>24.443424016093616</v>
      </c>
      <c r="K26" s="526">
        <v>26.726399597031072</v>
      </c>
      <c r="L26" s="527">
        <v>2260</v>
      </c>
      <c r="M26" s="527">
        <v>2173</v>
      </c>
      <c r="N26" s="209">
        <v>2124</v>
      </c>
      <c r="O26" s="527">
        <v>2191</v>
      </c>
      <c r="P26" s="527">
        <v>2411</v>
      </c>
    </row>
    <row r="27" spans="1:16" s="504" customFormat="1" ht="26.25" customHeight="1">
      <c r="A27" s="521" t="s">
        <v>34</v>
      </c>
      <c r="B27" s="525">
        <v>628.21539850982163</v>
      </c>
      <c r="C27" s="525">
        <v>645.95053663089129</v>
      </c>
      <c r="D27" s="525">
        <v>678</v>
      </c>
      <c r="E27" s="525">
        <v>681.44953917050691</v>
      </c>
      <c r="F27" s="525">
        <v>669.65264797507791</v>
      </c>
      <c r="G27" s="525">
        <v>34.247815212011517</v>
      </c>
      <c r="H27" s="525">
        <v>32.210662240243295</v>
      </c>
      <c r="I27" s="526">
        <v>32.510076315030325</v>
      </c>
      <c r="J27" s="526">
        <v>32.799234825592713</v>
      </c>
      <c r="K27" s="526">
        <v>34.063299069171464</v>
      </c>
      <c r="L27" s="527">
        <v>4569</v>
      </c>
      <c r="M27" s="527">
        <v>4286</v>
      </c>
      <c r="N27" s="209">
        <v>4314</v>
      </c>
      <c r="O27" s="527">
        <v>4340</v>
      </c>
      <c r="P27" s="527">
        <v>4494</v>
      </c>
    </row>
    <row r="28" spans="1:16" s="504" customFormat="1" ht="26.25" customHeight="1">
      <c r="A28" s="521" t="s">
        <v>35</v>
      </c>
      <c r="B28" s="525">
        <v>1070.2168674698796</v>
      </c>
      <c r="C28" s="525">
        <v>1001.7586206896551</v>
      </c>
      <c r="D28" s="525">
        <v>1156</v>
      </c>
      <c r="E28" s="525">
        <v>1039.1208791208792</v>
      </c>
      <c r="F28" s="525">
        <v>1056.4158415841584</v>
      </c>
      <c r="G28" s="525">
        <v>29.924569447358554</v>
      </c>
      <c r="H28" s="525">
        <v>30.119856255582558</v>
      </c>
      <c r="I28" s="526">
        <v>26.410214378084987</v>
      </c>
      <c r="J28" s="526">
        <v>28.117273480215527</v>
      </c>
      <c r="K28" s="526">
        <v>31.388188809187508</v>
      </c>
      <c r="L28" s="527">
        <v>87</v>
      </c>
      <c r="M28" s="527">
        <v>87</v>
      </c>
      <c r="N28" s="209">
        <v>87</v>
      </c>
      <c r="O28" s="527">
        <v>92</v>
      </c>
      <c r="P28" s="527">
        <v>102</v>
      </c>
    </row>
    <row r="29" spans="1:16" s="504" customFormat="1" ht="26.25" customHeight="1">
      <c r="A29" s="521" t="s">
        <v>36</v>
      </c>
      <c r="B29" s="525">
        <v>1087.2291666666667</v>
      </c>
      <c r="C29" s="525">
        <v>937.98412698412699</v>
      </c>
      <c r="D29" s="525">
        <v>1087</v>
      </c>
      <c r="E29" s="525">
        <v>1038.8627450980391</v>
      </c>
      <c r="F29" s="525">
        <v>1105.3859649122808</v>
      </c>
      <c r="G29" s="525">
        <v>18.296242300331368</v>
      </c>
      <c r="H29" s="525">
        <v>18.415667933352822</v>
      </c>
      <c r="I29" s="526">
        <v>17.655575042079121</v>
      </c>
      <c r="J29" s="526">
        <v>18.663956936622533</v>
      </c>
      <c r="K29" s="526">
        <v>19.985622283670555</v>
      </c>
      <c r="L29" s="527">
        <v>63</v>
      </c>
      <c r="M29" s="527">
        <v>63</v>
      </c>
      <c r="N29" s="209">
        <v>60</v>
      </c>
      <c r="O29" s="527">
        <v>63</v>
      </c>
      <c r="P29" s="527">
        <v>67</v>
      </c>
    </row>
    <row r="30" spans="1:16" s="504" customFormat="1" ht="26.25" customHeight="1">
      <c r="A30" s="521" t="s">
        <v>37</v>
      </c>
      <c r="B30" s="525">
        <v>652.89655172413791</v>
      </c>
      <c r="C30" s="525">
        <v>657.86666666666667</v>
      </c>
      <c r="D30" s="525">
        <v>612</v>
      </c>
      <c r="E30" s="525">
        <v>603.34375</v>
      </c>
      <c r="F30" s="525">
        <v>559.42857142857144</v>
      </c>
      <c r="G30" s="525">
        <v>22.21337091733562</v>
      </c>
      <c r="H30" s="525">
        <v>23.129409043598937</v>
      </c>
      <c r="I30" s="526">
        <v>23.283248478827769</v>
      </c>
      <c r="J30" s="526">
        <v>25.004102235523014</v>
      </c>
      <c r="K30" s="526">
        <v>27.536722185943685</v>
      </c>
      <c r="L30" s="527">
        <v>29</v>
      </c>
      <c r="M30" s="527">
        <v>30</v>
      </c>
      <c r="N30" s="209">
        <v>30</v>
      </c>
      <c r="O30" s="527">
        <v>32</v>
      </c>
      <c r="P30" s="527">
        <v>35</v>
      </c>
    </row>
    <row r="31" spans="1:16" s="504" customFormat="1" ht="26.25" customHeight="1">
      <c r="A31" s="521" t="s">
        <v>38</v>
      </c>
      <c r="B31" s="525">
        <v>415.96923076923076</v>
      </c>
      <c r="C31" s="525">
        <v>463.33846153846156</v>
      </c>
      <c r="D31" s="525">
        <v>484</v>
      </c>
      <c r="E31" s="525">
        <v>496.969696969697</v>
      </c>
      <c r="F31" s="525">
        <v>507.030303030303</v>
      </c>
      <c r="G31" s="525">
        <v>26.255730818168967</v>
      </c>
      <c r="H31" s="525">
        <v>26.4273836483613</v>
      </c>
      <c r="I31" s="526">
        <v>27.01275738860307</v>
      </c>
      <c r="J31" s="526">
        <v>27.608259402260583</v>
      </c>
      <c r="K31" s="526">
        <v>27.798522944154012</v>
      </c>
      <c r="L31" s="527">
        <v>65</v>
      </c>
      <c r="M31" s="527">
        <v>65</v>
      </c>
      <c r="N31" s="209">
        <v>66</v>
      </c>
      <c r="O31" s="527">
        <v>67</v>
      </c>
      <c r="P31" s="527">
        <v>67</v>
      </c>
    </row>
    <row r="32" spans="1:16" s="504" customFormat="1" ht="26.25" customHeight="1">
      <c r="A32" s="521" t="s">
        <v>39</v>
      </c>
      <c r="B32" s="525">
        <v>661.01407129455913</v>
      </c>
      <c r="C32" s="525">
        <v>681.99062792877226</v>
      </c>
      <c r="D32" s="525">
        <v>685</v>
      </c>
      <c r="E32" s="525">
        <v>682.1530418250951</v>
      </c>
      <c r="F32" s="525">
        <v>658.6471680594243</v>
      </c>
      <c r="G32" s="525">
        <v>23.112085236339329</v>
      </c>
      <c r="H32" s="525">
        <v>22.995550888917048</v>
      </c>
      <c r="I32" s="526">
        <v>22.53494809284485</v>
      </c>
      <c r="J32" s="526">
        <v>23.049981345142218</v>
      </c>
      <c r="K32" s="526">
        <v>23.679838131859011</v>
      </c>
      <c r="L32" s="527">
        <v>1076</v>
      </c>
      <c r="M32" s="527">
        <v>1067</v>
      </c>
      <c r="N32" s="209">
        <v>1042</v>
      </c>
      <c r="O32" s="527">
        <v>1062</v>
      </c>
      <c r="P32" s="527">
        <v>1087</v>
      </c>
    </row>
    <row r="33" spans="1:16" s="504" customFormat="1" ht="26.25" customHeight="1">
      <c r="A33" s="521" t="s">
        <v>40</v>
      </c>
      <c r="B33" s="525">
        <v>541.66233766233768</v>
      </c>
      <c r="C33" s="525">
        <v>548.56578947368416</v>
      </c>
      <c r="D33" s="525">
        <v>569</v>
      </c>
      <c r="E33" s="525">
        <v>599.89189189189187</v>
      </c>
      <c r="F33" s="525">
        <v>667.68115942028987</v>
      </c>
      <c r="G33" s="525">
        <v>55.436762493070404</v>
      </c>
      <c r="H33" s="525">
        <v>48.950463419189873</v>
      </c>
      <c r="I33" s="526">
        <v>47.232545709917588</v>
      </c>
      <c r="J33" s="526">
        <v>45.565461380273753</v>
      </c>
      <c r="K33" s="526">
        <v>45.686658917284014</v>
      </c>
      <c r="L33" s="527">
        <v>84</v>
      </c>
      <c r="M33" s="527">
        <v>76</v>
      </c>
      <c r="N33" s="209">
        <v>76</v>
      </c>
      <c r="O33" s="527">
        <v>76</v>
      </c>
      <c r="P33" s="527">
        <v>79</v>
      </c>
    </row>
    <row r="34" spans="1:16" s="504" customFormat="1" ht="26.25" customHeight="1">
      <c r="A34" s="521" t="s">
        <v>41</v>
      </c>
      <c r="B34" s="525">
        <v>632.89583333333337</v>
      </c>
      <c r="C34" s="525">
        <v>579.95692883895128</v>
      </c>
      <c r="D34" s="525">
        <v>576</v>
      </c>
      <c r="E34" s="525">
        <v>545.60714285714289</v>
      </c>
      <c r="F34" s="525">
        <v>521.34890656063624</v>
      </c>
      <c r="G34" s="525">
        <v>32.327556347700416</v>
      </c>
      <c r="H34" s="525">
        <v>33.319512599174686</v>
      </c>
      <c r="I34" s="526">
        <v>33.292989691503934</v>
      </c>
      <c r="J34" s="526">
        <v>34.064267704766941</v>
      </c>
      <c r="K34" s="526">
        <v>35.0486035453985</v>
      </c>
      <c r="L34" s="527">
        <v>1050</v>
      </c>
      <c r="M34" s="527">
        <v>1068</v>
      </c>
      <c r="N34" s="209">
        <v>1053</v>
      </c>
      <c r="O34" s="527">
        <v>1063</v>
      </c>
      <c r="P34" s="527">
        <v>1079</v>
      </c>
    </row>
    <row r="35" spans="1:16" s="504" customFormat="1" ht="26.25" customHeight="1">
      <c r="A35" s="521" t="s">
        <v>42</v>
      </c>
      <c r="B35" s="525">
        <v>550.52508361204013</v>
      </c>
      <c r="C35" s="525">
        <v>443.16109896971591</v>
      </c>
      <c r="D35" s="525">
        <v>526</v>
      </c>
      <c r="E35" s="525">
        <v>520.6484700973574</v>
      </c>
      <c r="F35" s="525">
        <v>517.23024830699774</v>
      </c>
      <c r="G35" s="525">
        <v>35.030425360098413</v>
      </c>
      <c r="H35" s="525">
        <v>36.321357491175092</v>
      </c>
      <c r="I35" s="526">
        <v>33.11083271784733</v>
      </c>
      <c r="J35" s="526">
        <v>34.899143024782589</v>
      </c>
      <c r="K35" s="526">
        <v>36.914462092396903</v>
      </c>
      <c r="L35" s="527">
        <v>3050</v>
      </c>
      <c r="M35" s="527">
        <v>3203</v>
      </c>
      <c r="N35" s="209">
        <v>2957</v>
      </c>
      <c r="O35" s="527">
        <v>3156</v>
      </c>
      <c r="P35" s="527">
        <v>3380</v>
      </c>
    </row>
    <row r="36" spans="1:16" s="504" customFormat="1" ht="26.25" customHeight="1">
      <c r="A36" s="521" t="s">
        <v>43</v>
      </c>
      <c r="B36" s="525">
        <v>580.07142857142856</v>
      </c>
      <c r="C36" s="525">
        <v>586.29411764705878</v>
      </c>
      <c r="D36" s="525">
        <v>737</v>
      </c>
      <c r="E36" s="525">
        <v>751.0625</v>
      </c>
      <c r="F36" s="525">
        <v>633.89473684210532</v>
      </c>
      <c r="G36" s="525">
        <v>20.343034417871355</v>
      </c>
      <c r="H36" s="525">
        <v>21.756101306645849</v>
      </c>
      <c r="I36" s="526">
        <v>21.900725300490834</v>
      </c>
      <c r="J36" s="526">
        <v>24.64363999533068</v>
      </c>
      <c r="K36" s="526">
        <v>28.73150409423933</v>
      </c>
      <c r="L36" s="527">
        <v>16</v>
      </c>
      <c r="M36" s="527">
        <v>17</v>
      </c>
      <c r="N36" s="209">
        <v>17</v>
      </c>
      <c r="O36" s="527">
        <v>19</v>
      </c>
      <c r="P36" s="527">
        <v>22</v>
      </c>
    </row>
    <row r="37" spans="1:16" s="504" customFormat="1" ht="26.25" customHeight="1">
      <c r="A37" s="521" t="s">
        <v>44</v>
      </c>
      <c r="B37" s="525">
        <v>895.29138225255974</v>
      </c>
      <c r="C37" s="525">
        <v>922.28842905405406</v>
      </c>
      <c r="D37" s="525">
        <v>919</v>
      </c>
      <c r="E37" s="525">
        <v>923.89886271324121</v>
      </c>
      <c r="F37" s="525">
        <v>872.42714723926383</v>
      </c>
      <c r="G37" s="525">
        <v>32.435174851343348</v>
      </c>
      <c r="H37" s="525">
        <v>32.946678277773614</v>
      </c>
      <c r="I37" s="526">
        <v>34.940635549241485</v>
      </c>
      <c r="J37" s="526">
        <v>35.414075414747508</v>
      </c>
      <c r="K37" s="526">
        <v>38.086382542252899</v>
      </c>
      <c r="L37" s="527">
        <v>2368</v>
      </c>
      <c r="M37" s="527">
        <v>2368</v>
      </c>
      <c r="N37" s="209">
        <v>2472</v>
      </c>
      <c r="O37" s="527">
        <v>2466</v>
      </c>
      <c r="P37" s="527">
        <v>2610</v>
      </c>
    </row>
    <row r="38" spans="1:16" s="504" customFormat="1" ht="26.25" customHeight="1">
      <c r="A38" s="521" t="s">
        <v>134</v>
      </c>
      <c r="B38" s="525">
        <v>574.14025590551182</v>
      </c>
      <c r="C38" s="525">
        <v>483.32025316455696</v>
      </c>
      <c r="D38" s="525">
        <v>558</v>
      </c>
      <c r="E38" s="525">
        <v>554.43471659919032</v>
      </c>
      <c r="F38" s="525">
        <v>545.16013712047015</v>
      </c>
      <c r="G38" s="525">
        <v>60.484407642232021</v>
      </c>
      <c r="H38" s="525">
        <v>58.975028927624948</v>
      </c>
      <c r="I38" s="526">
        <v>51</v>
      </c>
      <c r="J38" s="526">
        <v>50.443204960282323</v>
      </c>
      <c r="K38" s="526">
        <v>53.071959272716839</v>
      </c>
      <c r="L38" s="527">
        <v>2454</v>
      </c>
      <c r="M38" s="527">
        <v>2370</v>
      </c>
      <c r="N38" s="209">
        <v>2045</v>
      </c>
      <c r="O38" s="527">
        <v>1988</v>
      </c>
      <c r="P38" s="527">
        <v>2071</v>
      </c>
    </row>
    <row r="39" spans="1:16" s="504" customFormat="1" ht="26.25" customHeight="1">
      <c r="A39" s="521" t="s">
        <v>45</v>
      </c>
      <c r="B39" s="525">
        <v>1097.06</v>
      </c>
      <c r="C39" s="525">
        <v>1206.75</v>
      </c>
      <c r="D39" s="525">
        <v>1156</v>
      </c>
      <c r="E39" s="525">
        <v>1152.5576923076924</v>
      </c>
      <c r="F39" s="525">
        <v>1174.6603773584907</v>
      </c>
      <c r="G39" s="525">
        <v>11.629471360716558</v>
      </c>
      <c r="H39" s="525">
        <v>11.93489971241482</v>
      </c>
      <c r="I39" s="526">
        <v>12.014343277512845</v>
      </c>
      <c r="J39" s="526">
        <v>12.095836240986277</v>
      </c>
      <c r="K39" s="526">
        <v>12.413195460986262</v>
      </c>
      <c r="L39" s="527">
        <v>51</v>
      </c>
      <c r="M39" s="527">
        <v>52</v>
      </c>
      <c r="N39" s="209">
        <v>52</v>
      </c>
      <c r="O39" s="527">
        <v>52</v>
      </c>
      <c r="P39" s="527">
        <v>53</v>
      </c>
    </row>
    <row r="40" spans="1:16" s="504" customFormat="1" ht="26.25" customHeight="1">
      <c r="A40" s="521" t="s">
        <v>47</v>
      </c>
      <c r="B40" s="525">
        <v>920.49777473467987</v>
      </c>
      <c r="C40" s="525">
        <v>775.51222960554219</v>
      </c>
      <c r="D40" s="525">
        <v>816</v>
      </c>
      <c r="E40" s="525">
        <v>743.25252055219482</v>
      </c>
      <c r="F40" s="525">
        <v>691.991724738676</v>
      </c>
      <c r="G40" s="525">
        <v>26.488196103243979</v>
      </c>
      <c r="H40" s="525">
        <v>28.632630957448381</v>
      </c>
      <c r="I40" s="526">
        <v>27.800530989338647</v>
      </c>
      <c r="J40" s="526">
        <v>28.20553426215271</v>
      </c>
      <c r="K40" s="526">
        <v>30.795564742732079</v>
      </c>
      <c r="L40" s="527">
        <v>6491</v>
      </c>
      <c r="M40" s="527">
        <v>7073</v>
      </c>
      <c r="N40" s="209">
        <v>6922</v>
      </c>
      <c r="O40" s="527">
        <v>7078</v>
      </c>
      <c r="P40" s="527">
        <v>7788</v>
      </c>
    </row>
    <row r="41" spans="1:16" s="504" customFormat="1" ht="26.25" customHeight="1">
      <c r="A41" s="521" t="s">
        <v>46</v>
      </c>
      <c r="B41" s="525">
        <v>683.64864864864865</v>
      </c>
      <c r="C41" s="525">
        <v>507.60897435897436</v>
      </c>
      <c r="D41" s="525">
        <v>621</v>
      </c>
      <c r="E41" s="525">
        <v>641.19746835443038</v>
      </c>
      <c r="F41" s="525">
        <v>633.90594059405942</v>
      </c>
      <c r="G41" s="525">
        <v>36.018237206756993</v>
      </c>
      <c r="H41" s="525">
        <v>38.630977586603969</v>
      </c>
      <c r="I41" s="526">
        <v>36.545214736359505</v>
      </c>
      <c r="J41" s="526">
        <v>36.609033905983324</v>
      </c>
      <c r="K41" s="526">
        <v>38.190188822724345</v>
      </c>
      <c r="L41" s="527">
        <v>439</v>
      </c>
      <c r="M41" s="527">
        <v>468</v>
      </c>
      <c r="N41" s="209">
        <v>440</v>
      </c>
      <c r="O41" s="527">
        <v>438</v>
      </c>
      <c r="P41" s="527">
        <v>454</v>
      </c>
    </row>
    <row r="42" spans="1:16" s="504" customFormat="1" ht="26.25" customHeight="1">
      <c r="A42" s="521" t="s">
        <v>48</v>
      </c>
      <c r="B42" s="525">
        <v>1427.3058387395736</v>
      </c>
      <c r="C42" s="525">
        <v>1323.0140728476822</v>
      </c>
      <c r="D42" s="525">
        <v>1170</v>
      </c>
      <c r="E42" s="525">
        <v>1170.2080291970804</v>
      </c>
      <c r="F42" s="525">
        <v>1179.3669268985095</v>
      </c>
      <c r="G42" s="525">
        <v>9.9188460550173279</v>
      </c>
      <c r="H42" s="525">
        <v>11.09148676972935</v>
      </c>
      <c r="I42" s="526">
        <v>12.333531810303105</v>
      </c>
      <c r="J42" s="526">
        <v>12.631944390698024</v>
      </c>
      <c r="K42" s="526">
        <v>13.024762464240748</v>
      </c>
      <c r="L42" s="527">
        <v>1082</v>
      </c>
      <c r="M42" s="527">
        <v>1208</v>
      </c>
      <c r="N42" s="209">
        <v>1341</v>
      </c>
      <c r="O42" s="527">
        <v>1371</v>
      </c>
      <c r="P42" s="527">
        <v>1411</v>
      </c>
    </row>
  </sheetData>
  <mergeCells count="4">
    <mergeCell ref="A2:A3"/>
    <mergeCell ref="B2:F2"/>
    <mergeCell ref="G2:K2"/>
    <mergeCell ref="L2:P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69" firstPageNumber="2" pageOrder="overThenDown" orientation="portrait" useFirstPageNumber="1" r:id="rId1"/>
  <headerFooter alignWithMargins="0">
    <oddFooter>&amp;L&amp;"Arial,Italic"&amp;9AISHE 2019-20&amp;CT-42</oddFooter>
  </headerFooter>
  <colBreaks count="2" manualBreakCount="2">
    <brk id="6" max="41" man="1"/>
    <brk id="11" max="41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AB228"/>
  <sheetViews>
    <sheetView showZeros="0" view="pageBreakPreview" zoomScaleSheetLayoutView="100" workbookViewId="0">
      <pane xSplit="1" ySplit="3" topLeftCell="Z200" activePane="bottomRight" state="frozen"/>
      <selection activeCell="A20" sqref="A20"/>
      <selection pane="topRight" activeCell="A20" sqref="A20"/>
      <selection pane="bottomLeft" activeCell="A20" sqref="A20"/>
      <selection pane="bottomRight" activeCell="Z96" sqref="Z96"/>
    </sheetView>
  </sheetViews>
  <sheetFormatPr defaultColWidth="8.85546875" defaultRowHeight="14.25"/>
  <cols>
    <col min="1" max="1" width="30.140625" style="497" customWidth="1"/>
    <col min="2" max="4" width="9.28515625" style="497" customWidth="1"/>
    <col min="5" max="7" width="8.7109375" style="497" customWidth="1"/>
    <col min="8" max="9" width="9.28515625" style="497" customWidth="1"/>
    <col min="10" max="10" width="11.140625" style="497" customWidth="1"/>
    <col min="11" max="12" width="10.85546875" style="497" customWidth="1"/>
    <col min="13" max="13" width="13.5703125" style="497" customWidth="1"/>
    <col min="14" max="25" width="9.28515625" style="497" customWidth="1"/>
    <col min="26" max="26" width="11.140625" style="497" customWidth="1"/>
    <col min="27" max="27" width="13.140625" style="497" customWidth="1"/>
    <col min="28" max="28" width="10.5703125" style="497" customWidth="1"/>
    <col min="29" max="16384" width="8.85546875" style="497"/>
  </cols>
  <sheetData>
    <row r="1" spans="1:28" s="659" customFormat="1" ht="28.5" customHeight="1">
      <c r="A1" s="528" t="s">
        <v>838</v>
      </c>
      <c r="B1" s="506" t="s">
        <v>877</v>
      </c>
      <c r="C1" s="530"/>
      <c r="D1" s="530"/>
      <c r="E1" s="530"/>
      <c r="F1" s="530"/>
      <c r="G1" s="530"/>
      <c r="H1" s="530"/>
      <c r="I1" s="530"/>
      <c r="J1" s="530"/>
      <c r="K1" s="565" t="str">
        <f>B1</f>
        <v>Estimated Student Enrolment at various levels during last 5 years</v>
      </c>
      <c r="L1" s="530"/>
      <c r="M1" s="530"/>
      <c r="N1" s="530"/>
      <c r="O1" s="530"/>
      <c r="P1" s="530"/>
      <c r="Q1" s="530"/>
      <c r="R1" s="530"/>
      <c r="S1" s="530"/>
      <c r="T1" s="565" t="str">
        <f>K1</f>
        <v>Estimated Student Enrolment at various levels during last 5 years</v>
      </c>
      <c r="U1" s="530"/>
      <c r="V1" s="530"/>
      <c r="W1" s="530"/>
      <c r="X1" s="530"/>
      <c r="Y1" s="530"/>
      <c r="Z1" s="530"/>
      <c r="AA1" s="530"/>
      <c r="AB1" s="530"/>
    </row>
    <row r="2" spans="1:28" s="532" customFormat="1" ht="18.75" customHeight="1">
      <c r="A2" s="990" t="s">
        <v>713</v>
      </c>
      <c r="B2" s="988" t="s">
        <v>89</v>
      </c>
      <c r="C2" s="989"/>
      <c r="D2" s="989"/>
      <c r="E2" s="988" t="s">
        <v>90</v>
      </c>
      <c r="F2" s="989"/>
      <c r="G2" s="989"/>
      <c r="H2" s="988" t="s">
        <v>85</v>
      </c>
      <c r="I2" s="988"/>
      <c r="J2" s="988"/>
      <c r="K2" s="988" t="s">
        <v>86</v>
      </c>
      <c r="L2" s="988"/>
      <c r="M2" s="988"/>
      <c r="N2" s="988" t="s">
        <v>91</v>
      </c>
      <c r="O2" s="988"/>
      <c r="P2" s="988"/>
      <c r="Q2" s="988" t="s">
        <v>92</v>
      </c>
      <c r="R2" s="988"/>
      <c r="S2" s="988"/>
      <c r="T2" s="988" t="s">
        <v>93</v>
      </c>
      <c r="U2" s="988"/>
      <c r="V2" s="988"/>
      <c r="W2" s="988" t="s">
        <v>94</v>
      </c>
      <c r="X2" s="989"/>
      <c r="Y2" s="989"/>
      <c r="Z2" s="988" t="s">
        <v>60</v>
      </c>
      <c r="AA2" s="989"/>
      <c r="AB2" s="989"/>
    </row>
    <row r="3" spans="1:28" s="532" customFormat="1" ht="18.75" customHeight="1">
      <c r="A3" s="990"/>
      <c r="B3" s="533" t="s">
        <v>87</v>
      </c>
      <c r="C3" s="533" t="s">
        <v>88</v>
      </c>
      <c r="D3" s="533" t="s">
        <v>714</v>
      </c>
      <c r="E3" s="533" t="s">
        <v>87</v>
      </c>
      <c r="F3" s="533" t="s">
        <v>88</v>
      </c>
      <c r="G3" s="533" t="s">
        <v>714</v>
      </c>
      <c r="H3" s="533" t="s">
        <v>87</v>
      </c>
      <c r="I3" s="533" t="s">
        <v>88</v>
      </c>
      <c r="J3" s="533" t="s">
        <v>714</v>
      </c>
      <c r="K3" s="677" t="s">
        <v>87</v>
      </c>
      <c r="L3" s="533" t="s">
        <v>88</v>
      </c>
      <c r="M3" s="533" t="s">
        <v>714</v>
      </c>
      <c r="N3" s="533" t="s">
        <v>87</v>
      </c>
      <c r="O3" s="533" t="s">
        <v>88</v>
      </c>
      <c r="P3" s="533" t="s">
        <v>714</v>
      </c>
      <c r="Q3" s="533" t="s">
        <v>87</v>
      </c>
      <c r="R3" s="533" t="s">
        <v>88</v>
      </c>
      <c r="S3" s="533" t="s">
        <v>714</v>
      </c>
      <c r="T3" s="533" t="s">
        <v>87</v>
      </c>
      <c r="U3" s="533" t="s">
        <v>88</v>
      </c>
      <c r="V3" s="533" t="s">
        <v>714</v>
      </c>
      <c r="W3" s="533" t="s">
        <v>87</v>
      </c>
      <c r="X3" s="533" t="s">
        <v>88</v>
      </c>
      <c r="Y3" s="533" t="s">
        <v>714</v>
      </c>
      <c r="Z3" s="533" t="s">
        <v>87</v>
      </c>
      <c r="AA3" s="533" t="s">
        <v>88</v>
      </c>
      <c r="AB3" s="533" t="s">
        <v>714</v>
      </c>
    </row>
    <row r="4" spans="1:28" s="536" customFormat="1">
      <c r="A4" s="700">
        <v>1</v>
      </c>
      <c r="B4" s="701">
        <v>2</v>
      </c>
      <c r="C4" s="701">
        <v>3</v>
      </c>
      <c r="D4" s="700">
        <v>4</v>
      </c>
      <c r="E4" s="701">
        <v>5</v>
      </c>
      <c r="F4" s="701">
        <v>6</v>
      </c>
      <c r="G4" s="701">
        <v>7</v>
      </c>
      <c r="H4" s="700">
        <v>8</v>
      </c>
      <c r="I4" s="701">
        <v>9</v>
      </c>
      <c r="J4" s="701">
        <v>10</v>
      </c>
      <c r="K4" s="709">
        <v>11</v>
      </c>
      <c r="L4" s="700">
        <v>12</v>
      </c>
      <c r="M4" s="701">
        <v>13</v>
      </c>
      <c r="N4" s="701">
        <v>14</v>
      </c>
      <c r="O4" s="701">
        <v>15</v>
      </c>
      <c r="P4" s="700">
        <v>16</v>
      </c>
      <c r="Q4" s="701">
        <v>17</v>
      </c>
      <c r="R4" s="701">
        <v>18</v>
      </c>
      <c r="S4" s="701">
        <v>19</v>
      </c>
      <c r="T4" s="718">
        <v>20</v>
      </c>
      <c r="U4" s="701">
        <v>21</v>
      </c>
      <c r="V4" s="701">
        <v>22</v>
      </c>
      <c r="W4" s="701">
        <v>23</v>
      </c>
      <c r="X4" s="700">
        <v>24</v>
      </c>
      <c r="Y4" s="701">
        <v>25</v>
      </c>
      <c r="Z4" s="701">
        <v>26</v>
      </c>
      <c r="AA4" s="535">
        <v>27</v>
      </c>
      <c r="AB4" s="700">
        <v>28</v>
      </c>
    </row>
    <row r="5" spans="1:28" ht="15">
      <c r="A5" s="579" t="s">
        <v>833</v>
      </c>
      <c r="B5" s="551"/>
      <c r="C5" s="551"/>
      <c r="D5" s="551"/>
      <c r="E5" s="551"/>
      <c r="F5" s="551"/>
      <c r="G5" s="551"/>
      <c r="H5" s="551"/>
      <c r="I5" s="551"/>
      <c r="J5" s="552"/>
      <c r="K5" s="551"/>
      <c r="L5" s="551"/>
      <c r="M5" s="551"/>
      <c r="N5" s="551"/>
      <c r="O5" s="551"/>
      <c r="P5" s="551"/>
      <c r="Q5" s="551"/>
      <c r="R5" s="551"/>
      <c r="S5" s="552"/>
      <c r="T5" s="551"/>
      <c r="U5" s="551"/>
      <c r="V5" s="551"/>
      <c r="W5" s="551"/>
      <c r="X5" s="551"/>
      <c r="Y5" s="551"/>
      <c r="Z5" s="551"/>
      <c r="AA5" s="551"/>
      <c r="AB5" s="552"/>
    </row>
    <row r="6" spans="1:28">
      <c r="A6" s="570" t="s">
        <v>832</v>
      </c>
      <c r="B6" s="702">
        <v>111444</v>
      </c>
      <c r="C6" s="702">
        <v>91106</v>
      </c>
      <c r="D6" s="702">
        <v>202550</v>
      </c>
      <c r="E6" s="702">
        <v>9043</v>
      </c>
      <c r="F6" s="702">
        <v>14891</v>
      </c>
      <c r="G6" s="702">
        <v>23934</v>
      </c>
      <c r="H6" s="702">
        <v>1860163</v>
      </c>
      <c r="I6" s="702">
        <v>2452372</v>
      </c>
      <c r="J6" s="702">
        <v>4312535</v>
      </c>
      <c r="K6" s="710">
        <v>15563077</v>
      </c>
      <c r="L6" s="702">
        <v>15084210</v>
      </c>
      <c r="M6" s="702">
        <v>30647287</v>
      </c>
      <c r="N6" s="702">
        <v>116346</v>
      </c>
      <c r="O6" s="702">
        <v>100903</v>
      </c>
      <c r="P6" s="702">
        <v>217249</v>
      </c>
      <c r="Q6" s="702">
        <v>1740798</v>
      </c>
      <c r="R6" s="702">
        <v>931764</v>
      </c>
      <c r="S6" s="702">
        <v>2672562</v>
      </c>
      <c r="T6" s="710">
        <v>74164</v>
      </c>
      <c r="U6" s="702">
        <v>85705</v>
      </c>
      <c r="V6" s="702">
        <v>159869</v>
      </c>
      <c r="W6" s="702">
        <v>168712</v>
      </c>
      <c r="X6" s="702">
        <v>131661</v>
      </c>
      <c r="Y6" s="702">
        <v>300373</v>
      </c>
      <c r="Z6" s="702">
        <v>19643747</v>
      </c>
      <c r="AA6" s="702">
        <v>18892612</v>
      </c>
      <c r="AB6" s="702">
        <v>38536359</v>
      </c>
    </row>
    <row r="7" spans="1:28">
      <c r="A7" s="541" t="s">
        <v>831</v>
      </c>
      <c r="B7" s="515">
        <v>95043</v>
      </c>
      <c r="C7" s="515">
        <v>74127</v>
      </c>
      <c r="D7" s="515">
        <v>169170</v>
      </c>
      <c r="E7" s="515">
        <v>11623</v>
      </c>
      <c r="F7" s="515">
        <v>19069</v>
      </c>
      <c r="G7" s="515">
        <v>30692</v>
      </c>
      <c r="H7" s="515">
        <v>1761330</v>
      </c>
      <c r="I7" s="515">
        <v>2281192</v>
      </c>
      <c r="J7" s="515">
        <v>4042522</v>
      </c>
      <c r="K7" s="549">
        <v>15203346</v>
      </c>
      <c r="L7" s="515">
        <v>14625729</v>
      </c>
      <c r="M7" s="515">
        <v>29829075</v>
      </c>
      <c r="N7" s="515">
        <v>121555</v>
      </c>
      <c r="O7" s="515">
        <v>103156</v>
      </c>
      <c r="P7" s="515">
        <v>224711</v>
      </c>
      <c r="Q7" s="515">
        <v>1803208</v>
      </c>
      <c r="R7" s="515">
        <v>896187</v>
      </c>
      <c r="S7" s="515">
        <v>2699395</v>
      </c>
      <c r="T7" s="549">
        <v>75127</v>
      </c>
      <c r="U7" s="515">
        <v>87570</v>
      </c>
      <c r="V7" s="515">
        <v>162697</v>
      </c>
      <c r="W7" s="515">
        <v>138656</v>
      </c>
      <c r="X7" s="515">
        <v>102470</v>
      </c>
      <c r="Y7" s="515">
        <v>241126</v>
      </c>
      <c r="Z7" s="515">
        <v>19209888</v>
      </c>
      <c r="AA7" s="515">
        <v>18189500</v>
      </c>
      <c r="AB7" s="515">
        <v>37399388</v>
      </c>
    </row>
    <row r="8" spans="1:28">
      <c r="A8" s="541" t="s">
        <v>830</v>
      </c>
      <c r="B8" s="515">
        <v>92570</v>
      </c>
      <c r="C8" s="515">
        <v>68842</v>
      </c>
      <c r="D8" s="515">
        <v>161412</v>
      </c>
      <c r="E8" s="515">
        <v>12287</v>
      </c>
      <c r="F8" s="515">
        <v>21822</v>
      </c>
      <c r="G8" s="515">
        <v>34109</v>
      </c>
      <c r="H8" s="515">
        <v>1891070.7673861897</v>
      </c>
      <c r="I8" s="515">
        <v>2223239.0743189426</v>
      </c>
      <c r="J8" s="542">
        <v>4114309.8417051332</v>
      </c>
      <c r="K8" s="711">
        <v>15052304.146459209</v>
      </c>
      <c r="L8" s="542">
        <v>13964045.595048957</v>
      </c>
      <c r="M8" s="542">
        <v>29016349.741508164</v>
      </c>
      <c r="N8" s="515">
        <v>126853</v>
      </c>
      <c r="O8" s="515">
        <v>108410</v>
      </c>
      <c r="P8" s="515">
        <v>235263</v>
      </c>
      <c r="Q8" s="515">
        <v>1838217</v>
      </c>
      <c r="R8" s="515">
        <v>869717</v>
      </c>
      <c r="S8" s="515">
        <v>2707934</v>
      </c>
      <c r="T8" s="549">
        <v>76962</v>
      </c>
      <c r="U8" s="515">
        <v>100261</v>
      </c>
      <c r="V8" s="515">
        <v>177223</v>
      </c>
      <c r="W8" s="515">
        <v>114411</v>
      </c>
      <c r="X8" s="515">
        <v>81366</v>
      </c>
      <c r="Y8" s="515">
        <v>195777</v>
      </c>
      <c r="Z8" s="515">
        <v>19204674.913845398</v>
      </c>
      <c r="AA8" s="542">
        <v>17437702.669367902</v>
      </c>
      <c r="AB8" s="515">
        <v>36642377.5832133</v>
      </c>
    </row>
    <row r="9" spans="1:28">
      <c r="A9" s="541" t="s">
        <v>829</v>
      </c>
      <c r="B9" s="515">
        <v>81795</v>
      </c>
      <c r="C9" s="515">
        <v>59242</v>
      </c>
      <c r="D9" s="515">
        <v>141037</v>
      </c>
      <c r="E9" s="515">
        <v>16464</v>
      </c>
      <c r="F9" s="515">
        <v>26803</v>
      </c>
      <c r="G9" s="515">
        <v>43267</v>
      </c>
      <c r="H9" s="515">
        <v>1820564</v>
      </c>
      <c r="I9" s="515">
        <v>2187006</v>
      </c>
      <c r="J9" s="515">
        <v>4007570</v>
      </c>
      <c r="K9" s="549">
        <v>14933909</v>
      </c>
      <c r="L9" s="515">
        <v>13414288</v>
      </c>
      <c r="M9" s="515">
        <v>28348197</v>
      </c>
      <c r="N9" s="515">
        <v>120792</v>
      </c>
      <c r="O9" s="515">
        <v>92259</v>
      </c>
      <c r="P9" s="515">
        <v>213051</v>
      </c>
      <c r="Q9" s="515">
        <v>1820977</v>
      </c>
      <c r="R9" s="515">
        <v>791232</v>
      </c>
      <c r="S9" s="515">
        <v>2612209</v>
      </c>
      <c r="T9" s="549">
        <v>83640</v>
      </c>
      <c r="U9" s="515">
        <v>82977</v>
      </c>
      <c r="V9" s="515">
        <v>166617</v>
      </c>
      <c r="W9" s="515">
        <v>102454</v>
      </c>
      <c r="X9" s="515">
        <v>71503</v>
      </c>
      <c r="Y9" s="515">
        <v>173957</v>
      </c>
      <c r="Z9" s="515">
        <v>18980595</v>
      </c>
      <c r="AA9" s="515">
        <v>16725310</v>
      </c>
      <c r="AB9" s="515">
        <v>35705905</v>
      </c>
    </row>
    <row r="10" spans="1:28" ht="18.600000000000001" customHeight="1">
      <c r="A10" s="703" t="s">
        <v>828</v>
      </c>
      <c r="B10" s="704">
        <v>74547</v>
      </c>
      <c r="C10" s="704">
        <v>51904</v>
      </c>
      <c r="D10" s="704">
        <v>126451</v>
      </c>
      <c r="E10" s="704">
        <v>17473</v>
      </c>
      <c r="F10" s="704">
        <v>25050</v>
      </c>
      <c r="G10" s="704">
        <v>42523</v>
      </c>
      <c r="H10" s="704">
        <v>1818443</v>
      </c>
      <c r="I10" s="704">
        <v>2098713</v>
      </c>
      <c r="J10" s="704">
        <v>3917156</v>
      </c>
      <c r="K10" s="712">
        <v>14611603</v>
      </c>
      <c r="L10" s="704">
        <v>12808847</v>
      </c>
      <c r="M10" s="704">
        <v>27420450</v>
      </c>
      <c r="N10" s="704">
        <v>123392</v>
      </c>
      <c r="O10" s="704">
        <v>106167</v>
      </c>
      <c r="P10" s="704">
        <v>229559</v>
      </c>
      <c r="Q10" s="704">
        <v>1793335</v>
      </c>
      <c r="R10" s="704">
        <v>755825</v>
      </c>
      <c r="S10" s="704">
        <v>2549160</v>
      </c>
      <c r="T10" s="712">
        <v>63284</v>
      </c>
      <c r="U10" s="704">
        <v>80776</v>
      </c>
      <c r="V10" s="704">
        <v>144060</v>
      </c>
      <c r="W10" s="704">
        <v>92646</v>
      </c>
      <c r="X10" s="704">
        <v>62776</v>
      </c>
      <c r="Y10" s="704">
        <v>155422</v>
      </c>
      <c r="Z10" s="704">
        <f t="shared" ref="Z10:AB10" si="0">B10+E10+H10+K10+N10+Q10+T10+W10</f>
        <v>18594723</v>
      </c>
      <c r="AA10" s="704">
        <f t="shared" si="0"/>
        <v>15990058</v>
      </c>
      <c r="AB10" s="704">
        <f t="shared" si="0"/>
        <v>34584781</v>
      </c>
    </row>
    <row r="11" spans="1:28" ht="15">
      <c r="A11" s="579" t="s">
        <v>154</v>
      </c>
      <c r="B11" s="551"/>
      <c r="C11" s="551"/>
      <c r="D11" s="551"/>
      <c r="E11" s="551"/>
      <c r="F11" s="551"/>
      <c r="G11" s="551"/>
      <c r="H11" s="551"/>
      <c r="I11" s="551"/>
      <c r="J11" s="552"/>
      <c r="K11" s="551"/>
      <c r="L11" s="551"/>
      <c r="M11" s="551"/>
      <c r="N11" s="551"/>
      <c r="O11" s="551"/>
      <c r="P11" s="551"/>
      <c r="Q11" s="551"/>
      <c r="R11" s="551"/>
      <c r="S11" s="552"/>
      <c r="T11" s="551"/>
      <c r="U11" s="551"/>
      <c r="V11" s="551"/>
      <c r="W11" s="551"/>
      <c r="X11" s="551"/>
      <c r="Y11" s="551"/>
      <c r="Z11" s="551"/>
      <c r="AA11" s="551"/>
      <c r="AB11" s="552"/>
    </row>
    <row r="12" spans="1:28">
      <c r="A12" s="570" t="s">
        <v>832</v>
      </c>
      <c r="B12" s="705">
        <f ca="1">SUMIF('[2]7UnivActwithConsUnit'!$B:$B,$B12,'[2]7UnivActwithConsUnit'!D:D)+SUMIF('[2]8CollegeAct'!$B:$B,$B12,'[2]8CollegeAct'!D:D)+SUMIF(#REF!,$B12,#REF!)</f>
        <v>5</v>
      </c>
      <c r="C12" s="705">
        <f ca="1">SUMIF('[2]7UnivActwithConsUnit'!$B:$B,$B12,'[2]7UnivActwithConsUnit'!E:E)+SUMIF('[2]8CollegeAct'!$B:$B,$B12,'[2]8CollegeAct'!E:E)+SUMIF(#REF!,$B12,#REF!)</f>
        <v>9</v>
      </c>
      <c r="D12" s="705">
        <f ca="1">SUMIF('[2]7UnivActwithConsUnit'!$B:$B,$B12,'[2]7UnivActwithConsUnit'!F:F)+SUMIF('[2]8CollegeAct'!$B:$B,$B12,'[2]8CollegeAct'!F:F)+SUMIF(#REF!,$B12,#REF!)</f>
        <v>14</v>
      </c>
      <c r="E12" s="705">
        <f ca="1">SUMIF('[2]7UnivActwithConsUnit'!$B:$B,$B12,'[2]7UnivActwithConsUnit'!G:G)+SUMIF('[2]8CollegeAct'!$B:$B,$B12,'[2]8CollegeAct'!G:G)+SUMIF(#REF!,$B12,#REF!)</f>
        <v>0</v>
      </c>
      <c r="F12" s="705">
        <f ca="1">SUMIF('[2]7UnivActwithConsUnit'!$B:$B,$B12,'[2]7UnivActwithConsUnit'!H:H)+SUMIF('[2]8CollegeAct'!$B:$B,$B12,'[2]8CollegeAct'!H:H)+SUMIF(#REF!,$B12,#REF!)</f>
        <v>0</v>
      </c>
      <c r="G12" s="705">
        <f ca="1">SUMIF('[2]7UnivActwithConsUnit'!$B:$B,$B12,'[2]7UnivActwithConsUnit'!I:I)+SUMIF('[2]8CollegeAct'!$B:$B,$B12,'[2]8CollegeAct'!I:I)+SUMIF(#REF!,$B12,#REF!)</f>
        <v>0</v>
      </c>
      <c r="H12" s="705">
        <f ca="1">SUMIF('[2]7UnivActwithConsUnit'!$B:$B,$B12,'[2]7UnivActwithConsUnit'!J:J)+SUMIF('[2]10CollegeEst'!$B:$B,$B12,'[2]10CollegeEst'!B:B)+SUMIF(#REF!,$B12,#REF!)</f>
        <v>571</v>
      </c>
      <c r="I12" s="705">
        <f ca="1">SUMIF('[2]7UnivActwithConsUnit'!$B:$B,$B12,'[2]7UnivActwithConsUnit'!K:K)+SUMIF('[2]10CollegeEst'!$B:$B,$B12,'[2]10CollegeEst'!C:C)+SUMIF(#REF!,$B12,#REF!)</f>
        <v>969</v>
      </c>
      <c r="J12" s="705">
        <f ca="1">SUMIF('[2]7UnivActwithConsUnit'!$B:$B,$B12,'[2]7UnivActwithConsUnit'!L:L)+SUMIF('[2]10CollegeEst'!$B:$B,$B12,'[2]10CollegeEst'!D:D)+SUMIF(#REF!,$B12,#REF!)</f>
        <v>1540</v>
      </c>
      <c r="K12" s="713">
        <f ca="1">SUMIF('[2]7UnivActwithConsUnit'!$B:$B,$B12,'[2]7UnivActwithConsUnit'!M:M)+SUMIF('[2]10CollegeEst'!$B:$B,$B12,'[2]10CollegeEst'!E:E)+SUMIF(#REF!,$B12,#REF!)</f>
        <v>3397</v>
      </c>
      <c r="L12" s="705">
        <f ca="1">SUMIF('[2]7UnivActwithConsUnit'!$B:$B,$B12,'[2]7UnivActwithConsUnit'!N:N)+SUMIF('[2]10CollegeEst'!$B:$B,$B12,'[2]10CollegeEst'!F:F)+SUMIF(#REF!,$B12,#REF!)</f>
        <v>4059</v>
      </c>
      <c r="M12" s="705">
        <f ca="1">SUMIF('[2]7UnivActwithConsUnit'!$B:$B,$B12,'[2]7UnivActwithConsUnit'!O:O)+SUMIF('[2]10CollegeEst'!$B:$B,$B12,'[2]10CollegeEst'!G:G)+SUMIF(#REF!,$B12,#REF!)</f>
        <v>7456</v>
      </c>
      <c r="N12" s="705">
        <f ca="1">SUMIF('[2]7UnivActwithConsUnit'!$B:$B,$B12,'[2]7UnivActwithConsUnit'!P:P)+SUMIF('[2]8CollegeAct'!$B:$B,$B12,'[2]8CollegeAct'!P:P)+SUMIF(#REF!,$B12,#REF!)</f>
        <v>58</v>
      </c>
      <c r="O12" s="705">
        <f ca="1">SUMIF('[2]7UnivActwithConsUnit'!$B:$B,$B12,'[2]7UnivActwithConsUnit'!Q:Q)+SUMIF('[2]8CollegeAct'!$B:$B,$B12,'[2]8CollegeAct'!Q:Q)+SUMIF(#REF!,$B12,#REF!)</f>
        <v>40</v>
      </c>
      <c r="P12" s="705">
        <f ca="1">SUMIF('[2]7UnivActwithConsUnit'!$B:$B,$B12,'[2]7UnivActwithConsUnit'!R:R)+SUMIF('[2]8CollegeAct'!$B:$B,$B12,'[2]8CollegeAct'!R:R)+SUMIF(#REF!,$B12,#REF!)</f>
        <v>98</v>
      </c>
      <c r="Q12" s="705">
        <f ca="1">SUMIF('[2]7UnivActwithConsUnit'!$B:$B,$B12,'[2]7UnivActwithConsUnit'!S:S)+SUMIF('[2]8CollegeAct'!$B:$B,$B12,'[2]8CollegeAct'!S:S)+SUMIF(#REF!,$B12,#REF!)</f>
        <v>310</v>
      </c>
      <c r="R12" s="705">
        <f ca="1">SUMIF('[2]7UnivActwithConsUnit'!$B:$B,$B12,'[2]7UnivActwithConsUnit'!T:T)+SUMIF('[2]8CollegeAct'!$B:$B,$B12,'[2]8CollegeAct'!T:T)+SUMIF(#REF!,$B12,#REF!)</f>
        <v>262</v>
      </c>
      <c r="S12" s="705">
        <f ca="1">SUMIF('[2]7UnivActwithConsUnit'!$B:$B,$B12,'[2]7UnivActwithConsUnit'!U:U)+SUMIF('[2]8CollegeAct'!$B:$B,$B12,'[2]8CollegeAct'!U:U)+SUMIF(#REF!,$B12,#REF!)</f>
        <v>572</v>
      </c>
      <c r="T12" s="713">
        <f ca="1">SUMIF('[2]7UnivActwithConsUnit'!$B:$B,$B12,'[2]7UnivActwithConsUnit'!V:V)+SUMIF('[2]8CollegeAct'!$B:$B,$B12,'[2]8CollegeAct'!V:V)+SUMIF(#REF!,$B12,#REF!)</f>
        <v>46</v>
      </c>
      <c r="U12" s="705">
        <f ca="1">SUMIF('[2]7UnivActwithConsUnit'!$B:$B,$B12,'[2]7UnivActwithConsUnit'!W:W)+SUMIF('[2]8CollegeAct'!$B:$B,$B12,'[2]8CollegeAct'!W:W)+SUMIF(#REF!,$B12,#REF!)</f>
        <v>36</v>
      </c>
      <c r="V12" s="705">
        <f ca="1">SUMIF('[2]7UnivActwithConsUnit'!$B:$B,$B12,'[2]7UnivActwithConsUnit'!X:X)+SUMIF('[2]8CollegeAct'!$B:$B,$B12,'[2]8CollegeAct'!X:X)+SUMIF(#REF!,$B12,#REF!)</f>
        <v>82</v>
      </c>
      <c r="W12" s="705">
        <f ca="1">SUMIF('[2]7UnivActwithConsUnit'!$B:$B,$B12,'[2]7UnivActwithConsUnit'!Y:Y)+SUMIF('[2]8CollegeAct'!$B:$B,$B12,'[2]8CollegeAct'!Y:Y)+SUMIF(#REF!,$B12,#REF!)</f>
        <v>145</v>
      </c>
      <c r="X12" s="705">
        <f ca="1">SUMIF('[2]7UnivActwithConsUnit'!$B:$B,$B12,'[2]7UnivActwithConsUnit'!Z:Z)+SUMIF('[2]8CollegeAct'!$B:$B,$B12,'[2]8CollegeAct'!Z:Z)+SUMIF(#REF!,$B12,#REF!)</f>
        <v>224</v>
      </c>
      <c r="Y12" s="705">
        <f ca="1">SUMIF('[2]7UnivActwithConsUnit'!$B:$B,$B12,'[2]7UnivActwithConsUnit'!AA:AA)+SUMIF('[2]8CollegeAct'!$B:$B,$B12,'[2]8CollegeAct'!AA:AA)+SUMIF(#REF!,$B12,#REF!)</f>
        <v>369</v>
      </c>
      <c r="Z12" s="706">
        <f ca="1">B12+E12+H12+K12+N12+Q12+T12+W12</f>
        <v>4532</v>
      </c>
      <c r="AA12" s="706">
        <f ca="1">C12+F12+I12+L12+O12+R12+U12+X12</f>
        <v>5599</v>
      </c>
      <c r="AB12" s="706">
        <f ca="1">Z12+AA12</f>
        <v>10131</v>
      </c>
    </row>
    <row r="13" spans="1:28">
      <c r="A13" s="541" t="s">
        <v>831</v>
      </c>
      <c r="B13" s="515">
        <v>44</v>
      </c>
      <c r="C13" s="515">
        <v>23</v>
      </c>
      <c r="D13" s="515">
        <v>67</v>
      </c>
      <c r="E13" s="515">
        <v>0</v>
      </c>
      <c r="F13" s="515">
        <v>0</v>
      </c>
      <c r="G13" s="515">
        <v>0</v>
      </c>
      <c r="H13" s="515">
        <v>629</v>
      </c>
      <c r="I13" s="515">
        <v>966</v>
      </c>
      <c r="J13" s="515">
        <v>1595</v>
      </c>
      <c r="K13" s="549">
        <v>3804</v>
      </c>
      <c r="L13" s="515">
        <v>4885</v>
      </c>
      <c r="M13" s="515">
        <v>8689</v>
      </c>
      <c r="N13" s="515">
        <v>46</v>
      </c>
      <c r="O13" s="515">
        <v>42</v>
      </c>
      <c r="P13" s="515">
        <v>88</v>
      </c>
      <c r="Q13" s="515">
        <v>534</v>
      </c>
      <c r="R13" s="515">
        <v>350</v>
      </c>
      <c r="S13" s="515">
        <v>884</v>
      </c>
      <c r="T13" s="549">
        <v>0</v>
      </c>
      <c r="U13" s="515">
        <v>0</v>
      </c>
      <c r="V13" s="515">
        <v>0</v>
      </c>
      <c r="W13" s="515">
        <v>46</v>
      </c>
      <c r="X13" s="515">
        <v>142</v>
      </c>
      <c r="Y13" s="515">
        <v>188</v>
      </c>
      <c r="Z13" s="515">
        <v>5103</v>
      </c>
      <c r="AA13" s="515">
        <v>6408</v>
      </c>
      <c r="AB13" s="515">
        <v>11511</v>
      </c>
    </row>
    <row r="14" spans="1:28">
      <c r="A14" s="541" t="s">
        <v>830</v>
      </c>
      <c r="B14" s="543">
        <v>42</v>
      </c>
      <c r="C14" s="543">
        <v>26</v>
      </c>
      <c r="D14" s="543">
        <v>68</v>
      </c>
      <c r="E14" s="543">
        <v>0</v>
      </c>
      <c r="F14" s="543">
        <v>0</v>
      </c>
      <c r="G14" s="543">
        <v>0</v>
      </c>
      <c r="H14" s="543">
        <v>730</v>
      </c>
      <c r="I14" s="543">
        <v>771</v>
      </c>
      <c r="J14" s="543">
        <v>1501</v>
      </c>
      <c r="K14" s="714">
        <v>3967</v>
      </c>
      <c r="L14" s="543">
        <v>4170</v>
      </c>
      <c r="M14" s="543">
        <v>8137</v>
      </c>
      <c r="N14" s="543">
        <v>47</v>
      </c>
      <c r="O14" s="543">
        <v>28</v>
      </c>
      <c r="P14" s="543">
        <v>75</v>
      </c>
      <c r="Q14" s="543">
        <v>429</v>
      </c>
      <c r="R14" s="543">
        <v>273</v>
      </c>
      <c r="S14" s="543">
        <v>702</v>
      </c>
      <c r="T14" s="714">
        <v>0</v>
      </c>
      <c r="U14" s="543">
        <v>0</v>
      </c>
      <c r="V14" s="543">
        <v>0</v>
      </c>
      <c r="W14" s="543">
        <v>26</v>
      </c>
      <c r="X14" s="543">
        <v>91</v>
      </c>
      <c r="Y14" s="543">
        <v>117</v>
      </c>
      <c r="Z14" s="200">
        <v>5241</v>
      </c>
      <c r="AA14" s="200">
        <v>5359</v>
      </c>
      <c r="AB14" s="200">
        <v>10600</v>
      </c>
    </row>
    <row r="15" spans="1:28">
      <c r="A15" s="541" t="s">
        <v>829</v>
      </c>
      <c r="B15" s="515">
        <v>64</v>
      </c>
      <c r="C15" s="515">
        <v>21</v>
      </c>
      <c r="D15" s="515">
        <v>85</v>
      </c>
      <c r="E15" s="515">
        <v>0</v>
      </c>
      <c r="F15" s="515">
        <v>0</v>
      </c>
      <c r="G15" s="515">
        <v>0</v>
      </c>
      <c r="H15" s="515">
        <v>588</v>
      </c>
      <c r="I15" s="515">
        <v>966</v>
      </c>
      <c r="J15" s="515">
        <v>1554</v>
      </c>
      <c r="K15" s="549">
        <v>4042</v>
      </c>
      <c r="L15" s="515">
        <v>4270</v>
      </c>
      <c r="M15" s="515">
        <v>8312</v>
      </c>
      <c r="N15" s="515">
        <v>41</v>
      </c>
      <c r="O15" s="515">
        <v>33</v>
      </c>
      <c r="P15" s="515">
        <v>74</v>
      </c>
      <c r="Q15" s="515">
        <v>459</v>
      </c>
      <c r="R15" s="515">
        <v>258</v>
      </c>
      <c r="S15" s="515">
        <v>717</v>
      </c>
      <c r="T15" s="549">
        <v>0</v>
      </c>
      <c r="U15" s="515">
        <v>0</v>
      </c>
      <c r="V15" s="515">
        <v>0</v>
      </c>
      <c r="W15" s="515">
        <v>24</v>
      </c>
      <c r="X15" s="515">
        <v>91</v>
      </c>
      <c r="Y15" s="515">
        <v>115</v>
      </c>
      <c r="Z15" s="515">
        <v>5218</v>
      </c>
      <c r="AA15" s="515">
        <v>5639</v>
      </c>
      <c r="AB15" s="515">
        <v>10857</v>
      </c>
    </row>
    <row r="16" spans="1:28">
      <c r="A16" s="707" t="s">
        <v>828</v>
      </c>
      <c r="B16" s="708">
        <v>69</v>
      </c>
      <c r="C16" s="708">
        <v>17</v>
      </c>
      <c r="D16" s="708">
        <v>86</v>
      </c>
      <c r="E16" s="708">
        <v>0</v>
      </c>
      <c r="F16" s="708">
        <v>0</v>
      </c>
      <c r="G16" s="708">
        <v>0</v>
      </c>
      <c r="H16" s="708">
        <v>574</v>
      </c>
      <c r="I16" s="708">
        <v>907</v>
      </c>
      <c r="J16" s="708">
        <v>1481</v>
      </c>
      <c r="K16" s="513">
        <v>4108</v>
      </c>
      <c r="L16" s="708">
        <v>4320</v>
      </c>
      <c r="M16" s="708">
        <v>8428</v>
      </c>
      <c r="N16" s="708">
        <v>75</v>
      </c>
      <c r="O16" s="708">
        <v>39</v>
      </c>
      <c r="P16" s="708">
        <v>114</v>
      </c>
      <c r="Q16" s="708">
        <v>492</v>
      </c>
      <c r="R16" s="708">
        <v>314</v>
      </c>
      <c r="S16" s="708">
        <v>806</v>
      </c>
      <c r="T16" s="513">
        <v>0</v>
      </c>
      <c r="U16" s="708">
        <v>0</v>
      </c>
      <c r="V16" s="708">
        <v>0</v>
      </c>
      <c r="W16" s="708">
        <v>26</v>
      </c>
      <c r="X16" s="708">
        <v>83</v>
      </c>
      <c r="Y16" s="708">
        <v>109</v>
      </c>
      <c r="Z16" s="708">
        <f t="shared" ref="Z16:AB16" si="1">B16+E16+H16+K16+N16+Q16+T16+W16</f>
        <v>5344</v>
      </c>
      <c r="AA16" s="708">
        <f t="shared" si="1"/>
        <v>5680</v>
      </c>
      <c r="AB16" s="708">
        <f t="shared" si="1"/>
        <v>11024</v>
      </c>
    </row>
    <row r="17" spans="1:28" ht="15">
      <c r="A17" s="579" t="s">
        <v>15</v>
      </c>
      <c r="B17" s="551"/>
      <c r="C17" s="551"/>
      <c r="D17" s="551"/>
      <c r="E17" s="551"/>
      <c r="F17" s="551"/>
      <c r="G17" s="551"/>
      <c r="H17" s="551"/>
      <c r="I17" s="551"/>
      <c r="J17" s="552"/>
      <c r="K17" s="551"/>
      <c r="L17" s="551"/>
      <c r="M17" s="551"/>
      <c r="N17" s="551"/>
      <c r="O17" s="551"/>
      <c r="P17" s="551"/>
      <c r="Q17" s="551"/>
      <c r="R17" s="551"/>
      <c r="S17" s="552"/>
      <c r="T17" s="551"/>
      <c r="U17" s="551"/>
      <c r="V17" s="551"/>
      <c r="W17" s="551"/>
      <c r="X17" s="551"/>
      <c r="Y17" s="551"/>
      <c r="Z17" s="551"/>
      <c r="AA17" s="551"/>
      <c r="AB17" s="552"/>
    </row>
    <row r="18" spans="1:28">
      <c r="A18" s="541" t="s">
        <v>832</v>
      </c>
      <c r="B18" s="154">
        <f ca="1">SUMIF('[2]7UnivActwithConsUnit'!$B:$B,$B18,'[2]7UnivActwithConsUnit'!D:D)+SUMIF('[2]8CollegeAct'!$B:$B,$B18,'[2]8CollegeAct'!D:D)+SUMIF(#REF!,$B18,#REF!)</f>
        <v>3837</v>
      </c>
      <c r="C18" s="154">
        <f ca="1">SUMIF('[2]7UnivActwithConsUnit'!$B:$B,$B18,'[2]7UnivActwithConsUnit'!E:E)+SUMIF('[2]8CollegeAct'!$B:$B,$B18,'[2]8CollegeAct'!E:E)+SUMIF(#REF!,$B18,#REF!)</f>
        <v>2879</v>
      </c>
      <c r="D18" s="154">
        <f ca="1">SUMIF('[2]7UnivActwithConsUnit'!$B:$B,$B18,'[2]7UnivActwithConsUnit'!F:F)+SUMIF('[2]8CollegeAct'!$B:$B,$B18,'[2]8CollegeAct'!F:F)+SUMIF(#REF!,$B18,#REF!)</f>
        <v>6716</v>
      </c>
      <c r="E18" s="154">
        <f ca="1">SUMIF('[2]7UnivActwithConsUnit'!$B:$B,$B18,'[2]7UnivActwithConsUnit'!G:G)+SUMIF('[2]8CollegeAct'!$B:$B,$B18,'[2]8CollegeAct'!G:G)+SUMIF(#REF!,$B18,#REF!)</f>
        <v>175</v>
      </c>
      <c r="F18" s="154">
        <f ca="1">SUMIF('[2]7UnivActwithConsUnit'!$B:$B,$B18,'[2]7UnivActwithConsUnit'!H:H)+SUMIF('[2]8CollegeAct'!$B:$B,$B18,'[2]8CollegeAct'!H:H)+SUMIF(#REF!,$B18,#REF!)</f>
        <v>102</v>
      </c>
      <c r="G18" s="154">
        <f ca="1">SUMIF('[2]7UnivActwithConsUnit'!$B:$B,$B18,'[2]7UnivActwithConsUnit'!I:I)+SUMIF('[2]8CollegeAct'!$B:$B,$B18,'[2]8CollegeAct'!I:I)+SUMIF(#REF!,$B18,#REF!)</f>
        <v>277</v>
      </c>
      <c r="H18" s="154">
        <f ca="1">SUMIF('[2]7UnivActwithConsUnit'!$B:$B,$B18,'[2]7UnivActwithConsUnit'!J:J)+SUMIF('[2]10CollegeEst'!$B:$B,$B18,'[2]10CollegeEst'!B:B)+SUMIF(#REF!,$B18,#REF!)</f>
        <v>112024</v>
      </c>
      <c r="I18" s="154">
        <f ca="1">SUMIF('[2]7UnivActwithConsUnit'!$B:$B,$B18,'[2]7UnivActwithConsUnit'!K:K)+SUMIF('[2]10CollegeEst'!$B:$B,$B18,'[2]10CollegeEst'!C:C)+SUMIF(#REF!,$B18,#REF!)</f>
        <v>105816</v>
      </c>
      <c r="J18" s="154">
        <f ca="1">SUMIF('[2]7UnivActwithConsUnit'!$B:$B,$B18,'[2]7UnivActwithConsUnit'!L:L)+SUMIF('[2]10CollegeEst'!$B:$B,$B18,'[2]10CollegeEst'!D:D)+SUMIF(#REF!,$B18,#REF!)</f>
        <v>217840</v>
      </c>
      <c r="K18" s="715">
        <f ca="1">SUMIF('[2]7UnivActwithConsUnit'!$B:$B,$B18,'[2]7UnivActwithConsUnit'!M:M)+SUMIF('[2]10CollegeEst'!$B:$B,$B18,'[2]10CollegeEst'!E:E)+SUMIF(#REF!,$B18,#REF!)</f>
        <v>798084</v>
      </c>
      <c r="L18" s="154">
        <f ca="1">SUMIF('[2]7UnivActwithConsUnit'!$B:$B,$B18,'[2]7UnivActwithConsUnit'!N:N)+SUMIF('[2]10CollegeEst'!$B:$B,$B18,'[2]10CollegeEst'!F:F)+SUMIF(#REF!,$B18,#REF!)</f>
        <v>694983</v>
      </c>
      <c r="M18" s="154">
        <f ca="1">SUMIF('[2]7UnivActwithConsUnit'!$B:$B,$B18,'[2]7UnivActwithConsUnit'!O:O)+SUMIF('[2]10CollegeEst'!$B:$B,$B18,'[2]10CollegeEst'!G:G)+SUMIF(#REF!,$B18,#REF!)</f>
        <v>1493067</v>
      </c>
      <c r="N18" s="154">
        <f ca="1">SUMIF('[2]7UnivActwithConsUnit'!$B:$B,$B18,'[2]7UnivActwithConsUnit'!P:P)+SUMIF('[2]8CollegeAct'!$B:$B,$B18,'[2]8CollegeAct'!P:P)+SUMIF(#REF!,$B18,#REF!)</f>
        <v>1402</v>
      </c>
      <c r="O18" s="154">
        <f ca="1">SUMIF('[2]7UnivActwithConsUnit'!$B:$B,$B18,'[2]7UnivActwithConsUnit'!Q:Q)+SUMIF('[2]8CollegeAct'!$B:$B,$B18,'[2]8CollegeAct'!Q:Q)+SUMIF(#REF!,$B18,#REF!)</f>
        <v>879</v>
      </c>
      <c r="P18" s="154">
        <f ca="1">SUMIF('[2]7UnivActwithConsUnit'!$B:$B,$B18,'[2]7UnivActwithConsUnit'!R:R)+SUMIF('[2]8CollegeAct'!$B:$B,$B18,'[2]8CollegeAct'!R:R)+SUMIF(#REF!,$B18,#REF!)</f>
        <v>2281</v>
      </c>
      <c r="Q18" s="154">
        <f ca="1">SUMIF('[2]7UnivActwithConsUnit'!$B:$B,$B18,'[2]7UnivActwithConsUnit'!S:S)+SUMIF('[2]8CollegeAct'!$B:$B,$B18,'[2]8CollegeAct'!S:S)+SUMIF(#REF!,$B18,#REF!)</f>
        <v>93033</v>
      </c>
      <c r="R18" s="154">
        <f ca="1">SUMIF('[2]7UnivActwithConsUnit'!$B:$B,$B18,'[2]7UnivActwithConsUnit'!T:T)+SUMIF('[2]8CollegeAct'!$B:$B,$B18,'[2]8CollegeAct'!T:T)+SUMIF(#REF!,$B18,#REF!)</f>
        <v>60085</v>
      </c>
      <c r="S18" s="154">
        <f ca="1">SUMIF('[2]7UnivActwithConsUnit'!$B:$B,$B18,'[2]7UnivActwithConsUnit'!U:U)+SUMIF('[2]8CollegeAct'!$B:$B,$B18,'[2]8CollegeAct'!U:U)+SUMIF(#REF!,$B18,#REF!)</f>
        <v>153118</v>
      </c>
      <c r="T18" s="715">
        <f ca="1">SUMIF('[2]7UnivActwithConsUnit'!$B:$B,$B18,'[2]7UnivActwithConsUnit'!V:V)+SUMIF('[2]8CollegeAct'!$B:$B,$B18,'[2]8CollegeAct'!V:V)+SUMIF(#REF!,$B18,#REF!)</f>
        <v>3921</v>
      </c>
      <c r="U18" s="154">
        <f ca="1">SUMIF('[2]7UnivActwithConsUnit'!$B:$B,$B18,'[2]7UnivActwithConsUnit'!W:W)+SUMIF('[2]8CollegeAct'!$B:$B,$B18,'[2]8CollegeAct'!W:W)+SUMIF(#REF!,$B18,#REF!)</f>
        <v>6917</v>
      </c>
      <c r="V18" s="154">
        <f ca="1">SUMIF('[2]7UnivActwithConsUnit'!$B:$B,$B18,'[2]7UnivActwithConsUnit'!X:X)+SUMIF('[2]8CollegeAct'!$B:$B,$B18,'[2]8CollegeAct'!X:X)+SUMIF(#REF!,$B18,#REF!)</f>
        <v>10838</v>
      </c>
      <c r="W18" s="154">
        <f ca="1">SUMIF('[2]7UnivActwithConsUnit'!$B:$B,$B18,'[2]7UnivActwithConsUnit'!Y:Y)+SUMIF('[2]8CollegeAct'!$B:$B,$B18,'[2]8CollegeAct'!Y:Y)+SUMIF(#REF!,$B18,#REF!)</f>
        <v>8650</v>
      </c>
      <c r="X18" s="154">
        <f ca="1">SUMIF('[2]7UnivActwithConsUnit'!$B:$B,$B18,'[2]7UnivActwithConsUnit'!Z:Z)+SUMIF('[2]8CollegeAct'!$B:$B,$B18,'[2]8CollegeAct'!Z:Z)+SUMIF(#REF!,$B18,#REF!)</f>
        <v>4362</v>
      </c>
      <c r="Y18" s="154">
        <f ca="1">SUMIF('[2]7UnivActwithConsUnit'!$B:$B,$B18,'[2]7UnivActwithConsUnit'!AA:AA)+SUMIF('[2]8CollegeAct'!$B:$B,$B18,'[2]8CollegeAct'!AA:AA)+SUMIF(#REF!,$B18,#REF!)</f>
        <v>13012</v>
      </c>
      <c r="Z18" s="155">
        <f t="shared" ref="Z18:AA18" ca="1" si="2">B18+E18+H18+K18+N18+Q18+T18+W18</f>
        <v>1021126</v>
      </c>
      <c r="AA18" s="155">
        <f t="shared" ca="1" si="2"/>
        <v>876023</v>
      </c>
      <c r="AB18" s="155">
        <f t="shared" ref="AB18" ca="1" si="3">Z18+AA18</f>
        <v>1897149</v>
      </c>
    </row>
    <row r="19" spans="1:28">
      <c r="A19" s="541" t="s">
        <v>831</v>
      </c>
      <c r="B19" s="515">
        <v>3054</v>
      </c>
      <c r="C19" s="515">
        <v>1927</v>
      </c>
      <c r="D19" s="515">
        <v>4981</v>
      </c>
      <c r="E19" s="515">
        <v>249</v>
      </c>
      <c r="F19" s="515">
        <v>182</v>
      </c>
      <c r="G19" s="515">
        <v>431</v>
      </c>
      <c r="H19" s="515">
        <v>112753</v>
      </c>
      <c r="I19" s="515">
        <v>98539</v>
      </c>
      <c r="J19" s="515">
        <v>211292</v>
      </c>
      <c r="K19" s="549">
        <v>741636</v>
      </c>
      <c r="L19" s="515">
        <v>625754</v>
      </c>
      <c r="M19" s="515">
        <v>1367390</v>
      </c>
      <c r="N19" s="515">
        <v>1665</v>
      </c>
      <c r="O19" s="515">
        <v>1030</v>
      </c>
      <c r="P19" s="515">
        <v>2695</v>
      </c>
      <c r="Q19" s="515">
        <v>97733</v>
      </c>
      <c r="R19" s="515">
        <v>64378</v>
      </c>
      <c r="S19" s="515">
        <v>162111</v>
      </c>
      <c r="T19" s="549">
        <v>327</v>
      </c>
      <c r="U19" s="515">
        <v>636</v>
      </c>
      <c r="V19" s="515">
        <v>963</v>
      </c>
      <c r="W19" s="515">
        <v>7389</v>
      </c>
      <c r="X19" s="515">
        <v>3578</v>
      </c>
      <c r="Y19" s="515">
        <v>10967</v>
      </c>
      <c r="Z19" s="515">
        <v>964806</v>
      </c>
      <c r="AA19" s="515">
        <v>796024</v>
      </c>
      <c r="AB19" s="515">
        <v>1760830</v>
      </c>
    </row>
    <row r="20" spans="1:28">
      <c r="A20" s="541" t="s">
        <v>830</v>
      </c>
      <c r="B20" s="543">
        <v>4007</v>
      </c>
      <c r="C20" s="543">
        <v>2282</v>
      </c>
      <c r="D20" s="543">
        <v>6289</v>
      </c>
      <c r="E20" s="543">
        <v>555</v>
      </c>
      <c r="F20" s="543">
        <v>342</v>
      </c>
      <c r="G20" s="543">
        <v>897</v>
      </c>
      <c r="H20" s="543">
        <v>120479.38457744679</v>
      </c>
      <c r="I20" s="543">
        <v>98816.577628071362</v>
      </c>
      <c r="J20" s="543">
        <v>219295.96220551815</v>
      </c>
      <c r="K20" s="714">
        <v>711831.13217008556</v>
      </c>
      <c r="L20" s="543">
        <v>578321.87024372909</v>
      </c>
      <c r="M20" s="543">
        <v>1290153.0024138147</v>
      </c>
      <c r="N20" s="543">
        <v>1596</v>
      </c>
      <c r="O20" s="543">
        <v>1018</v>
      </c>
      <c r="P20" s="543">
        <v>2614</v>
      </c>
      <c r="Q20" s="543">
        <v>100939</v>
      </c>
      <c r="R20" s="543">
        <v>66275</v>
      </c>
      <c r="S20" s="543">
        <v>167214</v>
      </c>
      <c r="T20" s="714">
        <v>258</v>
      </c>
      <c r="U20" s="543">
        <v>529</v>
      </c>
      <c r="V20" s="543">
        <v>787</v>
      </c>
      <c r="W20" s="543">
        <v>7132</v>
      </c>
      <c r="X20" s="543">
        <v>2900</v>
      </c>
      <c r="Y20" s="543">
        <v>10032</v>
      </c>
      <c r="Z20" s="200">
        <f t="shared" ref="Z20:AB20" si="4">B20+E20+H20+K20+N20+Q20+T20+W20</f>
        <v>946797.51674753241</v>
      </c>
      <c r="AA20" s="200">
        <f t="shared" si="4"/>
        <v>750484.44787180051</v>
      </c>
      <c r="AB20" s="200">
        <f t="shared" si="4"/>
        <v>1697281.9646193329</v>
      </c>
    </row>
    <row r="21" spans="1:28">
      <c r="A21" s="541" t="s">
        <v>829</v>
      </c>
      <c r="B21" s="515">
        <v>2932</v>
      </c>
      <c r="C21" s="515">
        <v>1740</v>
      </c>
      <c r="D21" s="515">
        <v>4672</v>
      </c>
      <c r="E21" s="515">
        <v>790</v>
      </c>
      <c r="F21" s="515">
        <v>472</v>
      </c>
      <c r="G21" s="515">
        <v>1262</v>
      </c>
      <c r="H21" s="515">
        <v>141504</v>
      </c>
      <c r="I21" s="515">
        <v>113146</v>
      </c>
      <c r="J21" s="515">
        <v>254650</v>
      </c>
      <c r="K21" s="549">
        <v>754053</v>
      </c>
      <c r="L21" s="515">
        <v>607532</v>
      </c>
      <c r="M21" s="515">
        <v>1361585</v>
      </c>
      <c r="N21" s="515">
        <v>2429</v>
      </c>
      <c r="O21" s="515">
        <v>1377</v>
      </c>
      <c r="P21" s="515">
        <v>3806</v>
      </c>
      <c r="Q21" s="515">
        <v>99111</v>
      </c>
      <c r="R21" s="515">
        <v>64717</v>
      </c>
      <c r="S21" s="515">
        <v>163828</v>
      </c>
      <c r="T21" s="549">
        <v>209</v>
      </c>
      <c r="U21" s="515">
        <v>507</v>
      </c>
      <c r="V21" s="515">
        <v>716</v>
      </c>
      <c r="W21" s="515">
        <v>6378</v>
      </c>
      <c r="X21" s="515">
        <v>2536</v>
      </c>
      <c r="Y21" s="515">
        <v>8914</v>
      </c>
      <c r="Z21" s="515">
        <v>1007406</v>
      </c>
      <c r="AA21" s="515">
        <v>792027</v>
      </c>
      <c r="AB21" s="515">
        <v>1799433</v>
      </c>
    </row>
    <row r="22" spans="1:28">
      <c r="A22" s="707" t="s">
        <v>828</v>
      </c>
      <c r="B22" s="708">
        <v>2089</v>
      </c>
      <c r="C22" s="708">
        <v>1017</v>
      </c>
      <c r="D22" s="708">
        <v>3106</v>
      </c>
      <c r="E22" s="708">
        <v>408</v>
      </c>
      <c r="F22" s="708">
        <v>220</v>
      </c>
      <c r="G22" s="708">
        <v>628</v>
      </c>
      <c r="H22" s="708">
        <v>140943</v>
      </c>
      <c r="I22" s="708">
        <v>107697</v>
      </c>
      <c r="J22" s="708">
        <v>248640</v>
      </c>
      <c r="K22" s="513">
        <v>742513</v>
      </c>
      <c r="L22" s="708">
        <v>586407</v>
      </c>
      <c r="M22" s="708">
        <v>1328920</v>
      </c>
      <c r="N22" s="708">
        <v>1291</v>
      </c>
      <c r="O22" s="708">
        <v>686</v>
      </c>
      <c r="P22" s="708">
        <v>1977</v>
      </c>
      <c r="Q22" s="708">
        <v>75187</v>
      </c>
      <c r="R22" s="708">
        <v>56573</v>
      </c>
      <c r="S22" s="708">
        <v>131760</v>
      </c>
      <c r="T22" s="513">
        <v>249</v>
      </c>
      <c r="U22" s="708">
        <v>353</v>
      </c>
      <c r="V22" s="708">
        <v>602</v>
      </c>
      <c r="W22" s="708">
        <v>6520</v>
      </c>
      <c r="X22" s="708">
        <v>2385</v>
      </c>
      <c r="Y22" s="708">
        <v>8905</v>
      </c>
      <c r="Z22" s="708">
        <f t="shared" ref="Z22:AB22" si="5">B22+E22+H22+K22+N22+Q22+T22+W22</f>
        <v>969200</v>
      </c>
      <c r="AA22" s="708">
        <f t="shared" si="5"/>
        <v>755338</v>
      </c>
      <c r="AB22" s="708">
        <f t="shared" si="5"/>
        <v>1724538</v>
      </c>
    </row>
    <row r="23" spans="1:28" ht="15">
      <c r="A23" s="579" t="s">
        <v>16</v>
      </c>
      <c r="B23" s="551"/>
      <c r="C23" s="551"/>
      <c r="D23" s="551"/>
      <c r="E23" s="551"/>
      <c r="F23" s="551"/>
      <c r="G23" s="551"/>
      <c r="H23" s="551"/>
      <c r="I23" s="551"/>
      <c r="J23" s="552"/>
      <c r="K23" s="551"/>
      <c r="L23" s="551"/>
      <c r="M23" s="551"/>
      <c r="N23" s="551"/>
      <c r="O23" s="551"/>
      <c r="P23" s="551"/>
      <c r="Q23" s="551"/>
      <c r="R23" s="551"/>
      <c r="S23" s="552"/>
      <c r="T23" s="551"/>
      <c r="U23" s="551"/>
      <c r="V23" s="551"/>
      <c r="W23" s="551"/>
      <c r="X23" s="551"/>
      <c r="Y23" s="551"/>
      <c r="Z23" s="551"/>
      <c r="AA23" s="551"/>
      <c r="AB23" s="552"/>
    </row>
    <row r="24" spans="1:28">
      <c r="A24" s="570" t="s">
        <v>832</v>
      </c>
      <c r="B24" s="705">
        <f ca="1">SUMIF('[2]7UnivActwithConsUnit'!$B:$B,$B24,'[2]7UnivActwithConsUnit'!D:D)+SUMIF('[2]8CollegeAct'!$B:$B,$B24,'[2]8CollegeAct'!D:D)+SUMIF(#REF!,$B24,#REF!)</f>
        <v>597</v>
      </c>
      <c r="C24" s="705">
        <f ca="1">SUMIF('[2]7UnivActwithConsUnit'!$B:$B,$B24,'[2]7UnivActwithConsUnit'!E:E)+SUMIF('[2]8CollegeAct'!$B:$B,$B24,'[2]8CollegeAct'!E:E)+SUMIF(#REF!,$B24,#REF!)</f>
        <v>469</v>
      </c>
      <c r="D24" s="705">
        <f ca="1">SUMIF('[2]7UnivActwithConsUnit'!$B:$B,$B24,'[2]7UnivActwithConsUnit'!F:F)+SUMIF('[2]8CollegeAct'!$B:$B,$B24,'[2]8CollegeAct'!F:F)+SUMIF(#REF!,$B24,#REF!)</f>
        <v>1066</v>
      </c>
      <c r="E24" s="705">
        <f ca="1">SUMIF('[2]7UnivActwithConsUnit'!$B:$B,$B24,'[2]7UnivActwithConsUnit'!G:G)+SUMIF('[2]8CollegeAct'!$B:$B,$B24,'[2]8CollegeAct'!G:G)+SUMIF(#REF!,$B24,#REF!)</f>
        <v>77</v>
      </c>
      <c r="F24" s="705">
        <f ca="1">SUMIF('[2]7UnivActwithConsUnit'!$B:$B,$B24,'[2]7UnivActwithConsUnit'!H:H)+SUMIF('[2]8CollegeAct'!$B:$B,$B24,'[2]8CollegeAct'!H:H)+SUMIF(#REF!,$B24,#REF!)</f>
        <v>113</v>
      </c>
      <c r="G24" s="705">
        <f ca="1">SUMIF('[2]7UnivActwithConsUnit'!$B:$B,$B24,'[2]7UnivActwithConsUnit'!I:I)+SUMIF('[2]8CollegeAct'!$B:$B,$B24,'[2]8CollegeAct'!I:I)+SUMIF(#REF!,$B24,#REF!)</f>
        <v>190</v>
      </c>
      <c r="H24" s="705">
        <f ca="1">SUMIF('[2]7UnivActwithConsUnit'!$B:$B,$B24,'[2]7UnivActwithConsUnit'!J:J)+SUMIF('[2]10CollegeEst'!$B:$B,$B24,'[2]10CollegeEst'!B:B)+SUMIF(#REF!,$B24,#REF!)</f>
        <v>4960</v>
      </c>
      <c r="I24" s="705">
        <f ca="1">SUMIF('[2]7UnivActwithConsUnit'!$B:$B,$B24,'[2]7UnivActwithConsUnit'!K:K)+SUMIF('[2]10CollegeEst'!$B:$B,$B24,'[2]10CollegeEst'!C:C)+SUMIF(#REF!,$B24,#REF!)</f>
        <v>5880</v>
      </c>
      <c r="J24" s="705">
        <f ca="1">SUMIF('[2]7UnivActwithConsUnit'!$B:$B,$B24,'[2]7UnivActwithConsUnit'!L:L)+SUMIF('[2]10CollegeEst'!$B:$B,$B24,'[2]10CollegeEst'!D:D)+SUMIF(#REF!,$B24,#REF!)</f>
        <v>10840</v>
      </c>
      <c r="K24" s="713">
        <f ca="1">SUMIF('[2]7UnivActwithConsUnit'!$B:$B,$B24,'[2]7UnivActwithConsUnit'!M:M)+SUMIF('[2]10CollegeEst'!$B:$B,$B24,'[2]10CollegeEst'!E:E)+SUMIF(#REF!,$B24,#REF!)</f>
        <v>20418</v>
      </c>
      <c r="L24" s="705">
        <f ca="1">SUMIF('[2]7UnivActwithConsUnit'!$B:$B,$B24,'[2]7UnivActwithConsUnit'!N:N)+SUMIF('[2]10CollegeEst'!$B:$B,$B24,'[2]10CollegeEst'!F:F)+SUMIF(#REF!,$B24,#REF!)</f>
        <v>19017</v>
      </c>
      <c r="M24" s="705">
        <f ca="1">SUMIF('[2]7UnivActwithConsUnit'!$B:$B,$B24,'[2]7UnivActwithConsUnit'!O:O)+SUMIF('[2]10CollegeEst'!$B:$B,$B24,'[2]10CollegeEst'!G:G)+SUMIF(#REF!,$B24,#REF!)</f>
        <v>39435</v>
      </c>
      <c r="N24" s="705">
        <f ca="1">SUMIF('[2]7UnivActwithConsUnit'!$B:$B,$B24,'[2]7UnivActwithConsUnit'!P:P)+SUMIF('[2]8CollegeAct'!$B:$B,$B24,'[2]8CollegeAct'!P:P)+SUMIF(#REF!,$B24,#REF!)</f>
        <v>127</v>
      </c>
      <c r="O24" s="705">
        <f ca="1">SUMIF('[2]7UnivActwithConsUnit'!$B:$B,$B24,'[2]7UnivActwithConsUnit'!Q:Q)+SUMIF('[2]8CollegeAct'!$B:$B,$B24,'[2]8CollegeAct'!Q:Q)+SUMIF(#REF!,$B24,#REF!)</f>
        <v>144</v>
      </c>
      <c r="P24" s="705">
        <f ca="1">SUMIF('[2]7UnivActwithConsUnit'!$B:$B,$B24,'[2]7UnivActwithConsUnit'!R:R)+SUMIF('[2]8CollegeAct'!$B:$B,$B24,'[2]8CollegeAct'!R:R)+SUMIF(#REF!,$B24,#REF!)</f>
        <v>271</v>
      </c>
      <c r="Q24" s="705">
        <f ca="1">SUMIF('[2]7UnivActwithConsUnit'!$B:$B,$B24,'[2]7UnivActwithConsUnit'!S:S)+SUMIF('[2]8CollegeAct'!$B:$B,$B24,'[2]8CollegeAct'!S:S)+SUMIF(#REF!,$B24,#REF!)</f>
        <v>1308</v>
      </c>
      <c r="R24" s="705">
        <f ca="1">SUMIF('[2]7UnivActwithConsUnit'!$B:$B,$B24,'[2]7UnivActwithConsUnit'!T:T)+SUMIF('[2]8CollegeAct'!$B:$B,$B24,'[2]8CollegeAct'!T:T)+SUMIF(#REF!,$B24,#REF!)</f>
        <v>645</v>
      </c>
      <c r="S24" s="705">
        <f ca="1">SUMIF('[2]7UnivActwithConsUnit'!$B:$B,$B24,'[2]7UnivActwithConsUnit'!U:U)+SUMIF('[2]8CollegeAct'!$B:$B,$B24,'[2]8CollegeAct'!U:U)+SUMIF(#REF!,$B24,#REF!)</f>
        <v>1953</v>
      </c>
      <c r="T24" s="713">
        <f ca="1">SUMIF('[2]7UnivActwithConsUnit'!$B:$B,$B24,'[2]7UnivActwithConsUnit'!V:V)+SUMIF('[2]8CollegeAct'!$B:$B,$B24,'[2]8CollegeAct'!V:V)+SUMIF(#REF!,$B24,#REF!)</f>
        <v>299</v>
      </c>
      <c r="U24" s="705">
        <f ca="1">SUMIF('[2]7UnivActwithConsUnit'!$B:$B,$B24,'[2]7UnivActwithConsUnit'!W:W)+SUMIF('[2]8CollegeAct'!$B:$B,$B24,'[2]8CollegeAct'!W:W)+SUMIF(#REF!,$B24,#REF!)</f>
        <v>119</v>
      </c>
      <c r="V24" s="705">
        <f ca="1">SUMIF('[2]7UnivActwithConsUnit'!$B:$B,$B24,'[2]7UnivActwithConsUnit'!X:X)+SUMIF('[2]8CollegeAct'!$B:$B,$B24,'[2]8CollegeAct'!X:X)+SUMIF(#REF!,$B24,#REF!)</f>
        <v>418</v>
      </c>
      <c r="W24" s="705">
        <f ca="1">SUMIF('[2]7UnivActwithConsUnit'!$B:$B,$B24,'[2]7UnivActwithConsUnit'!Y:Y)+SUMIF('[2]8CollegeAct'!$B:$B,$B24,'[2]8CollegeAct'!Y:Y)+SUMIF(#REF!,$B24,#REF!)</f>
        <v>1015</v>
      </c>
      <c r="X24" s="705">
        <f ca="1">SUMIF('[2]7UnivActwithConsUnit'!$B:$B,$B24,'[2]7UnivActwithConsUnit'!Z:Z)+SUMIF('[2]8CollegeAct'!$B:$B,$B24,'[2]8CollegeAct'!Z:Z)+SUMIF(#REF!,$B24,#REF!)</f>
        <v>628</v>
      </c>
      <c r="Y24" s="705">
        <f ca="1">SUMIF('[2]7UnivActwithConsUnit'!$B:$B,$B24,'[2]7UnivActwithConsUnit'!AA:AA)+SUMIF('[2]8CollegeAct'!$B:$B,$B24,'[2]8CollegeAct'!AA:AA)+SUMIF(#REF!,$B24,#REF!)</f>
        <v>1643</v>
      </c>
      <c r="Z24" s="706">
        <f t="shared" ref="Z24:AA24" ca="1" si="6">B24+E24+H24+K24+N24+Q24+T24+W24</f>
        <v>28801</v>
      </c>
      <c r="AA24" s="706">
        <f t="shared" ca="1" si="6"/>
        <v>27015</v>
      </c>
      <c r="AB24" s="706">
        <f t="shared" ref="AB24" ca="1" si="7">Z24+AA24</f>
        <v>55816</v>
      </c>
    </row>
    <row r="25" spans="1:28">
      <c r="A25" s="541" t="s">
        <v>831</v>
      </c>
      <c r="B25" s="515">
        <v>396</v>
      </c>
      <c r="C25" s="515">
        <v>280</v>
      </c>
      <c r="D25" s="515">
        <v>676</v>
      </c>
      <c r="E25" s="515">
        <v>47</v>
      </c>
      <c r="F25" s="515">
        <v>77</v>
      </c>
      <c r="G25" s="515">
        <v>124</v>
      </c>
      <c r="H25" s="515">
        <v>3796</v>
      </c>
      <c r="I25" s="515">
        <v>4287</v>
      </c>
      <c r="J25" s="515">
        <v>8083</v>
      </c>
      <c r="K25" s="549">
        <v>17976</v>
      </c>
      <c r="L25" s="515">
        <v>17966</v>
      </c>
      <c r="M25" s="515">
        <v>35942</v>
      </c>
      <c r="N25" s="515">
        <v>104</v>
      </c>
      <c r="O25" s="515">
        <v>61</v>
      </c>
      <c r="P25" s="515">
        <v>165</v>
      </c>
      <c r="Q25" s="515">
        <v>832</v>
      </c>
      <c r="R25" s="515">
        <v>595</v>
      </c>
      <c r="S25" s="515">
        <v>1427</v>
      </c>
      <c r="T25" s="549">
        <v>265</v>
      </c>
      <c r="U25" s="515">
        <v>84</v>
      </c>
      <c r="V25" s="515">
        <v>349</v>
      </c>
      <c r="W25" s="515">
        <v>308</v>
      </c>
      <c r="X25" s="515">
        <v>94</v>
      </c>
      <c r="Y25" s="515">
        <v>402</v>
      </c>
      <c r="Z25" s="515">
        <v>23724</v>
      </c>
      <c r="AA25" s="515">
        <v>23444</v>
      </c>
      <c r="AB25" s="515">
        <v>47168</v>
      </c>
    </row>
    <row r="26" spans="1:28">
      <c r="A26" s="541" t="s">
        <v>830</v>
      </c>
      <c r="B26" s="543">
        <v>397</v>
      </c>
      <c r="C26" s="543">
        <v>247</v>
      </c>
      <c r="D26" s="543">
        <v>644</v>
      </c>
      <c r="E26" s="543">
        <v>43</v>
      </c>
      <c r="F26" s="543">
        <v>67</v>
      </c>
      <c r="G26" s="543">
        <v>110</v>
      </c>
      <c r="H26" s="543">
        <v>4333.0670025145218</v>
      </c>
      <c r="I26" s="543">
        <v>3357.7752973164288</v>
      </c>
      <c r="J26" s="543">
        <v>7690.8422998309507</v>
      </c>
      <c r="K26" s="714">
        <v>18731.047202461981</v>
      </c>
      <c r="L26" s="543">
        <v>17733.980349528741</v>
      </c>
      <c r="M26" s="543">
        <v>36465.027551990723</v>
      </c>
      <c r="N26" s="543">
        <v>84</v>
      </c>
      <c r="O26" s="543">
        <v>54</v>
      </c>
      <c r="P26" s="543">
        <v>138</v>
      </c>
      <c r="Q26" s="543">
        <v>1202</v>
      </c>
      <c r="R26" s="543">
        <v>663</v>
      </c>
      <c r="S26" s="543">
        <v>1865</v>
      </c>
      <c r="T26" s="714">
        <v>246</v>
      </c>
      <c r="U26" s="543">
        <v>79</v>
      </c>
      <c r="V26" s="543">
        <v>325</v>
      </c>
      <c r="W26" s="543">
        <v>177</v>
      </c>
      <c r="X26" s="543">
        <v>49</v>
      </c>
      <c r="Y26" s="543">
        <v>226</v>
      </c>
      <c r="Z26" s="200">
        <f t="shared" ref="Z26:AB26" si="8">B26+E26+H26+K26+N26+Q26+T26+W26</f>
        <v>25213.114204976504</v>
      </c>
      <c r="AA26" s="200">
        <f t="shared" si="8"/>
        <v>22250.755646845169</v>
      </c>
      <c r="AB26" s="200">
        <f t="shared" si="8"/>
        <v>47463.86985182167</v>
      </c>
    </row>
    <row r="27" spans="1:28">
      <c r="A27" s="541" t="s">
        <v>829</v>
      </c>
      <c r="B27" s="515">
        <v>365</v>
      </c>
      <c r="C27" s="515">
        <v>270</v>
      </c>
      <c r="D27" s="515">
        <v>635</v>
      </c>
      <c r="E27" s="515">
        <v>48</v>
      </c>
      <c r="F27" s="515">
        <v>68</v>
      </c>
      <c r="G27" s="515">
        <v>116</v>
      </c>
      <c r="H27" s="515">
        <v>3633</v>
      </c>
      <c r="I27" s="515">
        <v>4482</v>
      </c>
      <c r="J27" s="515">
        <v>8115</v>
      </c>
      <c r="K27" s="549">
        <v>18142</v>
      </c>
      <c r="L27" s="515">
        <v>17133</v>
      </c>
      <c r="M27" s="515">
        <v>35275</v>
      </c>
      <c r="N27" s="515">
        <v>126</v>
      </c>
      <c r="O27" s="515">
        <v>91</v>
      </c>
      <c r="P27" s="515">
        <v>217</v>
      </c>
      <c r="Q27" s="515">
        <v>962</v>
      </c>
      <c r="R27" s="515">
        <v>835</v>
      </c>
      <c r="S27" s="515">
        <v>1797</v>
      </c>
      <c r="T27" s="549">
        <v>266</v>
      </c>
      <c r="U27" s="515">
        <v>74</v>
      </c>
      <c r="V27" s="515">
        <v>340</v>
      </c>
      <c r="W27" s="515">
        <v>59</v>
      </c>
      <c r="X27" s="515">
        <v>10</v>
      </c>
      <c r="Y27" s="515">
        <v>69</v>
      </c>
      <c r="Z27" s="515">
        <v>23601</v>
      </c>
      <c r="AA27" s="515">
        <v>22963</v>
      </c>
      <c r="AB27" s="515">
        <v>46564</v>
      </c>
    </row>
    <row r="28" spans="1:28">
      <c r="A28" s="707" t="s">
        <v>828</v>
      </c>
      <c r="B28" s="708">
        <v>285</v>
      </c>
      <c r="C28" s="708">
        <v>213</v>
      </c>
      <c r="D28" s="708">
        <v>498</v>
      </c>
      <c r="E28" s="708">
        <v>51</v>
      </c>
      <c r="F28" s="708">
        <v>60</v>
      </c>
      <c r="G28" s="708">
        <v>111</v>
      </c>
      <c r="H28" s="708">
        <v>3471</v>
      </c>
      <c r="I28" s="708">
        <v>4097</v>
      </c>
      <c r="J28" s="708">
        <v>7568</v>
      </c>
      <c r="K28" s="513">
        <v>17957</v>
      </c>
      <c r="L28" s="708">
        <v>17932</v>
      </c>
      <c r="M28" s="708">
        <v>35889</v>
      </c>
      <c r="N28" s="708">
        <v>131</v>
      </c>
      <c r="O28" s="708">
        <v>82</v>
      </c>
      <c r="P28" s="708">
        <v>213</v>
      </c>
      <c r="Q28" s="708">
        <v>1173</v>
      </c>
      <c r="R28" s="708">
        <v>593</v>
      </c>
      <c r="S28" s="708">
        <v>1766</v>
      </c>
      <c r="T28" s="513">
        <v>313</v>
      </c>
      <c r="U28" s="708">
        <v>94</v>
      </c>
      <c r="V28" s="708">
        <v>407</v>
      </c>
      <c r="W28" s="708">
        <v>0</v>
      </c>
      <c r="X28" s="708">
        <v>0</v>
      </c>
      <c r="Y28" s="708">
        <v>0</v>
      </c>
      <c r="Z28" s="708">
        <f t="shared" ref="Z28:AB28" si="9">B28+E28+H28+K28+N28+Q28+T28+W28</f>
        <v>23381</v>
      </c>
      <c r="AA28" s="708">
        <f t="shared" si="9"/>
        <v>23071</v>
      </c>
      <c r="AB28" s="708">
        <f t="shared" si="9"/>
        <v>46452</v>
      </c>
    </row>
    <row r="29" spans="1:28" ht="15">
      <c r="A29" s="579" t="s">
        <v>17</v>
      </c>
      <c r="B29" s="551"/>
      <c r="C29" s="551"/>
      <c r="D29" s="551"/>
      <c r="E29" s="551"/>
      <c r="F29" s="551"/>
      <c r="G29" s="551"/>
      <c r="H29" s="551"/>
      <c r="I29" s="551"/>
      <c r="J29" s="552"/>
      <c r="K29" s="551"/>
      <c r="L29" s="551"/>
      <c r="M29" s="551"/>
      <c r="N29" s="551"/>
      <c r="O29" s="551"/>
      <c r="P29" s="551"/>
      <c r="Q29" s="551"/>
      <c r="R29" s="551"/>
      <c r="S29" s="552"/>
      <c r="T29" s="551"/>
      <c r="U29" s="551"/>
      <c r="V29" s="551"/>
      <c r="W29" s="551"/>
      <c r="X29" s="551"/>
      <c r="Y29" s="551"/>
      <c r="Z29" s="551"/>
      <c r="AA29" s="551"/>
      <c r="AB29" s="552"/>
    </row>
    <row r="30" spans="1:28">
      <c r="A30" s="570" t="s">
        <v>832</v>
      </c>
      <c r="B30" s="705">
        <f ca="1">SUMIF('[2]7UnivActwithConsUnit'!$B:$B,$B30,'[2]7UnivActwithConsUnit'!D:D)+SUMIF('[2]8CollegeAct'!$B:$B,$B30,'[2]8CollegeAct'!D:D)+SUMIF(#REF!,$B30,#REF!)</f>
        <v>3214</v>
      </c>
      <c r="C30" s="705">
        <f ca="1">SUMIF('[2]7UnivActwithConsUnit'!$B:$B,$B30,'[2]7UnivActwithConsUnit'!E:E)+SUMIF('[2]8CollegeAct'!$B:$B,$B30,'[2]8CollegeAct'!E:E)+SUMIF(#REF!,$B30,#REF!)</f>
        <v>2413</v>
      </c>
      <c r="D30" s="705">
        <f ca="1">SUMIF('[2]7UnivActwithConsUnit'!$B:$B,$B30,'[2]7UnivActwithConsUnit'!F:F)+SUMIF('[2]8CollegeAct'!$B:$B,$B30,'[2]8CollegeAct'!F:F)+SUMIF(#REF!,$B30,#REF!)</f>
        <v>5627</v>
      </c>
      <c r="E30" s="705">
        <f ca="1">SUMIF('[2]7UnivActwithConsUnit'!$B:$B,$B30,'[2]7UnivActwithConsUnit'!G:G)+SUMIF('[2]8CollegeAct'!$B:$B,$B30,'[2]8CollegeAct'!G:G)+SUMIF(#REF!,$B30,#REF!)</f>
        <v>245</v>
      </c>
      <c r="F30" s="705">
        <f ca="1">SUMIF('[2]7UnivActwithConsUnit'!$B:$B,$B30,'[2]7UnivActwithConsUnit'!H:H)+SUMIF('[2]8CollegeAct'!$B:$B,$B30,'[2]8CollegeAct'!H:H)+SUMIF(#REF!,$B30,#REF!)</f>
        <v>371</v>
      </c>
      <c r="G30" s="705">
        <f ca="1">SUMIF('[2]7UnivActwithConsUnit'!$B:$B,$B30,'[2]7UnivActwithConsUnit'!I:I)+SUMIF('[2]8CollegeAct'!$B:$B,$B30,'[2]8CollegeAct'!I:I)+SUMIF(#REF!,$B30,#REF!)</f>
        <v>616</v>
      </c>
      <c r="H30" s="705">
        <f ca="1">SUMIF('[2]7UnivActwithConsUnit'!$B:$B,$B30,'[2]7UnivActwithConsUnit'!J:J)+SUMIF('[2]10CollegeEst'!$B:$B,$B30,'[2]10CollegeEst'!B:B)+SUMIF(#REF!,$B30,#REF!)</f>
        <v>27523</v>
      </c>
      <c r="I30" s="705">
        <f ca="1">SUMIF('[2]7UnivActwithConsUnit'!$B:$B,$B30,'[2]7UnivActwithConsUnit'!K:K)+SUMIF('[2]10CollegeEst'!$B:$B,$B30,'[2]10CollegeEst'!C:C)+SUMIF(#REF!,$B30,#REF!)</f>
        <v>39800</v>
      </c>
      <c r="J30" s="705">
        <f ca="1">SUMIF('[2]7UnivActwithConsUnit'!$B:$B,$B30,'[2]7UnivActwithConsUnit'!L:L)+SUMIF('[2]10CollegeEst'!$B:$B,$B30,'[2]10CollegeEst'!D:D)+SUMIF(#REF!,$B30,#REF!)</f>
        <v>67323</v>
      </c>
      <c r="K30" s="713">
        <f ca="1">SUMIF('[2]7UnivActwithConsUnit'!$B:$B,$B30,'[2]7UnivActwithConsUnit'!M:M)+SUMIF('[2]10CollegeEst'!$B:$B,$B30,'[2]10CollegeEst'!E:E)+SUMIF(#REF!,$B30,#REF!)</f>
        <v>269915</v>
      </c>
      <c r="L30" s="705">
        <f ca="1">SUMIF('[2]7UnivActwithConsUnit'!$B:$B,$B30,'[2]7UnivActwithConsUnit'!N:N)+SUMIF('[2]10CollegeEst'!$B:$B,$B30,'[2]10CollegeEst'!F:F)+SUMIF(#REF!,$B30,#REF!)</f>
        <v>278078</v>
      </c>
      <c r="M30" s="705">
        <f ca="1">SUMIF('[2]7UnivActwithConsUnit'!$B:$B,$B30,'[2]7UnivActwithConsUnit'!O:O)+SUMIF('[2]10CollegeEst'!$B:$B,$B30,'[2]10CollegeEst'!G:G)+SUMIF(#REF!,$B30,#REF!)</f>
        <v>547993</v>
      </c>
      <c r="N30" s="705">
        <f ca="1">SUMIF('[2]7UnivActwithConsUnit'!$B:$B,$B30,'[2]7UnivActwithConsUnit'!P:P)+SUMIF('[2]8CollegeAct'!$B:$B,$B30,'[2]8CollegeAct'!P:P)+SUMIF(#REF!,$B30,#REF!)</f>
        <v>1683</v>
      </c>
      <c r="O30" s="705">
        <f ca="1">SUMIF('[2]7UnivActwithConsUnit'!$B:$B,$B30,'[2]7UnivActwithConsUnit'!Q:Q)+SUMIF('[2]8CollegeAct'!$B:$B,$B30,'[2]8CollegeAct'!Q:Q)+SUMIF(#REF!,$B30,#REF!)</f>
        <v>1530</v>
      </c>
      <c r="P30" s="705">
        <f ca="1">SUMIF('[2]7UnivActwithConsUnit'!$B:$B,$B30,'[2]7UnivActwithConsUnit'!R:R)+SUMIF('[2]8CollegeAct'!$B:$B,$B30,'[2]8CollegeAct'!R:R)+SUMIF(#REF!,$B30,#REF!)</f>
        <v>3213</v>
      </c>
      <c r="Q30" s="705">
        <f ca="1">SUMIF('[2]7UnivActwithConsUnit'!$B:$B,$B30,'[2]7UnivActwithConsUnit'!S:S)+SUMIF('[2]8CollegeAct'!$B:$B,$B30,'[2]8CollegeAct'!S:S)+SUMIF(#REF!,$B30,#REF!)</f>
        <v>11139</v>
      </c>
      <c r="R30" s="705">
        <f ca="1">SUMIF('[2]7UnivActwithConsUnit'!$B:$B,$B30,'[2]7UnivActwithConsUnit'!T:T)+SUMIF('[2]8CollegeAct'!$B:$B,$B30,'[2]8CollegeAct'!T:T)+SUMIF(#REF!,$B30,#REF!)</f>
        <v>8078</v>
      </c>
      <c r="S30" s="705">
        <f ca="1">SUMIF('[2]7UnivActwithConsUnit'!$B:$B,$B30,'[2]7UnivActwithConsUnit'!U:U)+SUMIF('[2]8CollegeAct'!$B:$B,$B30,'[2]8CollegeAct'!U:U)+SUMIF(#REF!,$B30,#REF!)</f>
        <v>19217</v>
      </c>
      <c r="T30" s="713">
        <f ca="1">SUMIF('[2]7UnivActwithConsUnit'!$B:$B,$B30,'[2]7UnivActwithConsUnit'!V:V)+SUMIF('[2]8CollegeAct'!$B:$B,$B30,'[2]8CollegeAct'!V:V)+SUMIF(#REF!,$B30,#REF!)</f>
        <v>743</v>
      </c>
      <c r="U30" s="705">
        <f ca="1">SUMIF('[2]7UnivActwithConsUnit'!$B:$B,$B30,'[2]7UnivActwithConsUnit'!W:W)+SUMIF('[2]8CollegeAct'!$B:$B,$B30,'[2]8CollegeAct'!W:W)+SUMIF(#REF!,$B30,#REF!)</f>
        <v>1176</v>
      </c>
      <c r="V30" s="705">
        <f ca="1">SUMIF('[2]7UnivActwithConsUnit'!$B:$B,$B30,'[2]7UnivActwithConsUnit'!X:X)+SUMIF('[2]8CollegeAct'!$B:$B,$B30,'[2]8CollegeAct'!X:X)+SUMIF(#REF!,$B30,#REF!)</f>
        <v>1919</v>
      </c>
      <c r="W30" s="705">
        <f ca="1">SUMIF('[2]7UnivActwithConsUnit'!$B:$B,$B30,'[2]7UnivActwithConsUnit'!Y:Y)+SUMIF('[2]8CollegeAct'!$B:$B,$B30,'[2]8CollegeAct'!Y:Y)+SUMIF(#REF!,$B30,#REF!)</f>
        <v>2446</v>
      </c>
      <c r="X30" s="705">
        <f ca="1">SUMIF('[2]7UnivActwithConsUnit'!$B:$B,$B30,'[2]7UnivActwithConsUnit'!Z:Z)+SUMIF('[2]8CollegeAct'!$B:$B,$B30,'[2]8CollegeAct'!Z:Z)+SUMIF(#REF!,$B30,#REF!)</f>
        <v>2247</v>
      </c>
      <c r="Y30" s="705">
        <f ca="1">SUMIF('[2]7UnivActwithConsUnit'!$B:$B,$B30,'[2]7UnivActwithConsUnit'!AA:AA)+SUMIF('[2]8CollegeAct'!$B:$B,$B30,'[2]8CollegeAct'!AA:AA)+SUMIF(#REF!,$B30,#REF!)</f>
        <v>4693</v>
      </c>
      <c r="Z30" s="706">
        <f t="shared" ref="Z30:AA30" ca="1" si="10">B30+E30+H30+K30+N30+Q30+T30+W30</f>
        <v>316908</v>
      </c>
      <c r="AA30" s="706">
        <f t="shared" ca="1" si="10"/>
        <v>333693</v>
      </c>
      <c r="AB30" s="706">
        <f t="shared" ref="AB30" ca="1" si="11">Z30+AA30</f>
        <v>650601</v>
      </c>
    </row>
    <row r="31" spans="1:28">
      <c r="A31" s="541" t="s">
        <v>831</v>
      </c>
      <c r="B31" s="515">
        <v>2970</v>
      </c>
      <c r="C31" s="515">
        <v>1970</v>
      </c>
      <c r="D31" s="515">
        <v>4940</v>
      </c>
      <c r="E31" s="515">
        <v>192</v>
      </c>
      <c r="F31" s="515">
        <v>272</v>
      </c>
      <c r="G31" s="515">
        <v>464</v>
      </c>
      <c r="H31" s="515">
        <v>26709</v>
      </c>
      <c r="I31" s="515">
        <v>38720</v>
      </c>
      <c r="J31" s="515">
        <v>65429</v>
      </c>
      <c r="K31" s="549">
        <v>300082</v>
      </c>
      <c r="L31" s="515">
        <v>296037</v>
      </c>
      <c r="M31" s="515">
        <v>596119</v>
      </c>
      <c r="N31" s="515">
        <v>1694</v>
      </c>
      <c r="O31" s="515">
        <v>1564</v>
      </c>
      <c r="P31" s="515">
        <v>3258</v>
      </c>
      <c r="Q31" s="515">
        <v>12704</v>
      </c>
      <c r="R31" s="515">
        <v>10910</v>
      </c>
      <c r="S31" s="515">
        <v>23614</v>
      </c>
      <c r="T31" s="549">
        <v>756</v>
      </c>
      <c r="U31" s="515">
        <v>1034</v>
      </c>
      <c r="V31" s="515">
        <v>1790</v>
      </c>
      <c r="W31" s="515">
        <v>2377</v>
      </c>
      <c r="X31" s="515">
        <v>2172</v>
      </c>
      <c r="Y31" s="515">
        <v>4549</v>
      </c>
      <c r="Z31" s="515">
        <v>347484</v>
      </c>
      <c r="AA31" s="515">
        <v>352679</v>
      </c>
      <c r="AB31" s="515">
        <v>700163</v>
      </c>
    </row>
    <row r="32" spans="1:28">
      <c r="A32" s="541" t="s">
        <v>830</v>
      </c>
      <c r="B32" s="543">
        <v>2633</v>
      </c>
      <c r="C32" s="543">
        <v>1704</v>
      </c>
      <c r="D32" s="543">
        <v>4337</v>
      </c>
      <c r="E32" s="543">
        <v>129</v>
      </c>
      <c r="F32" s="543">
        <v>224</v>
      </c>
      <c r="G32" s="543">
        <v>353</v>
      </c>
      <c r="H32" s="543">
        <v>39906.581104964018</v>
      </c>
      <c r="I32" s="543">
        <v>48392.65349222636</v>
      </c>
      <c r="J32" s="543">
        <v>88299.234597190385</v>
      </c>
      <c r="K32" s="714">
        <v>278600.10512203502</v>
      </c>
      <c r="L32" s="543">
        <v>277744.19171424501</v>
      </c>
      <c r="M32" s="543">
        <v>556344.29683628003</v>
      </c>
      <c r="N32" s="543">
        <v>1735</v>
      </c>
      <c r="O32" s="543">
        <v>1627</v>
      </c>
      <c r="P32" s="543">
        <v>3362</v>
      </c>
      <c r="Q32" s="543">
        <v>10223</v>
      </c>
      <c r="R32" s="543">
        <v>7709</v>
      </c>
      <c r="S32" s="543">
        <v>17932</v>
      </c>
      <c r="T32" s="714">
        <v>1082</v>
      </c>
      <c r="U32" s="543">
        <v>1353</v>
      </c>
      <c r="V32" s="543">
        <v>2435</v>
      </c>
      <c r="W32" s="543">
        <v>2630</v>
      </c>
      <c r="X32" s="543">
        <v>2651</v>
      </c>
      <c r="Y32" s="543">
        <v>5281</v>
      </c>
      <c r="Z32" s="200">
        <f t="shared" ref="Z32:AB32" si="12">B32+E32+H32+K32+N32+Q32+T32+W32</f>
        <v>336938.68622699904</v>
      </c>
      <c r="AA32" s="200">
        <f t="shared" si="12"/>
        <v>341404.84520647139</v>
      </c>
      <c r="AB32" s="200">
        <f t="shared" si="12"/>
        <v>678343.53143347043</v>
      </c>
    </row>
    <row r="33" spans="1:28">
      <c r="A33" s="541" t="s">
        <v>829</v>
      </c>
      <c r="B33" s="544">
        <v>2545</v>
      </c>
      <c r="C33" s="544">
        <v>1573</v>
      </c>
      <c r="D33" s="265">
        <v>4118</v>
      </c>
      <c r="E33" s="544">
        <v>76</v>
      </c>
      <c r="F33" s="544">
        <v>152</v>
      </c>
      <c r="G33" s="265">
        <v>228</v>
      </c>
      <c r="H33" s="544">
        <v>33834</v>
      </c>
      <c r="I33" s="544">
        <v>42433</v>
      </c>
      <c r="J33" s="265">
        <v>76267</v>
      </c>
      <c r="K33" s="716">
        <v>265032</v>
      </c>
      <c r="L33" s="544">
        <v>257856</v>
      </c>
      <c r="M33" s="265">
        <v>522888</v>
      </c>
      <c r="N33" s="544">
        <v>1755</v>
      </c>
      <c r="O33" s="544">
        <v>1312</v>
      </c>
      <c r="P33" s="265">
        <v>3067</v>
      </c>
      <c r="Q33" s="544">
        <v>17206</v>
      </c>
      <c r="R33" s="544">
        <v>9254</v>
      </c>
      <c r="S33" s="265">
        <v>26460</v>
      </c>
      <c r="T33" s="716">
        <v>970</v>
      </c>
      <c r="U33" s="544">
        <v>1324</v>
      </c>
      <c r="V33" s="265">
        <v>2294</v>
      </c>
      <c r="W33" s="544">
        <v>2472</v>
      </c>
      <c r="X33" s="544">
        <v>2476</v>
      </c>
      <c r="Y33" s="265">
        <v>4948</v>
      </c>
      <c r="Z33" s="265">
        <v>323890</v>
      </c>
      <c r="AA33" s="265">
        <v>316380</v>
      </c>
      <c r="AB33" s="265">
        <f t="shared" ref="AB33" si="13">SUM(Z33+AA33)</f>
        <v>640270</v>
      </c>
    </row>
    <row r="34" spans="1:28">
      <c r="A34" s="707" t="s">
        <v>828</v>
      </c>
      <c r="B34" s="708">
        <v>2318</v>
      </c>
      <c r="C34" s="708">
        <v>1556</v>
      </c>
      <c r="D34" s="708">
        <v>3874</v>
      </c>
      <c r="E34" s="708">
        <v>65</v>
      </c>
      <c r="F34" s="708">
        <v>149</v>
      </c>
      <c r="G34" s="708">
        <v>214</v>
      </c>
      <c r="H34" s="708">
        <v>36783</v>
      </c>
      <c r="I34" s="708">
        <v>42770</v>
      </c>
      <c r="J34" s="708">
        <v>79553</v>
      </c>
      <c r="K34" s="513">
        <v>241045</v>
      </c>
      <c r="L34" s="708">
        <v>223576</v>
      </c>
      <c r="M34" s="708">
        <v>464621</v>
      </c>
      <c r="N34" s="708">
        <v>1670</v>
      </c>
      <c r="O34" s="708">
        <v>1287</v>
      </c>
      <c r="P34" s="708">
        <v>2957</v>
      </c>
      <c r="Q34" s="708">
        <v>7078</v>
      </c>
      <c r="R34" s="708">
        <v>4530</v>
      </c>
      <c r="S34" s="708">
        <v>11608</v>
      </c>
      <c r="T34" s="513">
        <v>1715</v>
      </c>
      <c r="U34" s="708">
        <v>1939</v>
      </c>
      <c r="V34" s="708">
        <v>3654</v>
      </c>
      <c r="W34" s="708">
        <v>2182</v>
      </c>
      <c r="X34" s="708">
        <v>2292</v>
      </c>
      <c r="Y34" s="708">
        <v>4474</v>
      </c>
      <c r="Z34" s="708">
        <f t="shared" ref="Z34:AB34" si="14">B34+E34+H34+K34+N34+Q34+T34+W34</f>
        <v>292856</v>
      </c>
      <c r="AA34" s="708">
        <f t="shared" si="14"/>
        <v>278099</v>
      </c>
      <c r="AB34" s="708">
        <f t="shared" si="14"/>
        <v>570955</v>
      </c>
    </row>
    <row r="35" spans="1:28" ht="15">
      <c r="A35" s="579" t="s">
        <v>18</v>
      </c>
      <c r="B35" s="551"/>
      <c r="C35" s="551"/>
      <c r="D35" s="551"/>
      <c r="E35" s="551"/>
      <c r="F35" s="551"/>
      <c r="G35" s="551"/>
      <c r="H35" s="551"/>
      <c r="I35" s="551"/>
      <c r="J35" s="552"/>
      <c r="K35" s="551"/>
      <c r="L35" s="551"/>
      <c r="M35" s="551"/>
      <c r="N35" s="551"/>
      <c r="O35" s="551"/>
      <c r="P35" s="551"/>
      <c r="Q35" s="551"/>
      <c r="R35" s="551"/>
      <c r="S35" s="552"/>
      <c r="T35" s="551"/>
      <c r="U35" s="551"/>
      <c r="V35" s="551"/>
      <c r="W35" s="551"/>
      <c r="X35" s="551"/>
      <c r="Y35" s="551"/>
      <c r="Z35" s="551"/>
      <c r="AA35" s="551"/>
      <c r="AB35" s="552"/>
    </row>
    <row r="36" spans="1:28">
      <c r="A36" s="570" t="s">
        <v>832</v>
      </c>
      <c r="B36" s="705">
        <f ca="1">SUMIF('[2]7UnivActwithConsUnit'!$B:$B,$B36,'[2]7UnivActwithConsUnit'!D:D)+SUMIF('[2]8CollegeAct'!$B:$B,$B36,'[2]8CollegeAct'!D:D)+SUMIF(#REF!,$B36,#REF!)</f>
        <v>1665</v>
      </c>
      <c r="C36" s="705">
        <f ca="1">SUMIF('[2]7UnivActwithConsUnit'!$B:$B,$B36,'[2]7UnivActwithConsUnit'!E:E)+SUMIF('[2]8CollegeAct'!$B:$B,$B36,'[2]8CollegeAct'!E:E)+SUMIF(#REF!,$B36,#REF!)</f>
        <v>1034</v>
      </c>
      <c r="D36" s="705">
        <f ca="1">SUMIF('[2]7UnivActwithConsUnit'!$B:$B,$B36,'[2]7UnivActwithConsUnit'!F:F)+SUMIF('[2]8CollegeAct'!$B:$B,$B36,'[2]8CollegeAct'!F:F)+SUMIF(#REF!,$B36,#REF!)</f>
        <v>2699</v>
      </c>
      <c r="E36" s="705">
        <f ca="1">SUMIF('[2]7UnivActwithConsUnit'!$B:$B,$B36,'[2]7UnivActwithConsUnit'!G:G)+SUMIF('[2]8CollegeAct'!$B:$B,$B36,'[2]8CollegeAct'!G:G)+SUMIF(#REF!,$B36,#REF!)</f>
        <v>55</v>
      </c>
      <c r="F36" s="705">
        <f ca="1">SUMIF('[2]7UnivActwithConsUnit'!$B:$B,$B36,'[2]7UnivActwithConsUnit'!H:H)+SUMIF('[2]8CollegeAct'!$B:$B,$B36,'[2]8CollegeAct'!H:H)+SUMIF(#REF!,$B36,#REF!)</f>
        <v>15</v>
      </c>
      <c r="G36" s="705">
        <f ca="1">SUMIF('[2]7UnivActwithConsUnit'!$B:$B,$B36,'[2]7UnivActwithConsUnit'!I:I)+SUMIF('[2]8CollegeAct'!$B:$B,$B36,'[2]8CollegeAct'!I:I)+SUMIF(#REF!,$B36,#REF!)</f>
        <v>70</v>
      </c>
      <c r="H36" s="705">
        <f ca="1">SUMIF('[2]7UnivActwithConsUnit'!$B:$B,$B36,'[2]7UnivActwithConsUnit'!J:J)+SUMIF('[2]10CollegeEst'!$B:$B,$B36,'[2]10CollegeEst'!B:B)+SUMIF(#REF!,$B36,#REF!)</f>
        <v>61287</v>
      </c>
      <c r="I36" s="705">
        <f ca="1">SUMIF('[2]7UnivActwithConsUnit'!$B:$B,$B36,'[2]7UnivActwithConsUnit'!K:K)+SUMIF('[2]10CollegeEst'!$B:$B,$B36,'[2]10CollegeEst'!C:C)+SUMIF(#REF!,$B36,#REF!)</f>
        <v>59654</v>
      </c>
      <c r="J36" s="705">
        <f ca="1">SUMIF('[2]7UnivActwithConsUnit'!$B:$B,$B36,'[2]7UnivActwithConsUnit'!L:L)+SUMIF('[2]10CollegeEst'!$B:$B,$B36,'[2]10CollegeEst'!D:D)+SUMIF(#REF!,$B36,#REF!)</f>
        <v>120941</v>
      </c>
      <c r="K36" s="713">
        <f ca="1">SUMIF('[2]7UnivActwithConsUnit'!$B:$B,$B36,'[2]7UnivActwithConsUnit'!M:M)+SUMIF('[2]10CollegeEst'!$B:$B,$B36,'[2]10CollegeEst'!E:E)+SUMIF(#REF!,$B36,#REF!)</f>
        <v>855740</v>
      </c>
      <c r="L36" s="705">
        <f ca="1">SUMIF('[2]7UnivActwithConsUnit'!$B:$B,$B36,'[2]7UnivActwithConsUnit'!N:N)+SUMIF('[2]10CollegeEst'!$B:$B,$B36,'[2]10CollegeEst'!F:F)+SUMIF(#REF!,$B36,#REF!)</f>
        <v>677529</v>
      </c>
      <c r="M36" s="705">
        <f ca="1">SUMIF('[2]7UnivActwithConsUnit'!$B:$B,$B36,'[2]7UnivActwithConsUnit'!O:O)+SUMIF('[2]10CollegeEst'!$B:$B,$B36,'[2]10CollegeEst'!G:G)+SUMIF(#REF!,$B36,#REF!)</f>
        <v>1533269</v>
      </c>
      <c r="N36" s="705">
        <f ca="1">SUMIF('[2]7UnivActwithConsUnit'!$B:$B,$B36,'[2]7UnivActwithConsUnit'!P:P)+SUMIF('[2]8CollegeAct'!$B:$B,$B36,'[2]8CollegeAct'!P:P)+SUMIF(#REF!,$B36,#REF!)</f>
        <v>1814</v>
      </c>
      <c r="O36" s="705">
        <f ca="1">SUMIF('[2]7UnivActwithConsUnit'!$B:$B,$B36,'[2]7UnivActwithConsUnit'!Q:Q)+SUMIF('[2]8CollegeAct'!$B:$B,$B36,'[2]8CollegeAct'!Q:Q)+SUMIF(#REF!,$B36,#REF!)</f>
        <v>801</v>
      </c>
      <c r="P36" s="705">
        <f ca="1">SUMIF('[2]7UnivActwithConsUnit'!$B:$B,$B36,'[2]7UnivActwithConsUnit'!R:R)+SUMIF('[2]8CollegeAct'!$B:$B,$B36,'[2]8CollegeAct'!R:R)+SUMIF(#REF!,$B36,#REF!)</f>
        <v>2615</v>
      </c>
      <c r="Q36" s="705">
        <f ca="1">SUMIF('[2]7UnivActwithConsUnit'!$B:$B,$B36,'[2]7UnivActwithConsUnit'!S:S)+SUMIF('[2]8CollegeAct'!$B:$B,$B36,'[2]8CollegeAct'!S:S)+SUMIF(#REF!,$B36,#REF!)</f>
        <v>43054</v>
      </c>
      <c r="R36" s="705">
        <f ca="1">SUMIF('[2]7UnivActwithConsUnit'!$B:$B,$B36,'[2]7UnivActwithConsUnit'!T:T)+SUMIF('[2]8CollegeAct'!$B:$B,$B36,'[2]8CollegeAct'!T:T)+SUMIF(#REF!,$B36,#REF!)</f>
        <v>25907</v>
      </c>
      <c r="S36" s="705">
        <f ca="1">SUMIF('[2]7UnivActwithConsUnit'!$B:$B,$B36,'[2]7UnivActwithConsUnit'!U:U)+SUMIF('[2]8CollegeAct'!$B:$B,$B36,'[2]8CollegeAct'!U:U)+SUMIF(#REF!,$B36,#REF!)</f>
        <v>68961</v>
      </c>
      <c r="T36" s="713">
        <f ca="1">SUMIF('[2]7UnivActwithConsUnit'!$B:$B,$B36,'[2]7UnivActwithConsUnit'!V:V)+SUMIF('[2]8CollegeAct'!$B:$B,$B36,'[2]8CollegeAct'!V:V)+SUMIF(#REF!,$B36,#REF!)</f>
        <v>4029</v>
      </c>
      <c r="U36" s="705">
        <f ca="1">SUMIF('[2]7UnivActwithConsUnit'!$B:$B,$B36,'[2]7UnivActwithConsUnit'!W:W)+SUMIF('[2]8CollegeAct'!$B:$B,$B36,'[2]8CollegeAct'!W:W)+SUMIF(#REF!,$B36,#REF!)</f>
        <v>2564</v>
      </c>
      <c r="V36" s="705">
        <f ca="1">SUMIF('[2]7UnivActwithConsUnit'!$B:$B,$B36,'[2]7UnivActwithConsUnit'!X:X)+SUMIF('[2]8CollegeAct'!$B:$B,$B36,'[2]8CollegeAct'!X:X)+SUMIF(#REF!,$B36,#REF!)</f>
        <v>6593</v>
      </c>
      <c r="W36" s="705">
        <f ca="1">SUMIF('[2]7UnivActwithConsUnit'!$B:$B,$B36,'[2]7UnivActwithConsUnit'!Y:Y)+SUMIF('[2]8CollegeAct'!$B:$B,$B36,'[2]8CollegeAct'!Y:Y)+SUMIF(#REF!,$B36,#REF!)</f>
        <v>2258</v>
      </c>
      <c r="X36" s="705">
        <f ca="1">SUMIF('[2]7UnivActwithConsUnit'!$B:$B,$B36,'[2]7UnivActwithConsUnit'!Z:Z)+SUMIF('[2]8CollegeAct'!$B:$B,$B36,'[2]8CollegeAct'!Z:Z)+SUMIF(#REF!,$B36,#REF!)</f>
        <v>1026</v>
      </c>
      <c r="Y36" s="705">
        <f ca="1">SUMIF('[2]7UnivActwithConsUnit'!$B:$B,$B36,'[2]7UnivActwithConsUnit'!AA:AA)+SUMIF('[2]8CollegeAct'!$B:$B,$B36,'[2]8CollegeAct'!AA:AA)+SUMIF(#REF!,$B36,#REF!)</f>
        <v>3284</v>
      </c>
      <c r="Z36" s="706">
        <f t="shared" ref="Z36:AA36" ca="1" si="15">B36+E36+H36+K36+N36+Q36+T36+W36</f>
        <v>969902</v>
      </c>
      <c r="AA36" s="706">
        <f t="shared" ca="1" si="15"/>
        <v>768530</v>
      </c>
      <c r="AB36" s="706">
        <f t="shared" ref="AB36" ca="1" si="16">Z36+AA36</f>
        <v>1738432</v>
      </c>
    </row>
    <row r="37" spans="1:28">
      <c r="A37" s="541" t="s">
        <v>831</v>
      </c>
      <c r="B37" s="515">
        <v>2239</v>
      </c>
      <c r="C37" s="515">
        <v>1123</v>
      </c>
      <c r="D37" s="515">
        <v>3362</v>
      </c>
      <c r="E37" s="515">
        <v>0</v>
      </c>
      <c r="F37" s="515">
        <v>0</v>
      </c>
      <c r="G37" s="515">
        <v>0</v>
      </c>
      <c r="H37" s="515">
        <v>69515</v>
      </c>
      <c r="I37" s="515">
        <v>58697</v>
      </c>
      <c r="J37" s="515">
        <v>128212</v>
      </c>
      <c r="K37" s="549">
        <v>807032</v>
      </c>
      <c r="L37" s="515">
        <v>604600</v>
      </c>
      <c r="M37" s="515">
        <v>1411632</v>
      </c>
      <c r="N37" s="515">
        <v>1692</v>
      </c>
      <c r="O37" s="515">
        <v>778</v>
      </c>
      <c r="P37" s="515">
        <v>2470</v>
      </c>
      <c r="Q37" s="515">
        <v>35350</v>
      </c>
      <c r="R37" s="515">
        <v>18990</v>
      </c>
      <c r="S37" s="515">
        <v>54340</v>
      </c>
      <c r="T37" s="549">
        <v>2705</v>
      </c>
      <c r="U37" s="515">
        <v>1439</v>
      </c>
      <c r="V37" s="515">
        <v>4144</v>
      </c>
      <c r="W37" s="515">
        <v>1952</v>
      </c>
      <c r="X37" s="515">
        <v>896</v>
      </c>
      <c r="Y37" s="515">
        <v>2848</v>
      </c>
      <c r="Z37" s="515">
        <v>920485</v>
      </c>
      <c r="AA37" s="515">
        <v>686523</v>
      </c>
      <c r="AB37" s="515">
        <v>1607008</v>
      </c>
    </row>
    <row r="38" spans="1:28" ht="15">
      <c r="A38" s="541" t="s">
        <v>830</v>
      </c>
      <c r="B38" s="545">
        <v>1902</v>
      </c>
      <c r="C38" s="545">
        <v>954</v>
      </c>
      <c r="D38" s="209">
        <v>2856</v>
      </c>
      <c r="E38" s="546"/>
      <c r="F38" s="546"/>
      <c r="G38" s="546"/>
      <c r="H38" s="545">
        <v>70534</v>
      </c>
      <c r="I38" s="545">
        <v>54605</v>
      </c>
      <c r="J38" s="209">
        <v>125139</v>
      </c>
      <c r="K38" s="717">
        <v>763699</v>
      </c>
      <c r="L38" s="545">
        <v>570070</v>
      </c>
      <c r="M38" s="209">
        <v>1333769</v>
      </c>
      <c r="N38" s="545">
        <v>2030</v>
      </c>
      <c r="O38" s="545">
        <v>850</v>
      </c>
      <c r="P38" s="209">
        <v>2880</v>
      </c>
      <c r="Q38" s="545">
        <v>30942</v>
      </c>
      <c r="R38" s="545">
        <v>14031</v>
      </c>
      <c r="S38" s="209">
        <v>44973</v>
      </c>
      <c r="T38" s="717">
        <v>2336</v>
      </c>
      <c r="U38" s="545">
        <v>1075</v>
      </c>
      <c r="V38" s="209">
        <v>3411</v>
      </c>
      <c r="W38" s="545">
        <v>1512</v>
      </c>
      <c r="X38" s="545">
        <v>788</v>
      </c>
      <c r="Y38" s="209">
        <v>2300</v>
      </c>
      <c r="Z38" s="209">
        <v>872270</v>
      </c>
      <c r="AA38" s="209">
        <v>642325</v>
      </c>
      <c r="AB38" s="209">
        <v>1514595</v>
      </c>
    </row>
    <row r="39" spans="1:28">
      <c r="A39" s="541" t="s">
        <v>829</v>
      </c>
      <c r="B39" s="544">
        <v>1502</v>
      </c>
      <c r="C39" s="544">
        <v>726</v>
      </c>
      <c r="D39" s="265">
        <v>2228</v>
      </c>
      <c r="E39" s="544">
        <v>0</v>
      </c>
      <c r="F39" s="544">
        <v>0</v>
      </c>
      <c r="G39" s="265">
        <v>0</v>
      </c>
      <c r="H39" s="544">
        <v>77794</v>
      </c>
      <c r="I39" s="544">
        <v>62155</v>
      </c>
      <c r="J39" s="265">
        <v>139949</v>
      </c>
      <c r="K39" s="716">
        <v>839122</v>
      </c>
      <c r="L39" s="544">
        <v>621470</v>
      </c>
      <c r="M39" s="265">
        <v>1460592</v>
      </c>
      <c r="N39" s="544">
        <v>1845</v>
      </c>
      <c r="O39" s="544">
        <v>767</v>
      </c>
      <c r="P39" s="265">
        <v>2612</v>
      </c>
      <c r="Q39" s="544">
        <v>24408</v>
      </c>
      <c r="R39" s="544">
        <v>9473</v>
      </c>
      <c r="S39" s="265">
        <v>33881</v>
      </c>
      <c r="T39" s="716">
        <v>2865</v>
      </c>
      <c r="U39" s="544">
        <v>1539</v>
      </c>
      <c r="V39" s="265">
        <v>4404</v>
      </c>
      <c r="W39" s="544">
        <v>1212</v>
      </c>
      <c r="X39" s="544">
        <v>640</v>
      </c>
      <c r="Y39" s="265">
        <v>1852</v>
      </c>
      <c r="Z39" s="265">
        <v>948748</v>
      </c>
      <c r="AA39" s="265">
        <v>696770</v>
      </c>
      <c r="AB39" s="265">
        <f t="shared" ref="AB39" si="17">SUM(Z39+AA39)</f>
        <v>1645518</v>
      </c>
    </row>
    <row r="40" spans="1:28">
      <c r="A40" s="514" t="s">
        <v>828</v>
      </c>
      <c r="B40" s="515">
        <v>1567</v>
      </c>
      <c r="C40" s="515">
        <v>975</v>
      </c>
      <c r="D40" s="515">
        <v>2542</v>
      </c>
      <c r="E40" s="515">
        <v>20</v>
      </c>
      <c r="F40" s="515">
        <v>12</v>
      </c>
      <c r="G40" s="515">
        <v>32</v>
      </c>
      <c r="H40" s="515">
        <v>73865</v>
      </c>
      <c r="I40" s="515">
        <v>56371</v>
      </c>
      <c r="J40" s="515">
        <v>130236</v>
      </c>
      <c r="K40" s="549">
        <v>826637</v>
      </c>
      <c r="L40" s="515">
        <v>605011</v>
      </c>
      <c r="M40" s="515">
        <v>1431648</v>
      </c>
      <c r="N40" s="515">
        <v>1473</v>
      </c>
      <c r="O40" s="515">
        <v>771</v>
      </c>
      <c r="P40" s="515">
        <v>2244</v>
      </c>
      <c r="Q40" s="515">
        <v>20782</v>
      </c>
      <c r="R40" s="515">
        <v>8659</v>
      </c>
      <c r="S40" s="515">
        <v>29441</v>
      </c>
      <c r="T40" s="549">
        <v>2858</v>
      </c>
      <c r="U40" s="515">
        <v>1648</v>
      </c>
      <c r="V40" s="515">
        <v>4506</v>
      </c>
      <c r="W40" s="515">
        <v>1456</v>
      </c>
      <c r="X40" s="515">
        <v>755</v>
      </c>
      <c r="Y40" s="515">
        <v>2211</v>
      </c>
      <c r="Z40" s="515">
        <f t="shared" ref="Z40:AB40" si="18">B40+E40+H40+K40+N40+Q40+T40+W40</f>
        <v>928658</v>
      </c>
      <c r="AA40" s="515">
        <f t="shared" si="18"/>
        <v>674202</v>
      </c>
      <c r="AB40" s="515">
        <f t="shared" si="18"/>
        <v>1602860</v>
      </c>
    </row>
    <row r="41" spans="1:28" ht="15">
      <c r="A41" s="579" t="s">
        <v>19</v>
      </c>
      <c r="B41" s="551"/>
      <c r="C41" s="551"/>
      <c r="D41" s="551"/>
      <c r="E41" s="551"/>
      <c r="F41" s="551"/>
      <c r="G41" s="551"/>
      <c r="H41" s="551"/>
      <c r="I41" s="551"/>
      <c r="J41" s="552"/>
      <c r="K41" s="551"/>
      <c r="L41" s="551"/>
      <c r="M41" s="551"/>
      <c r="N41" s="551"/>
      <c r="O41" s="551"/>
      <c r="P41" s="551"/>
      <c r="Q41" s="551"/>
      <c r="R41" s="551"/>
      <c r="S41" s="552"/>
      <c r="T41" s="551"/>
      <c r="U41" s="551"/>
      <c r="V41" s="551"/>
      <c r="W41" s="551"/>
      <c r="X41" s="551"/>
      <c r="Y41" s="551"/>
      <c r="Z41" s="551"/>
      <c r="AA41" s="551"/>
      <c r="AB41" s="552"/>
    </row>
    <row r="42" spans="1:28">
      <c r="A42" s="541" t="s">
        <v>832</v>
      </c>
      <c r="B42" s="154">
        <f ca="1">SUMIF('[2]7UnivActwithConsUnit'!$B:$B,$B42,'[2]7UnivActwithConsUnit'!D:D)+SUMIF('[2]8CollegeAct'!$B:$B,$B42,'[2]8CollegeAct'!D:D)+SUMIF(#REF!,$B42,#REF!)</f>
        <v>409</v>
      </c>
      <c r="C42" s="154">
        <f ca="1">SUMIF('[2]7UnivActwithConsUnit'!$B:$B,$B42,'[2]7UnivActwithConsUnit'!E:E)+SUMIF('[2]8CollegeAct'!$B:$B,$B42,'[2]8CollegeAct'!E:E)+SUMIF(#REF!,$B42,#REF!)</f>
        <v>550</v>
      </c>
      <c r="D42" s="154">
        <f ca="1">SUMIF('[2]7UnivActwithConsUnit'!$B:$B,$B42,'[2]7UnivActwithConsUnit'!F:F)+SUMIF('[2]8CollegeAct'!$B:$B,$B42,'[2]8CollegeAct'!F:F)+SUMIF(#REF!,$B42,#REF!)</f>
        <v>959</v>
      </c>
      <c r="E42" s="154">
        <f ca="1">SUMIF('[2]7UnivActwithConsUnit'!$B:$B,$B42,'[2]7UnivActwithConsUnit'!G:G)+SUMIF('[2]8CollegeAct'!$B:$B,$B42,'[2]8CollegeAct'!G:G)+SUMIF(#REF!,$B42,#REF!)</f>
        <v>140</v>
      </c>
      <c r="F42" s="154">
        <f ca="1">SUMIF('[2]7UnivActwithConsUnit'!$B:$B,$B42,'[2]7UnivActwithConsUnit'!H:H)+SUMIF('[2]8CollegeAct'!$B:$B,$B42,'[2]8CollegeAct'!H:H)+SUMIF(#REF!,$B42,#REF!)</f>
        <v>48</v>
      </c>
      <c r="G42" s="154">
        <f ca="1">SUMIF('[2]7UnivActwithConsUnit'!$B:$B,$B42,'[2]7UnivActwithConsUnit'!I:I)+SUMIF('[2]8CollegeAct'!$B:$B,$B42,'[2]8CollegeAct'!I:I)+SUMIF(#REF!,$B42,#REF!)</f>
        <v>188</v>
      </c>
      <c r="H42" s="154">
        <f ca="1">SUMIF('[2]7UnivActwithConsUnit'!$B:$B,$B42,'[2]7UnivActwithConsUnit'!J:J)+SUMIF('[2]10CollegeEst'!$B:$B,$B42,'[2]10CollegeEst'!B:B)+SUMIF(#REF!,$B42,#REF!)</f>
        <v>8560</v>
      </c>
      <c r="I42" s="154">
        <f ca="1">SUMIF('[2]7UnivActwithConsUnit'!$B:$B,$B42,'[2]7UnivActwithConsUnit'!K:K)+SUMIF('[2]10CollegeEst'!$B:$B,$B42,'[2]10CollegeEst'!C:C)+SUMIF(#REF!,$B42,#REF!)</f>
        <v>13854</v>
      </c>
      <c r="J42" s="154">
        <f ca="1">SUMIF('[2]7UnivActwithConsUnit'!$B:$B,$B42,'[2]7UnivActwithConsUnit'!L:L)+SUMIF('[2]10CollegeEst'!$B:$B,$B42,'[2]10CollegeEst'!D:D)+SUMIF(#REF!,$B42,#REF!)</f>
        <v>22414</v>
      </c>
      <c r="K42" s="715">
        <f ca="1">SUMIF('[2]7UnivActwithConsUnit'!$B:$B,$B42,'[2]7UnivActwithConsUnit'!M:M)+SUMIF('[2]10CollegeEst'!$B:$B,$B42,'[2]10CollegeEst'!E:E)+SUMIF(#REF!,$B42,#REF!)</f>
        <v>39098</v>
      </c>
      <c r="L42" s="154">
        <f ca="1">SUMIF('[2]7UnivActwithConsUnit'!$B:$B,$B42,'[2]7UnivActwithConsUnit'!N:N)+SUMIF('[2]10CollegeEst'!$B:$B,$B42,'[2]10CollegeEst'!F:F)+SUMIF(#REF!,$B42,#REF!)</f>
        <v>34415</v>
      </c>
      <c r="M42" s="154">
        <f ca="1">SUMIF('[2]7UnivActwithConsUnit'!$B:$B,$B42,'[2]7UnivActwithConsUnit'!O:O)+SUMIF('[2]10CollegeEst'!$B:$B,$B42,'[2]10CollegeEst'!G:G)+SUMIF(#REF!,$B42,#REF!)</f>
        <v>73513</v>
      </c>
      <c r="N42" s="154">
        <f ca="1">SUMIF('[2]7UnivActwithConsUnit'!$B:$B,$B42,'[2]7UnivActwithConsUnit'!P:P)+SUMIF('[2]8CollegeAct'!$B:$B,$B42,'[2]8CollegeAct'!P:P)+SUMIF(#REF!,$B42,#REF!)</f>
        <v>1065</v>
      </c>
      <c r="O42" s="154">
        <f ca="1">SUMIF('[2]7UnivActwithConsUnit'!$B:$B,$B42,'[2]7UnivActwithConsUnit'!Q:Q)+SUMIF('[2]8CollegeAct'!$B:$B,$B42,'[2]8CollegeAct'!Q:Q)+SUMIF(#REF!,$B42,#REF!)</f>
        <v>1115</v>
      </c>
      <c r="P42" s="154">
        <f ca="1">SUMIF('[2]7UnivActwithConsUnit'!$B:$B,$B42,'[2]7UnivActwithConsUnit'!R:R)+SUMIF('[2]8CollegeAct'!$B:$B,$B42,'[2]8CollegeAct'!R:R)+SUMIF(#REF!,$B42,#REF!)</f>
        <v>2180</v>
      </c>
      <c r="Q42" s="154">
        <f ca="1">SUMIF('[2]7UnivActwithConsUnit'!$B:$B,$B42,'[2]7UnivActwithConsUnit'!S:S)+SUMIF('[2]8CollegeAct'!$B:$B,$B42,'[2]8CollegeAct'!S:S)+SUMIF(#REF!,$B42,#REF!)</f>
        <v>2340</v>
      </c>
      <c r="R42" s="154">
        <f ca="1">SUMIF('[2]7UnivActwithConsUnit'!$B:$B,$B42,'[2]7UnivActwithConsUnit'!T:T)+SUMIF('[2]8CollegeAct'!$B:$B,$B42,'[2]8CollegeAct'!T:T)+SUMIF(#REF!,$B42,#REF!)</f>
        <v>1944</v>
      </c>
      <c r="S42" s="154">
        <f ca="1">SUMIF('[2]7UnivActwithConsUnit'!$B:$B,$B42,'[2]7UnivActwithConsUnit'!U:U)+SUMIF('[2]8CollegeAct'!$B:$B,$B42,'[2]8CollegeAct'!U:U)+SUMIF(#REF!,$B42,#REF!)</f>
        <v>4284</v>
      </c>
      <c r="T42" s="715">
        <f ca="1">SUMIF('[2]7UnivActwithConsUnit'!$B:$B,$B42,'[2]7UnivActwithConsUnit'!V:V)+SUMIF('[2]8CollegeAct'!$B:$B,$B42,'[2]8CollegeAct'!V:V)+SUMIF(#REF!,$B42,#REF!)</f>
        <v>419</v>
      </c>
      <c r="U42" s="154">
        <f ca="1">SUMIF('[2]7UnivActwithConsUnit'!$B:$B,$B42,'[2]7UnivActwithConsUnit'!W:W)+SUMIF('[2]8CollegeAct'!$B:$B,$B42,'[2]8CollegeAct'!W:W)+SUMIF(#REF!,$B42,#REF!)</f>
        <v>281</v>
      </c>
      <c r="V42" s="154">
        <f ca="1">SUMIF('[2]7UnivActwithConsUnit'!$B:$B,$B42,'[2]7UnivActwithConsUnit'!X:X)+SUMIF('[2]8CollegeAct'!$B:$B,$B42,'[2]8CollegeAct'!X:X)+SUMIF(#REF!,$B42,#REF!)</f>
        <v>700</v>
      </c>
      <c r="W42" s="154">
        <f ca="1">SUMIF('[2]7UnivActwithConsUnit'!$B:$B,$B42,'[2]7UnivActwithConsUnit'!Y:Y)+SUMIF('[2]8CollegeAct'!$B:$B,$B42,'[2]8CollegeAct'!Y:Y)+SUMIF(#REF!,$B42,#REF!)</f>
        <v>1139</v>
      </c>
      <c r="X42" s="154">
        <f ca="1">SUMIF('[2]7UnivActwithConsUnit'!$B:$B,$B42,'[2]7UnivActwithConsUnit'!Z:Z)+SUMIF('[2]8CollegeAct'!$B:$B,$B42,'[2]8CollegeAct'!Z:Z)+SUMIF(#REF!,$B42,#REF!)</f>
        <v>1290</v>
      </c>
      <c r="Y42" s="154">
        <f ca="1">SUMIF('[2]7UnivActwithConsUnit'!$B:$B,$B42,'[2]7UnivActwithConsUnit'!AA:AA)+SUMIF('[2]8CollegeAct'!$B:$B,$B42,'[2]8CollegeAct'!AA:AA)+SUMIF(#REF!,$B42,#REF!)</f>
        <v>2429</v>
      </c>
      <c r="Z42" s="155">
        <f t="shared" ref="Z42:AA42" ca="1" si="19">B42+E42+H42+K42+N42+Q42+T42+W42</f>
        <v>53170</v>
      </c>
      <c r="AA42" s="155">
        <f t="shared" ca="1" si="19"/>
        <v>53497</v>
      </c>
      <c r="AB42" s="155">
        <f t="shared" ref="AB42" ca="1" si="20">Z42+AA42</f>
        <v>106667</v>
      </c>
    </row>
    <row r="43" spans="1:28">
      <c r="A43" s="541" t="s">
        <v>831</v>
      </c>
      <c r="B43" s="515">
        <v>353</v>
      </c>
      <c r="C43" s="515">
        <v>508</v>
      </c>
      <c r="D43" s="515">
        <v>861</v>
      </c>
      <c r="E43" s="515">
        <v>145</v>
      </c>
      <c r="F43" s="515">
        <v>43</v>
      </c>
      <c r="G43" s="515">
        <v>188</v>
      </c>
      <c r="H43" s="515">
        <v>7576</v>
      </c>
      <c r="I43" s="515">
        <v>13291</v>
      </c>
      <c r="J43" s="515">
        <v>20867</v>
      </c>
      <c r="K43" s="549">
        <v>36391</v>
      </c>
      <c r="L43" s="515">
        <v>32954</v>
      </c>
      <c r="M43" s="515">
        <v>69345</v>
      </c>
      <c r="N43" s="515">
        <v>778</v>
      </c>
      <c r="O43" s="515">
        <v>857</v>
      </c>
      <c r="P43" s="515">
        <v>1635</v>
      </c>
      <c r="Q43" s="515">
        <v>1644</v>
      </c>
      <c r="R43" s="515">
        <v>1477</v>
      </c>
      <c r="S43" s="515">
        <v>3121</v>
      </c>
      <c r="T43" s="549">
        <v>568</v>
      </c>
      <c r="U43" s="515">
        <v>222</v>
      </c>
      <c r="V43" s="515">
        <v>790</v>
      </c>
      <c r="W43" s="515">
        <v>1111</v>
      </c>
      <c r="X43" s="515">
        <v>1091</v>
      </c>
      <c r="Y43" s="515">
        <v>2202</v>
      </c>
      <c r="Z43" s="515">
        <v>48566</v>
      </c>
      <c r="AA43" s="515">
        <v>50443</v>
      </c>
      <c r="AB43" s="515">
        <v>99009</v>
      </c>
    </row>
    <row r="44" spans="1:28">
      <c r="A44" s="541" t="s">
        <v>830</v>
      </c>
      <c r="B44" s="543">
        <v>472</v>
      </c>
      <c r="C44" s="543">
        <v>415</v>
      </c>
      <c r="D44" s="543">
        <v>887</v>
      </c>
      <c r="E44" s="543">
        <v>168</v>
      </c>
      <c r="F44" s="543">
        <v>67</v>
      </c>
      <c r="G44" s="543">
        <v>235</v>
      </c>
      <c r="H44" s="543">
        <v>9571.8463378402666</v>
      </c>
      <c r="I44" s="543">
        <v>14184.183966206754</v>
      </c>
      <c r="J44" s="543">
        <v>23756.030304047021</v>
      </c>
      <c r="K44" s="714">
        <v>40220.809648325136</v>
      </c>
      <c r="L44" s="543">
        <v>33672.608451791282</v>
      </c>
      <c r="M44" s="543">
        <v>73893.418100116411</v>
      </c>
      <c r="N44" s="543">
        <v>533</v>
      </c>
      <c r="O44" s="543">
        <v>639</v>
      </c>
      <c r="P44" s="543">
        <v>1172</v>
      </c>
      <c r="Q44" s="543">
        <v>1571</v>
      </c>
      <c r="R44" s="543">
        <v>1398</v>
      </c>
      <c r="S44" s="543">
        <v>2969</v>
      </c>
      <c r="T44" s="714">
        <v>464</v>
      </c>
      <c r="U44" s="543">
        <v>262</v>
      </c>
      <c r="V44" s="543">
        <v>726</v>
      </c>
      <c r="W44" s="543">
        <v>1058</v>
      </c>
      <c r="X44" s="543">
        <v>1133</v>
      </c>
      <c r="Y44" s="543">
        <v>2191</v>
      </c>
      <c r="Z44" s="200">
        <f t="shared" ref="Z44:AB44" si="21">B44+E44+H44+K44+N44+Q44+T44+W44</f>
        <v>54058.655986165402</v>
      </c>
      <c r="AA44" s="200">
        <f t="shared" si="21"/>
        <v>51770.792417998033</v>
      </c>
      <c r="AB44" s="200">
        <f t="shared" si="21"/>
        <v>105829.44840416343</v>
      </c>
    </row>
    <row r="45" spans="1:28">
      <c r="A45" s="541" t="s">
        <v>829</v>
      </c>
      <c r="B45" s="544">
        <v>629</v>
      </c>
      <c r="C45" s="544">
        <v>625</v>
      </c>
      <c r="D45" s="265">
        <v>1254</v>
      </c>
      <c r="E45" s="544">
        <v>56</v>
      </c>
      <c r="F45" s="544">
        <v>87</v>
      </c>
      <c r="G45" s="265">
        <v>143</v>
      </c>
      <c r="H45" s="544">
        <v>8784</v>
      </c>
      <c r="I45" s="544">
        <v>14181</v>
      </c>
      <c r="J45" s="265">
        <v>22965</v>
      </c>
      <c r="K45" s="716">
        <v>37043</v>
      </c>
      <c r="L45" s="544">
        <v>32480</v>
      </c>
      <c r="M45" s="265">
        <v>69523</v>
      </c>
      <c r="N45" s="544">
        <v>468</v>
      </c>
      <c r="O45" s="544">
        <v>687</v>
      </c>
      <c r="P45" s="265">
        <v>1155</v>
      </c>
      <c r="Q45" s="544">
        <v>1528</v>
      </c>
      <c r="R45" s="544">
        <v>1334</v>
      </c>
      <c r="S45" s="265">
        <v>2862</v>
      </c>
      <c r="T45" s="716">
        <v>373</v>
      </c>
      <c r="U45" s="544">
        <v>210</v>
      </c>
      <c r="V45" s="265">
        <v>583</v>
      </c>
      <c r="W45" s="544">
        <v>1100</v>
      </c>
      <c r="X45" s="544">
        <v>1264</v>
      </c>
      <c r="Y45" s="265">
        <v>2364</v>
      </c>
      <c r="Z45" s="265">
        <v>49981</v>
      </c>
      <c r="AA45" s="265">
        <v>50868</v>
      </c>
      <c r="AB45" s="265">
        <f t="shared" ref="AB45" si="22">SUM(Z45+AA45)</f>
        <v>100849</v>
      </c>
    </row>
    <row r="46" spans="1:28">
      <c r="A46" s="514" t="s">
        <v>828</v>
      </c>
      <c r="B46" s="515">
        <v>448</v>
      </c>
      <c r="C46" s="515">
        <v>567</v>
      </c>
      <c r="D46" s="515">
        <v>1015</v>
      </c>
      <c r="E46" s="515">
        <v>58</v>
      </c>
      <c r="F46" s="515">
        <v>55</v>
      </c>
      <c r="G46" s="515">
        <v>113</v>
      </c>
      <c r="H46" s="515">
        <v>10043</v>
      </c>
      <c r="I46" s="515">
        <v>15494</v>
      </c>
      <c r="J46" s="515">
        <v>25537</v>
      </c>
      <c r="K46" s="549">
        <v>35032</v>
      </c>
      <c r="L46" s="515">
        <v>31294</v>
      </c>
      <c r="M46" s="515">
        <v>66326</v>
      </c>
      <c r="N46" s="515">
        <v>391</v>
      </c>
      <c r="O46" s="515">
        <v>558</v>
      </c>
      <c r="P46" s="515">
        <v>949</v>
      </c>
      <c r="Q46" s="515">
        <v>1516</v>
      </c>
      <c r="R46" s="515">
        <v>1398</v>
      </c>
      <c r="S46" s="515">
        <v>2914</v>
      </c>
      <c r="T46" s="549">
        <v>467</v>
      </c>
      <c r="U46" s="515">
        <v>244</v>
      </c>
      <c r="V46" s="515">
        <v>711</v>
      </c>
      <c r="W46" s="515">
        <v>1167</v>
      </c>
      <c r="X46" s="515">
        <v>1260</v>
      </c>
      <c r="Y46" s="515">
        <v>2427</v>
      </c>
      <c r="Z46" s="515">
        <f t="shared" ref="Z46:AB46" si="23">B46+E46+H46+K46+N46+Q46+T46+W46</f>
        <v>49122</v>
      </c>
      <c r="AA46" s="515">
        <f t="shared" si="23"/>
        <v>50870</v>
      </c>
      <c r="AB46" s="515">
        <f t="shared" si="23"/>
        <v>99992</v>
      </c>
    </row>
    <row r="47" spans="1:28" ht="15">
      <c r="A47" s="579" t="s">
        <v>20</v>
      </c>
      <c r="B47" s="551"/>
      <c r="C47" s="551"/>
      <c r="D47" s="551"/>
      <c r="E47" s="551"/>
      <c r="F47" s="551"/>
      <c r="G47" s="551"/>
      <c r="H47" s="551"/>
      <c r="I47" s="551"/>
      <c r="J47" s="552"/>
      <c r="K47" s="551"/>
      <c r="L47" s="551"/>
      <c r="M47" s="551"/>
      <c r="N47" s="551"/>
      <c r="O47" s="551"/>
      <c r="P47" s="551"/>
      <c r="Q47" s="551"/>
      <c r="R47" s="551"/>
      <c r="S47" s="552"/>
      <c r="T47" s="551"/>
      <c r="U47" s="551"/>
      <c r="V47" s="551"/>
      <c r="W47" s="551"/>
      <c r="X47" s="551"/>
      <c r="Y47" s="551"/>
      <c r="Z47" s="551"/>
      <c r="AA47" s="551"/>
      <c r="AB47" s="552"/>
    </row>
    <row r="48" spans="1:28">
      <c r="A48" s="541" t="s">
        <v>832</v>
      </c>
      <c r="B48" s="154">
        <f ca="1">SUMIF('[2]7UnivActwithConsUnit'!$B:$B,$B48,'[2]7UnivActwithConsUnit'!D:D)+SUMIF('[2]8CollegeAct'!$B:$B,$B48,'[2]8CollegeAct'!D:D)+SUMIF(#REF!,$B48,#REF!)</f>
        <v>824</v>
      </c>
      <c r="C48" s="154">
        <f ca="1">SUMIF('[2]7UnivActwithConsUnit'!$B:$B,$B48,'[2]7UnivActwithConsUnit'!E:E)+SUMIF('[2]8CollegeAct'!$B:$B,$B48,'[2]8CollegeAct'!E:E)+SUMIF(#REF!,$B48,#REF!)</f>
        <v>691</v>
      </c>
      <c r="D48" s="154">
        <f ca="1">SUMIF('[2]7UnivActwithConsUnit'!$B:$B,$B48,'[2]7UnivActwithConsUnit'!F:F)+SUMIF('[2]8CollegeAct'!$B:$B,$B48,'[2]8CollegeAct'!F:F)+SUMIF(#REF!,$B48,#REF!)</f>
        <v>1515</v>
      </c>
      <c r="E48" s="154">
        <f ca="1">SUMIF('[2]7UnivActwithConsUnit'!$B:$B,$B48,'[2]7UnivActwithConsUnit'!G:G)+SUMIF('[2]8CollegeAct'!$B:$B,$B48,'[2]8CollegeAct'!G:G)+SUMIF(#REF!,$B48,#REF!)</f>
        <v>109</v>
      </c>
      <c r="F48" s="154">
        <f ca="1">SUMIF('[2]7UnivActwithConsUnit'!$B:$B,$B48,'[2]7UnivActwithConsUnit'!H:H)+SUMIF('[2]8CollegeAct'!$B:$B,$B48,'[2]8CollegeAct'!H:H)+SUMIF(#REF!,$B48,#REF!)</f>
        <v>89</v>
      </c>
      <c r="G48" s="154">
        <f ca="1">SUMIF('[2]7UnivActwithConsUnit'!$B:$B,$B48,'[2]7UnivActwithConsUnit'!I:I)+SUMIF('[2]8CollegeAct'!$B:$B,$B48,'[2]8CollegeAct'!I:I)+SUMIF(#REF!,$B48,#REF!)</f>
        <v>198</v>
      </c>
      <c r="H48" s="154">
        <f ca="1">SUMIF('[2]7UnivActwithConsUnit'!$B:$B,$B48,'[2]7UnivActwithConsUnit'!J:J)+SUMIF('[2]10CollegeEst'!$B:$B,$B48,'[2]10CollegeEst'!B:B)+SUMIF(#REF!,$B48,#REF!)</f>
        <v>30137</v>
      </c>
      <c r="I48" s="154">
        <f ca="1">SUMIF('[2]7UnivActwithConsUnit'!$B:$B,$B48,'[2]7UnivActwithConsUnit'!K:K)+SUMIF('[2]10CollegeEst'!$B:$B,$B48,'[2]10CollegeEst'!C:C)+SUMIF(#REF!,$B48,#REF!)</f>
        <v>40444</v>
      </c>
      <c r="J48" s="154">
        <f ca="1">SUMIF('[2]7UnivActwithConsUnit'!$B:$B,$B48,'[2]7UnivActwithConsUnit'!L:L)+SUMIF('[2]10CollegeEst'!$B:$B,$B48,'[2]10CollegeEst'!D:D)+SUMIF(#REF!,$B48,#REF!)</f>
        <v>70581</v>
      </c>
      <c r="K48" s="715">
        <f ca="1">SUMIF('[2]7UnivActwithConsUnit'!$B:$B,$B48,'[2]7UnivActwithConsUnit'!M:M)+SUMIF('[2]10CollegeEst'!$B:$B,$B48,'[2]10CollegeEst'!E:E)+SUMIF(#REF!,$B48,#REF!)</f>
        <v>187304</v>
      </c>
      <c r="L48" s="154">
        <f ca="1">SUMIF('[2]7UnivActwithConsUnit'!$B:$B,$B48,'[2]7UnivActwithConsUnit'!N:N)+SUMIF('[2]10CollegeEst'!$B:$B,$B48,'[2]10CollegeEst'!F:F)+SUMIF(#REF!,$B48,#REF!)</f>
        <v>228077</v>
      </c>
      <c r="M48" s="154">
        <f ca="1">SUMIF('[2]7UnivActwithConsUnit'!$B:$B,$B48,'[2]7UnivActwithConsUnit'!O:O)+SUMIF('[2]10CollegeEst'!$B:$B,$B48,'[2]10CollegeEst'!G:G)+SUMIF(#REF!,$B48,#REF!)</f>
        <v>415381</v>
      </c>
      <c r="N48" s="154">
        <f ca="1">SUMIF('[2]7UnivActwithConsUnit'!$B:$B,$B48,'[2]7UnivActwithConsUnit'!P:P)+SUMIF('[2]8CollegeAct'!$B:$B,$B48,'[2]8CollegeAct'!P:P)+SUMIF(#REF!,$B48,#REF!)</f>
        <v>13986</v>
      </c>
      <c r="O48" s="154">
        <f ca="1">SUMIF('[2]7UnivActwithConsUnit'!$B:$B,$B48,'[2]7UnivActwithConsUnit'!Q:Q)+SUMIF('[2]8CollegeAct'!$B:$B,$B48,'[2]8CollegeAct'!Q:Q)+SUMIF(#REF!,$B48,#REF!)</f>
        <v>14396</v>
      </c>
      <c r="P48" s="154">
        <f ca="1">SUMIF('[2]7UnivActwithConsUnit'!$B:$B,$B48,'[2]7UnivActwithConsUnit'!R:R)+SUMIF('[2]8CollegeAct'!$B:$B,$B48,'[2]8CollegeAct'!R:R)+SUMIF(#REF!,$B48,#REF!)</f>
        <v>28382</v>
      </c>
      <c r="Q48" s="154">
        <f ca="1">SUMIF('[2]7UnivActwithConsUnit'!$B:$B,$B48,'[2]7UnivActwithConsUnit'!S:S)+SUMIF('[2]8CollegeAct'!$B:$B,$B48,'[2]8CollegeAct'!S:S)+SUMIF(#REF!,$B48,#REF!)</f>
        <v>38361</v>
      </c>
      <c r="R48" s="154">
        <f ca="1">SUMIF('[2]7UnivActwithConsUnit'!$B:$B,$B48,'[2]7UnivActwithConsUnit'!T:T)+SUMIF('[2]8CollegeAct'!$B:$B,$B48,'[2]8CollegeAct'!T:T)+SUMIF(#REF!,$B48,#REF!)</f>
        <v>27702</v>
      </c>
      <c r="S48" s="154">
        <f ca="1">SUMIF('[2]7UnivActwithConsUnit'!$B:$B,$B48,'[2]7UnivActwithConsUnit'!U:U)+SUMIF('[2]8CollegeAct'!$B:$B,$B48,'[2]8CollegeAct'!U:U)+SUMIF(#REF!,$B48,#REF!)</f>
        <v>66063</v>
      </c>
      <c r="T48" s="715">
        <f ca="1">SUMIF('[2]7UnivActwithConsUnit'!$B:$B,$B48,'[2]7UnivActwithConsUnit'!V:V)+SUMIF('[2]8CollegeAct'!$B:$B,$B48,'[2]8CollegeAct'!V:V)+SUMIF(#REF!,$B48,#REF!)</f>
        <v>210</v>
      </c>
      <c r="U48" s="154">
        <f ca="1">SUMIF('[2]7UnivActwithConsUnit'!$B:$B,$B48,'[2]7UnivActwithConsUnit'!W:W)+SUMIF('[2]8CollegeAct'!$B:$B,$B48,'[2]8CollegeAct'!W:W)+SUMIF(#REF!,$B48,#REF!)</f>
        <v>335</v>
      </c>
      <c r="V48" s="154">
        <f ca="1">SUMIF('[2]7UnivActwithConsUnit'!$B:$B,$B48,'[2]7UnivActwithConsUnit'!X:X)+SUMIF('[2]8CollegeAct'!$B:$B,$B48,'[2]8CollegeAct'!X:X)+SUMIF(#REF!,$B48,#REF!)</f>
        <v>545</v>
      </c>
      <c r="W48" s="154">
        <f ca="1">SUMIF('[2]7UnivActwithConsUnit'!$B:$B,$B48,'[2]7UnivActwithConsUnit'!Y:Y)+SUMIF('[2]8CollegeAct'!$B:$B,$B48,'[2]8CollegeAct'!Y:Y)+SUMIF(#REF!,$B48,#REF!)</f>
        <v>1882</v>
      </c>
      <c r="X48" s="154">
        <f ca="1">SUMIF('[2]7UnivActwithConsUnit'!$B:$B,$B48,'[2]7UnivActwithConsUnit'!Z:Z)+SUMIF('[2]8CollegeAct'!$B:$B,$B48,'[2]8CollegeAct'!Z:Z)+SUMIF(#REF!,$B48,#REF!)</f>
        <v>1848</v>
      </c>
      <c r="Y48" s="154">
        <f ca="1">SUMIF('[2]7UnivActwithConsUnit'!$B:$B,$B48,'[2]7UnivActwithConsUnit'!AA:AA)+SUMIF('[2]8CollegeAct'!$B:$B,$B48,'[2]8CollegeAct'!AA:AA)+SUMIF(#REF!,$B48,#REF!)</f>
        <v>3730</v>
      </c>
      <c r="Z48" s="155">
        <f t="shared" ref="Z48:AA48" ca="1" si="24">B48+E48+H48+K48+N48+Q48+T48+W48</f>
        <v>272813</v>
      </c>
      <c r="AA48" s="155">
        <f t="shared" ca="1" si="24"/>
        <v>313582</v>
      </c>
      <c r="AB48" s="155">
        <f t="shared" ref="AB48" ca="1" si="25">Z48+AA48</f>
        <v>586395</v>
      </c>
    </row>
    <row r="49" spans="1:28">
      <c r="A49" s="541" t="s">
        <v>831</v>
      </c>
      <c r="B49" s="515">
        <v>965</v>
      </c>
      <c r="C49" s="515">
        <v>509</v>
      </c>
      <c r="D49" s="515">
        <v>1474</v>
      </c>
      <c r="E49" s="515">
        <v>193</v>
      </c>
      <c r="F49" s="515">
        <v>151</v>
      </c>
      <c r="G49" s="515">
        <v>344</v>
      </c>
      <c r="H49" s="515">
        <v>30690</v>
      </c>
      <c r="I49" s="515">
        <v>37757</v>
      </c>
      <c r="J49" s="515">
        <v>68447</v>
      </c>
      <c r="K49" s="549">
        <v>190502</v>
      </c>
      <c r="L49" s="515">
        <v>215794</v>
      </c>
      <c r="M49" s="515">
        <v>406296</v>
      </c>
      <c r="N49" s="515">
        <v>14887</v>
      </c>
      <c r="O49" s="515">
        <v>15114</v>
      </c>
      <c r="P49" s="515">
        <v>30001</v>
      </c>
      <c r="Q49" s="515">
        <v>44001</v>
      </c>
      <c r="R49" s="515">
        <v>33005</v>
      </c>
      <c r="S49" s="515">
        <v>77006</v>
      </c>
      <c r="T49" s="549">
        <v>190</v>
      </c>
      <c r="U49" s="515">
        <v>365</v>
      </c>
      <c r="V49" s="515">
        <v>555</v>
      </c>
      <c r="W49" s="515">
        <v>1357</v>
      </c>
      <c r="X49" s="515">
        <v>1444</v>
      </c>
      <c r="Y49" s="515">
        <v>2801</v>
      </c>
      <c r="Z49" s="515">
        <v>282785</v>
      </c>
      <c r="AA49" s="515">
        <v>304139</v>
      </c>
      <c r="AB49" s="515">
        <v>586924</v>
      </c>
    </row>
    <row r="50" spans="1:28">
      <c r="A50" s="541" t="s">
        <v>830</v>
      </c>
      <c r="B50" s="543">
        <v>740</v>
      </c>
      <c r="C50" s="543">
        <v>425</v>
      </c>
      <c r="D50" s="543">
        <v>1165</v>
      </c>
      <c r="E50" s="543">
        <v>149</v>
      </c>
      <c r="F50" s="543">
        <v>150</v>
      </c>
      <c r="G50" s="543">
        <v>299</v>
      </c>
      <c r="H50" s="543">
        <v>29365</v>
      </c>
      <c r="I50" s="543">
        <v>34811</v>
      </c>
      <c r="J50" s="543">
        <v>64176</v>
      </c>
      <c r="K50" s="714">
        <v>185435</v>
      </c>
      <c r="L50" s="543">
        <v>199088</v>
      </c>
      <c r="M50" s="543">
        <v>384523</v>
      </c>
      <c r="N50" s="543">
        <v>18658</v>
      </c>
      <c r="O50" s="543">
        <v>18485</v>
      </c>
      <c r="P50" s="543">
        <v>37143</v>
      </c>
      <c r="Q50" s="543">
        <v>51571</v>
      </c>
      <c r="R50" s="543">
        <v>33441</v>
      </c>
      <c r="S50" s="543">
        <v>85012</v>
      </c>
      <c r="T50" s="714">
        <v>211</v>
      </c>
      <c r="U50" s="543">
        <v>313</v>
      </c>
      <c r="V50" s="543">
        <v>524</v>
      </c>
      <c r="W50" s="543">
        <v>1014</v>
      </c>
      <c r="X50" s="543">
        <v>1005</v>
      </c>
      <c r="Y50" s="543">
        <v>2019</v>
      </c>
      <c r="Z50" s="200">
        <f t="shared" ref="Z50:AB50" si="26">B50+E50+H50+K50+N50+Q50+T50+W50</f>
        <v>287143</v>
      </c>
      <c r="AA50" s="200">
        <f t="shared" si="26"/>
        <v>287718</v>
      </c>
      <c r="AB50" s="200">
        <f t="shared" si="26"/>
        <v>574861</v>
      </c>
    </row>
    <row r="51" spans="1:28">
      <c r="A51" s="541" t="s">
        <v>829</v>
      </c>
      <c r="B51" s="544">
        <v>778</v>
      </c>
      <c r="C51" s="544">
        <v>488</v>
      </c>
      <c r="D51" s="265">
        <v>1266</v>
      </c>
      <c r="E51" s="544">
        <v>141</v>
      </c>
      <c r="F51" s="544">
        <v>136</v>
      </c>
      <c r="G51" s="265">
        <v>277</v>
      </c>
      <c r="H51" s="544">
        <v>26255</v>
      </c>
      <c r="I51" s="544">
        <v>30836</v>
      </c>
      <c r="J51" s="265">
        <v>57091</v>
      </c>
      <c r="K51" s="716">
        <v>179137</v>
      </c>
      <c r="L51" s="544">
        <v>181098</v>
      </c>
      <c r="M51" s="265">
        <v>360235</v>
      </c>
      <c r="N51" s="544">
        <v>11779</v>
      </c>
      <c r="O51" s="544">
        <v>10542</v>
      </c>
      <c r="P51" s="265">
        <v>22321</v>
      </c>
      <c r="Q51" s="544">
        <v>33878</v>
      </c>
      <c r="R51" s="544">
        <v>22515</v>
      </c>
      <c r="S51" s="265">
        <v>56393</v>
      </c>
      <c r="T51" s="716">
        <v>220</v>
      </c>
      <c r="U51" s="544">
        <v>384</v>
      </c>
      <c r="V51" s="265">
        <v>604</v>
      </c>
      <c r="W51" s="544">
        <v>938</v>
      </c>
      <c r="X51" s="544">
        <v>921</v>
      </c>
      <c r="Y51" s="265">
        <v>1859</v>
      </c>
      <c r="Z51" s="265">
        <v>253126</v>
      </c>
      <c r="AA51" s="265">
        <v>246920</v>
      </c>
      <c r="AB51" s="265">
        <f t="shared" ref="AB51" si="27">SUM(Z51+AA51)</f>
        <v>500046</v>
      </c>
    </row>
    <row r="52" spans="1:28">
      <c r="A52" s="514" t="s">
        <v>828</v>
      </c>
      <c r="B52" s="515">
        <v>406</v>
      </c>
      <c r="C52" s="515">
        <v>284</v>
      </c>
      <c r="D52" s="515">
        <v>690</v>
      </c>
      <c r="E52" s="515">
        <v>182</v>
      </c>
      <c r="F52" s="515">
        <v>173</v>
      </c>
      <c r="G52" s="515">
        <v>355</v>
      </c>
      <c r="H52" s="515">
        <v>27245</v>
      </c>
      <c r="I52" s="515">
        <v>29435</v>
      </c>
      <c r="J52" s="515">
        <v>56680</v>
      </c>
      <c r="K52" s="549">
        <v>171634</v>
      </c>
      <c r="L52" s="515">
        <v>164931</v>
      </c>
      <c r="M52" s="515">
        <v>336565</v>
      </c>
      <c r="N52" s="515">
        <v>8863</v>
      </c>
      <c r="O52" s="515">
        <v>9462</v>
      </c>
      <c r="P52" s="515">
        <v>18325</v>
      </c>
      <c r="Q52" s="515">
        <v>31609</v>
      </c>
      <c r="R52" s="515">
        <v>19846</v>
      </c>
      <c r="S52" s="515">
        <v>51455</v>
      </c>
      <c r="T52" s="549">
        <v>106</v>
      </c>
      <c r="U52" s="515">
        <v>258</v>
      </c>
      <c r="V52" s="515">
        <v>364</v>
      </c>
      <c r="W52" s="515">
        <v>827</v>
      </c>
      <c r="X52" s="515">
        <v>769</v>
      </c>
      <c r="Y52" s="515">
        <v>1596</v>
      </c>
      <c r="Z52" s="515">
        <f t="shared" ref="Z52:AB52" si="28">B52+E52+H52+K52+N52+Q52+T52+W52</f>
        <v>240872</v>
      </c>
      <c r="AA52" s="515">
        <f t="shared" si="28"/>
        <v>225158</v>
      </c>
      <c r="AB52" s="515">
        <f t="shared" si="28"/>
        <v>466030</v>
      </c>
    </row>
    <row r="53" spans="1:28" ht="15">
      <c r="A53" s="579" t="s">
        <v>155</v>
      </c>
      <c r="B53" s="551"/>
      <c r="C53" s="551"/>
      <c r="D53" s="551"/>
      <c r="E53" s="551"/>
      <c r="F53" s="551"/>
      <c r="G53" s="551"/>
      <c r="H53" s="551"/>
      <c r="I53" s="551"/>
      <c r="J53" s="552"/>
      <c r="K53" s="551"/>
      <c r="L53" s="551"/>
      <c r="M53" s="551"/>
      <c r="N53" s="551"/>
      <c r="O53" s="551"/>
      <c r="P53" s="551"/>
      <c r="Q53" s="551"/>
      <c r="R53" s="551"/>
      <c r="S53" s="552"/>
      <c r="T53" s="551"/>
      <c r="U53" s="551"/>
      <c r="V53" s="551"/>
      <c r="W53" s="551"/>
      <c r="X53" s="551"/>
      <c r="Y53" s="551"/>
      <c r="Z53" s="551"/>
      <c r="AA53" s="551"/>
      <c r="AB53" s="552"/>
    </row>
    <row r="54" spans="1:28">
      <c r="A54" s="541" t="s">
        <v>832</v>
      </c>
      <c r="B54" s="154">
        <f ca="1">SUMIF('[2]7UnivActwithConsUnit'!$B:$B,$B54,'[2]7UnivActwithConsUnit'!D:D)+SUMIF('[2]8CollegeAct'!$B:$B,$B54,'[2]8CollegeAct'!D:D)+SUMIF(#REF!,$B54,#REF!)</f>
        <v>0</v>
      </c>
      <c r="C54" s="154">
        <f ca="1">SUMIF('[2]7UnivActwithConsUnit'!$B:$B,$B54,'[2]7UnivActwithConsUnit'!E:E)+SUMIF('[2]8CollegeAct'!$B:$B,$B54,'[2]8CollegeAct'!E:E)+SUMIF(#REF!,$B54,#REF!)</f>
        <v>0</v>
      </c>
      <c r="D54" s="154">
        <f ca="1">SUMIF('[2]7UnivActwithConsUnit'!$B:$B,$B54,'[2]7UnivActwithConsUnit'!F:F)+SUMIF('[2]8CollegeAct'!$B:$B,$B54,'[2]8CollegeAct'!F:F)+SUMIF(#REF!,$B54,#REF!)</f>
        <v>0</v>
      </c>
      <c r="E54" s="154">
        <f ca="1">SUMIF('[2]7UnivActwithConsUnit'!$B:$B,$B54,'[2]7UnivActwithConsUnit'!G:G)+SUMIF('[2]8CollegeAct'!$B:$B,$B54,'[2]8CollegeAct'!G:G)+SUMIF(#REF!,$B54,#REF!)</f>
        <v>0</v>
      </c>
      <c r="F54" s="154">
        <f ca="1">SUMIF('[2]7UnivActwithConsUnit'!$B:$B,$B54,'[2]7UnivActwithConsUnit'!H:H)+SUMIF('[2]8CollegeAct'!$B:$B,$B54,'[2]8CollegeAct'!H:H)+SUMIF(#REF!,$B54,#REF!)</f>
        <v>0</v>
      </c>
      <c r="G54" s="154">
        <f ca="1">SUMIF('[2]7UnivActwithConsUnit'!$B:$B,$B54,'[2]7UnivActwithConsUnit'!I:I)+SUMIF('[2]8CollegeAct'!$B:$B,$B54,'[2]8CollegeAct'!I:I)+SUMIF(#REF!,$B54,#REF!)</f>
        <v>0</v>
      </c>
      <c r="H54" s="154">
        <f ca="1">SUMIF('[2]7UnivActwithConsUnit'!$B:$B,$B54,'[2]7UnivActwithConsUnit'!J:J)+SUMIF('[2]10CollegeEst'!$B:$B,$B54,'[2]10CollegeEst'!B:B)+SUMIF(#REF!,$B54,#REF!)</f>
        <v>122</v>
      </c>
      <c r="I54" s="154">
        <f ca="1">SUMIF('[2]7UnivActwithConsUnit'!$B:$B,$B54,'[2]7UnivActwithConsUnit'!K:K)+SUMIF('[2]10CollegeEst'!$B:$B,$B54,'[2]10CollegeEst'!C:C)+SUMIF(#REF!,$B54,#REF!)</f>
        <v>247</v>
      </c>
      <c r="J54" s="154">
        <f ca="1">SUMIF('[2]7UnivActwithConsUnit'!$B:$B,$B54,'[2]7UnivActwithConsUnit'!L:L)+SUMIF('[2]10CollegeEst'!$B:$B,$B54,'[2]10CollegeEst'!D:D)+SUMIF(#REF!,$B54,#REF!)</f>
        <v>369</v>
      </c>
      <c r="K54" s="715">
        <f ca="1">SUMIF('[2]7UnivActwithConsUnit'!$B:$B,$B54,'[2]7UnivActwithConsUnit'!M:M)+SUMIF('[2]10CollegeEst'!$B:$B,$B54,'[2]10CollegeEst'!E:E)+SUMIF(#REF!,$B54,#REF!)</f>
        <v>2401</v>
      </c>
      <c r="L54" s="154">
        <f ca="1">SUMIF('[2]7UnivActwithConsUnit'!$B:$B,$B54,'[2]7UnivActwithConsUnit'!N:N)+SUMIF('[2]10CollegeEst'!$B:$B,$B54,'[2]10CollegeEst'!F:F)+SUMIF(#REF!,$B54,#REF!)</f>
        <v>2855</v>
      </c>
      <c r="M54" s="154">
        <f ca="1">SUMIF('[2]7UnivActwithConsUnit'!$B:$B,$B54,'[2]7UnivActwithConsUnit'!O:O)+SUMIF('[2]10CollegeEst'!$B:$B,$B54,'[2]10CollegeEst'!G:G)+SUMIF(#REF!,$B54,#REF!)</f>
        <v>5256</v>
      </c>
      <c r="N54" s="154">
        <f ca="1">SUMIF('[2]7UnivActwithConsUnit'!$B:$B,$B54,'[2]7UnivActwithConsUnit'!P:P)+SUMIF('[2]8CollegeAct'!$B:$B,$B54,'[2]8CollegeAct'!P:P)+SUMIF(#REF!,$B54,#REF!)</f>
        <v>0</v>
      </c>
      <c r="O54" s="154">
        <f ca="1">SUMIF('[2]7UnivActwithConsUnit'!$B:$B,$B54,'[2]7UnivActwithConsUnit'!Q:Q)+SUMIF('[2]8CollegeAct'!$B:$B,$B54,'[2]8CollegeAct'!Q:Q)+SUMIF(#REF!,$B54,#REF!)</f>
        <v>0</v>
      </c>
      <c r="P54" s="154">
        <f ca="1">SUMIF('[2]7UnivActwithConsUnit'!$B:$B,$B54,'[2]7UnivActwithConsUnit'!R:R)+SUMIF('[2]8CollegeAct'!$B:$B,$B54,'[2]8CollegeAct'!R:R)+SUMIF(#REF!,$B54,#REF!)</f>
        <v>0</v>
      </c>
      <c r="Q54" s="154">
        <f ca="1">SUMIF('[2]7UnivActwithConsUnit'!$B:$B,$B54,'[2]7UnivActwithConsUnit'!S:S)+SUMIF('[2]8CollegeAct'!$B:$B,$B54,'[2]8CollegeAct'!S:S)+SUMIF(#REF!,$B54,#REF!)</f>
        <v>596</v>
      </c>
      <c r="R54" s="154">
        <f ca="1">SUMIF('[2]7UnivActwithConsUnit'!$B:$B,$B54,'[2]7UnivActwithConsUnit'!T:T)+SUMIF('[2]8CollegeAct'!$B:$B,$B54,'[2]8CollegeAct'!T:T)+SUMIF(#REF!,$B54,#REF!)</f>
        <v>135</v>
      </c>
      <c r="S54" s="154">
        <f ca="1">SUMIF('[2]7UnivActwithConsUnit'!$B:$B,$B54,'[2]7UnivActwithConsUnit'!U:U)+SUMIF('[2]8CollegeAct'!$B:$B,$B54,'[2]8CollegeAct'!U:U)+SUMIF(#REF!,$B54,#REF!)</f>
        <v>731</v>
      </c>
      <c r="T54" s="715">
        <f ca="1">SUMIF('[2]7UnivActwithConsUnit'!$B:$B,$B54,'[2]7UnivActwithConsUnit'!V:V)+SUMIF('[2]8CollegeAct'!$B:$B,$B54,'[2]8CollegeAct'!V:V)+SUMIF(#REF!,$B54,#REF!)</f>
        <v>0</v>
      </c>
      <c r="U54" s="154">
        <f ca="1">SUMIF('[2]7UnivActwithConsUnit'!$B:$B,$B54,'[2]7UnivActwithConsUnit'!W:W)+SUMIF('[2]8CollegeAct'!$B:$B,$B54,'[2]8CollegeAct'!W:W)+SUMIF(#REF!,$B54,#REF!)</f>
        <v>0</v>
      </c>
      <c r="V54" s="154">
        <f ca="1">SUMIF('[2]7UnivActwithConsUnit'!$B:$B,$B54,'[2]7UnivActwithConsUnit'!X:X)+SUMIF('[2]8CollegeAct'!$B:$B,$B54,'[2]8CollegeAct'!X:X)+SUMIF(#REF!,$B54,#REF!)</f>
        <v>0</v>
      </c>
      <c r="W54" s="154">
        <f ca="1">SUMIF('[2]7UnivActwithConsUnit'!$B:$B,$B54,'[2]7UnivActwithConsUnit'!Y:Y)+SUMIF('[2]8CollegeAct'!$B:$B,$B54,'[2]8CollegeAct'!Y:Y)+SUMIF(#REF!,$B54,#REF!)</f>
        <v>11</v>
      </c>
      <c r="X54" s="154">
        <f ca="1">SUMIF('[2]7UnivActwithConsUnit'!$B:$B,$B54,'[2]7UnivActwithConsUnit'!Z:Z)+SUMIF('[2]8CollegeAct'!$B:$B,$B54,'[2]8CollegeAct'!Z:Z)+SUMIF(#REF!,$B54,#REF!)</f>
        <v>26</v>
      </c>
      <c r="Y54" s="154">
        <f ca="1">SUMIF('[2]7UnivActwithConsUnit'!$B:$B,$B54,'[2]7UnivActwithConsUnit'!AA:AA)+SUMIF('[2]8CollegeAct'!$B:$B,$B54,'[2]8CollegeAct'!AA:AA)+SUMIF(#REF!,$B54,#REF!)</f>
        <v>37</v>
      </c>
      <c r="Z54" s="155">
        <f t="shared" ref="Z54:AA54" ca="1" si="29">B54+E54+H54+K54+N54+Q54+T54+W54</f>
        <v>3130</v>
      </c>
      <c r="AA54" s="155">
        <f t="shared" ca="1" si="29"/>
        <v>3263</v>
      </c>
      <c r="AB54" s="155">
        <f t="shared" ref="AB54" ca="1" si="30">Z54+AA54</f>
        <v>6393</v>
      </c>
    </row>
    <row r="55" spans="1:28">
      <c r="A55" s="541" t="s">
        <v>831</v>
      </c>
      <c r="B55" s="515">
        <v>0</v>
      </c>
      <c r="C55" s="515">
        <v>0</v>
      </c>
      <c r="D55" s="515">
        <v>0</v>
      </c>
      <c r="E55" s="515">
        <v>0</v>
      </c>
      <c r="F55" s="515">
        <v>0</v>
      </c>
      <c r="G55" s="515">
        <v>0</v>
      </c>
      <c r="H55" s="515">
        <v>137</v>
      </c>
      <c r="I55" s="515">
        <v>223</v>
      </c>
      <c r="J55" s="515">
        <v>360</v>
      </c>
      <c r="K55" s="549">
        <v>2319</v>
      </c>
      <c r="L55" s="515">
        <v>2691</v>
      </c>
      <c r="M55" s="515">
        <v>5010</v>
      </c>
      <c r="N55" s="515">
        <v>0</v>
      </c>
      <c r="O55" s="515">
        <v>0</v>
      </c>
      <c r="P55" s="515">
        <v>0</v>
      </c>
      <c r="Q55" s="515">
        <v>570</v>
      </c>
      <c r="R55" s="515">
        <v>142</v>
      </c>
      <c r="S55" s="515">
        <v>712</v>
      </c>
      <c r="T55" s="549">
        <v>0</v>
      </c>
      <c r="U55" s="515">
        <v>0</v>
      </c>
      <c r="V55" s="515">
        <v>0</v>
      </c>
      <c r="W55" s="515">
        <v>6</v>
      </c>
      <c r="X55" s="515">
        <v>14</v>
      </c>
      <c r="Y55" s="515">
        <v>20</v>
      </c>
      <c r="Z55" s="515">
        <v>3032</v>
      </c>
      <c r="AA55" s="515">
        <v>3070</v>
      </c>
      <c r="AB55" s="515">
        <v>6102</v>
      </c>
    </row>
    <row r="56" spans="1:28">
      <c r="A56" s="541" t="s">
        <v>830</v>
      </c>
      <c r="B56" s="543">
        <v>0</v>
      </c>
      <c r="C56" s="543">
        <v>0</v>
      </c>
      <c r="D56" s="543">
        <v>0</v>
      </c>
      <c r="E56" s="543">
        <v>0</v>
      </c>
      <c r="F56" s="543">
        <v>0</v>
      </c>
      <c r="G56" s="543">
        <v>0</v>
      </c>
      <c r="H56" s="543">
        <v>126</v>
      </c>
      <c r="I56" s="543">
        <v>198</v>
      </c>
      <c r="J56" s="543">
        <v>324</v>
      </c>
      <c r="K56" s="714">
        <v>2134</v>
      </c>
      <c r="L56" s="543">
        <v>2628</v>
      </c>
      <c r="M56" s="543">
        <v>4762</v>
      </c>
      <c r="N56" s="543">
        <v>0</v>
      </c>
      <c r="O56" s="543">
        <v>0</v>
      </c>
      <c r="P56" s="543">
        <v>0</v>
      </c>
      <c r="Q56" s="543">
        <v>586</v>
      </c>
      <c r="R56" s="543">
        <v>98</v>
      </c>
      <c r="S56" s="543">
        <v>684</v>
      </c>
      <c r="T56" s="714">
        <v>0</v>
      </c>
      <c r="U56" s="543">
        <v>0</v>
      </c>
      <c r="V56" s="543">
        <v>0</v>
      </c>
      <c r="W56" s="543">
        <v>4</v>
      </c>
      <c r="X56" s="543">
        <v>2</v>
      </c>
      <c r="Y56" s="543">
        <v>6</v>
      </c>
      <c r="Z56" s="200">
        <f t="shared" ref="Z56:AB56" si="31">B56+E56+H56+K56+N56+Q56+T56+W56</f>
        <v>2850</v>
      </c>
      <c r="AA56" s="200">
        <f t="shared" si="31"/>
        <v>2926</v>
      </c>
      <c r="AB56" s="200">
        <f t="shared" si="31"/>
        <v>5776</v>
      </c>
    </row>
    <row r="57" spans="1:28">
      <c r="A57" s="541" t="s">
        <v>829</v>
      </c>
      <c r="B57" s="544">
        <v>0</v>
      </c>
      <c r="C57" s="544">
        <v>0</v>
      </c>
      <c r="D57" s="265">
        <v>0</v>
      </c>
      <c r="E57" s="544">
        <v>0</v>
      </c>
      <c r="F57" s="544">
        <v>0</v>
      </c>
      <c r="G57" s="265">
        <v>0</v>
      </c>
      <c r="H57" s="544">
        <v>124</v>
      </c>
      <c r="I57" s="544">
        <v>182</v>
      </c>
      <c r="J57" s="265">
        <v>306</v>
      </c>
      <c r="K57" s="716">
        <v>2158</v>
      </c>
      <c r="L57" s="544">
        <v>2422</v>
      </c>
      <c r="M57" s="265">
        <v>4580</v>
      </c>
      <c r="N57" s="544">
        <v>2</v>
      </c>
      <c r="O57" s="544">
        <v>2</v>
      </c>
      <c r="P57" s="265">
        <v>4</v>
      </c>
      <c r="Q57" s="544">
        <v>634</v>
      </c>
      <c r="R57" s="544">
        <v>102</v>
      </c>
      <c r="S57" s="265">
        <v>736</v>
      </c>
      <c r="T57" s="716">
        <v>0</v>
      </c>
      <c r="U57" s="544">
        <v>0</v>
      </c>
      <c r="V57" s="265">
        <v>0</v>
      </c>
      <c r="W57" s="544">
        <v>0</v>
      </c>
      <c r="X57" s="544">
        <v>0</v>
      </c>
      <c r="Y57" s="265">
        <v>0</v>
      </c>
      <c r="Z57" s="265">
        <v>2918</v>
      </c>
      <c r="AA57" s="265">
        <v>2708</v>
      </c>
      <c r="AB57" s="265">
        <f t="shared" ref="AB57" si="32">SUM(Z57+AA57)</f>
        <v>5626</v>
      </c>
    </row>
    <row r="58" spans="1:28">
      <c r="A58" s="514" t="s">
        <v>828</v>
      </c>
      <c r="B58" s="515">
        <v>0</v>
      </c>
      <c r="C58" s="515">
        <v>0</v>
      </c>
      <c r="D58" s="515">
        <v>0</v>
      </c>
      <c r="E58" s="515">
        <v>0</v>
      </c>
      <c r="F58" s="515">
        <v>0</v>
      </c>
      <c r="G58" s="515">
        <v>0</v>
      </c>
      <c r="H58" s="515">
        <v>122</v>
      </c>
      <c r="I58" s="515">
        <v>170</v>
      </c>
      <c r="J58" s="515">
        <v>292</v>
      </c>
      <c r="K58" s="549">
        <v>2182</v>
      </c>
      <c r="L58" s="515">
        <v>2276</v>
      </c>
      <c r="M58" s="515">
        <v>4458</v>
      </c>
      <c r="N58" s="515">
        <v>0</v>
      </c>
      <c r="O58" s="515">
        <v>19</v>
      </c>
      <c r="P58" s="515">
        <v>19</v>
      </c>
      <c r="Q58" s="515">
        <v>605</v>
      </c>
      <c r="R58" s="515">
        <v>80</v>
      </c>
      <c r="S58" s="515">
        <v>685</v>
      </c>
      <c r="T58" s="549">
        <v>0</v>
      </c>
      <c r="U58" s="515">
        <v>0</v>
      </c>
      <c r="V58" s="515">
        <v>0</v>
      </c>
      <c r="W58" s="515">
        <v>0</v>
      </c>
      <c r="X58" s="515">
        <v>0</v>
      </c>
      <c r="Y58" s="515">
        <v>0</v>
      </c>
      <c r="Z58" s="515">
        <f t="shared" ref="Z58:AB58" si="33">B58+E58+H58+K58+N58+Q58+T58+W58</f>
        <v>2909</v>
      </c>
      <c r="AA58" s="515">
        <f t="shared" si="33"/>
        <v>2545</v>
      </c>
      <c r="AB58" s="515">
        <f t="shared" si="33"/>
        <v>5454</v>
      </c>
    </row>
    <row r="59" spans="1:28" ht="15">
      <c r="A59" s="579" t="s">
        <v>156</v>
      </c>
      <c r="B59" s="551"/>
      <c r="C59" s="551"/>
      <c r="D59" s="551"/>
      <c r="E59" s="551"/>
      <c r="F59" s="551"/>
      <c r="G59" s="551"/>
      <c r="H59" s="551"/>
      <c r="I59" s="551"/>
      <c r="J59" s="552"/>
      <c r="K59" s="551"/>
      <c r="L59" s="551"/>
      <c r="M59" s="551"/>
      <c r="N59" s="551"/>
      <c r="O59" s="551"/>
      <c r="P59" s="551"/>
      <c r="Q59" s="551"/>
      <c r="R59" s="551"/>
      <c r="S59" s="552"/>
      <c r="T59" s="551"/>
      <c r="U59" s="551"/>
      <c r="V59" s="551"/>
      <c r="W59" s="551"/>
      <c r="X59" s="551"/>
      <c r="Y59" s="551"/>
      <c r="Z59" s="551"/>
      <c r="AA59" s="551"/>
      <c r="AB59" s="552"/>
    </row>
    <row r="60" spans="1:28">
      <c r="A60" s="541" t="s">
        <v>832</v>
      </c>
      <c r="B60" s="154">
        <f ca="1">SUMIF('[2]7UnivActwithConsUnit'!$B:$B,$B60,'[2]7UnivActwithConsUnit'!D:D)+SUMIF('[2]8CollegeAct'!$B:$B,$B60,'[2]8CollegeAct'!D:D)+SUMIF(#REF!,$B60,#REF!)</f>
        <v>0</v>
      </c>
      <c r="C60" s="154">
        <f ca="1">SUMIF('[2]7UnivActwithConsUnit'!$B:$B,$B60,'[2]7UnivActwithConsUnit'!E:E)+SUMIF('[2]8CollegeAct'!$B:$B,$B60,'[2]8CollegeAct'!E:E)+SUMIF(#REF!,$B60,#REF!)</f>
        <v>0</v>
      </c>
      <c r="D60" s="154">
        <f ca="1">SUMIF('[2]7UnivActwithConsUnit'!$B:$B,$B60,'[2]7UnivActwithConsUnit'!F:F)+SUMIF('[2]8CollegeAct'!$B:$B,$B60,'[2]8CollegeAct'!F:F)+SUMIF(#REF!,$B60,#REF!)</f>
        <v>0</v>
      </c>
      <c r="E60" s="154">
        <f ca="1">SUMIF('[2]7UnivActwithConsUnit'!$B:$B,$B60,'[2]7UnivActwithConsUnit'!G:G)+SUMIF('[2]8CollegeAct'!$B:$B,$B60,'[2]8CollegeAct'!G:G)+SUMIF(#REF!,$B60,#REF!)</f>
        <v>0</v>
      </c>
      <c r="F60" s="154">
        <f ca="1">SUMIF('[2]7UnivActwithConsUnit'!$B:$B,$B60,'[2]7UnivActwithConsUnit'!H:H)+SUMIF('[2]8CollegeAct'!$B:$B,$B60,'[2]8CollegeAct'!H:H)+SUMIF(#REF!,$B60,#REF!)</f>
        <v>0</v>
      </c>
      <c r="G60" s="154">
        <f ca="1">SUMIF('[2]7UnivActwithConsUnit'!$B:$B,$B60,'[2]7UnivActwithConsUnit'!I:I)+SUMIF('[2]8CollegeAct'!$B:$B,$B60,'[2]8CollegeAct'!I:I)+SUMIF(#REF!,$B60,#REF!)</f>
        <v>0</v>
      </c>
      <c r="H60" s="154">
        <f ca="1">SUMIF('[2]7UnivActwithConsUnit'!$B:$B,$B60,'[2]7UnivActwithConsUnit'!J:J)+SUMIF('[2]10CollegeEst'!$B:$B,$B60,'[2]10CollegeEst'!B:B)+SUMIF(#REF!,$B60,#REF!)</f>
        <v>66</v>
      </c>
      <c r="I60" s="154">
        <f ca="1">SUMIF('[2]7UnivActwithConsUnit'!$B:$B,$B60,'[2]7UnivActwithConsUnit'!K:K)+SUMIF('[2]10CollegeEst'!$B:$B,$B60,'[2]10CollegeEst'!C:C)+SUMIF(#REF!,$B60,#REF!)</f>
        <v>186</v>
      </c>
      <c r="J60" s="154">
        <f ca="1">SUMIF('[2]7UnivActwithConsUnit'!$B:$B,$B60,'[2]7UnivActwithConsUnit'!L:L)+SUMIF('[2]10CollegeEst'!$B:$B,$B60,'[2]10CollegeEst'!D:D)+SUMIF(#REF!,$B60,#REF!)</f>
        <v>252</v>
      </c>
      <c r="K60" s="715">
        <f ca="1">SUMIF('[2]7UnivActwithConsUnit'!$B:$B,$B60,'[2]7UnivActwithConsUnit'!M:M)+SUMIF('[2]10CollegeEst'!$B:$B,$B60,'[2]10CollegeEst'!E:E)+SUMIF(#REF!,$B60,#REF!)</f>
        <v>1035</v>
      </c>
      <c r="L60" s="154">
        <f ca="1">SUMIF('[2]7UnivActwithConsUnit'!$B:$B,$B60,'[2]7UnivActwithConsUnit'!N:N)+SUMIF('[2]10CollegeEst'!$B:$B,$B60,'[2]10CollegeEst'!F:F)+SUMIF(#REF!,$B60,#REF!)</f>
        <v>1310</v>
      </c>
      <c r="M60" s="154">
        <f ca="1">SUMIF('[2]7UnivActwithConsUnit'!$B:$B,$B60,'[2]7UnivActwithConsUnit'!O:O)+SUMIF('[2]10CollegeEst'!$B:$B,$B60,'[2]10CollegeEst'!G:G)+SUMIF(#REF!,$B60,#REF!)</f>
        <v>2345</v>
      </c>
      <c r="N60" s="154">
        <f ca="1">SUMIF('[2]7UnivActwithConsUnit'!$B:$B,$B60,'[2]7UnivActwithConsUnit'!P:P)+SUMIF('[2]8CollegeAct'!$B:$B,$B60,'[2]8CollegeAct'!P:P)+SUMIF(#REF!,$B60,#REF!)</f>
        <v>0</v>
      </c>
      <c r="O60" s="154">
        <f ca="1">SUMIF('[2]7UnivActwithConsUnit'!$B:$B,$B60,'[2]7UnivActwithConsUnit'!Q:Q)+SUMIF('[2]8CollegeAct'!$B:$B,$B60,'[2]8CollegeAct'!Q:Q)+SUMIF(#REF!,$B60,#REF!)</f>
        <v>0</v>
      </c>
      <c r="P60" s="154">
        <f ca="1">SUMIF('[2]7UnivActwithConsUnit'!$B:$B,$B60,'[2]7UnivActwithConsUnit'!R:R)+SUMIF('[2]8CollegeAct'!$B:$B,$B60,'[2]8CollegeAct'!R:R)+SUMIF(#REF!,$B60,#REF!)</f>
        <v>0</v>
      </c>
      <c r="Q60" s="154">
        <f ca="1">SUMIF('[2]7UnivActwithConsUnit'!$B:$B,$B60,'[2]7UnivActwithConsUnit'!S:S)+SUMIF('[2]8CollegeAct'!$B:$B,$B60,'[2]8CollegeAct'!S:S)+SUMIF(#REF!,$B60,#REF!)</f>
        <v>1089</v>
      </c>
      <c r="R60" s="154">
        <f ca="1">SUMIF('[2]7UnivActwithConsUnit'!$B:$B,$B60,'[2]7UnivActwithConsUnit'!T:T)+SUMIF('[2]8CollegeAct'!$B:$B,$B60,'[2]8CollegeAct'!T:T)+SUMIF(#REF!,$B60,#REF!)</f>
        <v>246</v>
      </c>
      <c r="S60" s="154">
        <f ca="1">SUMIF('[2]7UnivActwithConsUnit'!$B:$B,$B60,'[2]7UnivActwithConsUnit'!U:U)+SUMIF('[2]8CollegeAct'!$B:$B,$B60,'[2]8CollegeAct'!U:U)+SUMIF(#REF!,$B60,#REF!)</f>
        <v>1335</v>
      </c>
      <c r="T60" s="715">
        <f ca="1">SUMIF('[2]7UnivActwithConsUnit'!$B:$B,$B60,'[2]7UnivActwithConsUnit'!V:V)+SUMIF('[2]8CollegeAct'!$B:$B,$B60,'[2]8CollegeAct'!V:V)+SUMIF(#REF!,$B60,#REF!)</f>
        <v>0</v>
      </c>
      <c r="U60" s="154">
        <f ca="1">SUMIF('[2]7UnivActwithConsUnit'!$B:$B,$B60,'[2]7UnivActwithConsUnit'!W:W)+SUMIF('[2]8CollegeAct'!$B:$B,$B60,'[2]8CollegeAct'!W:W)+SUMIF(#REF!,$B60,#REF!)</f>
        <v>0</v>
      </c>
      <c r="V60" s="154">
        <f ca="1">SUMIF('[2]7UnivActwithConsUnit'!$B:$B,$B60,'[2]7UnivActwithConsUnit'!X:X)+SUMIF('[2]8CollegeAct'!$B:$B,$B60,'[2]8CollegeAct'!X:X)+SUMIF(#REF!,$B60,#REF!)</f>
        <v>0</v>
      </c>
      <c r="W60" s="154">
        <f ca="1">SUMIF('[2]7UnivActwithConsUnit'!$B:$B,$B60,'[2]7UnivActwithConsUnit'!Y:Y)+SUMIF('[2]8CollegeAct'!$B:$B,$B60,'[2]8CollegeAct'!Y:Y)+SUMIF(#REF!,$B60,#REF!)</f>
        <v>0</v>
      </c>
      <c r="X60" s="154">
        <f ca="1">SUMIF('[2]7UnivActwithConsUnit'!$B:$B,$B60,'[2]7UnivActwithConsUnit'!Z:Z)+SUMIF('[2]8CollegeAct'!$B:$B,$B60,'[2]8CollegeAct'!Z:Z)+SUMIF(#REF!,$B60,#REF!)</f>
        <v>0</v>
      </c>
      <c r="Y60" s="154">
        <f ca="1">SUMIF('[2]7UnivActwithConsUnit'!$B:$B,$B60,'[2]7UnivActwithConsUnit'!AA:AA)+SUMIF('[2]8CollegeAct'!$B:$B,$B60,'[2]8CollegeAct'!AA:AA)+SUMIF(#REF!,$B60,#REF!)</f>
        <v>0</v>
      </c>
      <c r="Z60" s="155">
        <f t="shared" ref="Z60:AA60" ca="1" si="34">B60+E60+H60+K60+N60+Q60+T60+W60</f>
        <v>2190</v>
      </c>
      <c r="AA60" s="155">
        <f t="shared" ca="1" si="34"/>
        <v>1742</v>
      </c>
      <c r="AB60" s="155">
        <f t="shared" ref="AB60" ca="1" si="35">Z60+AA60</f>
        <v>3932</v>
      </c>
    </row>
    <row r="61" spans="1:28">
      <c r="A61" s="541" t="s">
        <v>831</v>
      </c>
      <c r="B61" s="515">
        <v>0</v>
      </c>
      <c r="C61" s="515">
        <v>0</v>
      </c>
      <c r="D61" s="515">
        <v>0</v>
      </c>
      <c r="E61" s="515">
        <v>0</v>
      </c>
      <c r="F61" s="515">
        <v>0</v>
      </c>
      <c r="G61" s="515">
        <v>0</v>
      </c>
      <c r="H61" s="515">
        <v>38</v>
      </c>
      <c r="I61" s="515">
        <v>85</v>
      </c>
      <c r="J61" s="515">
        <v>123</v>
      </c>
      <c r="K61" s="549">
        <v>808</v>
      </c>
      <c r="L61" s="515">
        <v>1143</v>
      </c>
      <c r="M61" s="515">
        <v>1951</v>
      </c>
      <c r="N61" s="515">
        <v>0</v>
      </c>
      <c r="O61" s="515">
        <v>0</v>
      </c>
      <c r="P61" s="515">
        <v>0</v>
      </c>
      <c r="Q61" s="515">
        <v>1116</v>
      </c>
      <c r="R61" s="515">
        <v>213</v>
      </c>
      <c r="S61" s="515">
        <v>1329</v>
      </c>
      <c r="T61" s="549">
        <v>0</v>
      </c>
      <c r="U61" s="515">
        <v>0</v>
      </c>
      <c r="V61" s="515">
        <v>0</v>
      </c>
      <c r="W61" s="515">
        <v>0</v>
      </c>
      <c r="X61" s="515">
        <v>0</v>
      </c>
      <c r="Y61" s="515">
        <v>0</v>
      </c>
      <c r="Z61" s="515">
        <v>1962</v>
      </c>
      <c r="AA61" s="515">
        <v>1441</v>
      </c>
      <c r="AB61" s="515">
        <v>3403</v>
      </c>
    </row>
    <row r="62" spans="1:28">
      <c r="A62" s="541" t="s">
        <v>830</v>
      </c>
      <c r="B62" s="543">
        <v>0</v>
      </c>
      <c r="C62" s="543">
        <v>0</v>
      </c>
      <c r="D62" s="543">
        <v>0</v>
      </c>
      <c r="E62" s="543">
        <v>0</v>
      </c>
      <c r="F62" s="543">
        <v>0</v>
      </c>
      <c r="G62" s="543">
        <v>0</v>
      </c>
      <c r="H62" s="543">
        <v>0</v>
      </c>
      <c r="I62" s="543">
        <v>0</v>
      </c>
      <c r="J62" s="543">
        <v>0</v>
      </c>
      <c r="K62" s="714">
        <v>573</v>
      </c>
      <c r="L62" s="543">
        <v>1061</v>
      </c>
      <c r="M62" s="543">
        <v>1634</v>
      </c>
      <c r="N62" s="543">
        <v>0</v>
      </c>
      <c r="O62" s="543">
        <v>0</v>
      </c>
      <c r="P62" s="543">
        <v>0</v>
      </c>
      <c r="Q62" s="543">
        <v>1235</v>
      </c>
      <c r="R62" s="543">
        <v>221</v>
      </c>
      <c r="S62" s="543">
        <v>1456</v>
      </c>
      <c r="T62" s="714">
        <v>0</v>
      </c>
      <c r="U62" s="543">
        <v>0</v>
      </c>
      <c r="V62" s="543">
        <v>0</v>
      </c>
      <c r="W62" s="543">
        <v>0</v>
      </c>
      <c r="X62" s="543">
        <v>0</v>
      </c>
      <c r="Y62" s="543">
        <v>0</v>
      </c>
      <c r="Z62" s="200">
        <f t="shared" ref="Z62:AB62" si="36">B62+E62+H62+K62+N62+Q62+T62+W62</f>
        <v>1808</v>
      </c>
      <c r="AA62" s="200">
        <f t="shared" si="36"/>
        <v>1282</v>
      </c>
      <c r="AB62" s="200">
        <f t="shared" si="36"/>
        <v>3090</v>
      </c>
    </row>
    <row r="63" spans="1:28">
      <c r="A63" s="541" t="s">
        <v>829</v>
      </c>
      <c r="B63" s="544">
        <v>0</v>
      </c>
      <c r="C63" s="544">
        <v>0</v>
      </c>
      <c r="D63" s="265">
        <v>0</v>
      </c>
      <c r="E63" s="544">
        <v>0</v>
      </c>
      <c r="F63" s="544">
        <v>0</v>
      </c>
      <c r="G63" s="265">
        <v>0</v>
      </c>
      <c r="H63" s="544">
        <v>0</v>
      </c>
      <c r="I63" s="544">
        <v>0</v>
      </c>
      <c r="J63" s="265">
        <v>0</v>
      </c>
      <c r="K63" s="716">
        <v>628</v>
      </c>
      <c r="L63" s="544">
        <v>1002</v>
      </c>
      <c r="M63" s="265">
        <v>1630</v>
      </c>
      <c r="N63" s="544">
        <v>0</v>
      </c>
      <c r="O63" s="544">
        <v>0</v>
      </c>
      <c r="P63" s="265">
        <v>0</v>
      </c>
      <c r="Q63" s="544">
        <v>1306</v>
      </c>
      <c r="R63" s="544">
        <v>183</v>
      </c>
      <c r="S63" s="265">
        <v>1489</v>
      </c>
      <c r="T63" s="716">
        <v>0</v>
      </c>
      <c r="U63" s="544">
        <v>0</v>
      </c>
      <c r="V63" s="265">
        <v>0</v>
      </c>
      <c r="W63" s="544">
        <v>0</v>
      </c>
      <c r="X63" s="544">
        <v>0</v>
      </c>
      <c r="Y63" s="265">
        <v>0</v>
      </c>
      <c r="Z63" s="265">
        <v>1934</v>
      </c>
      <c r="AA63" s="265">
        <v>1185</v>
      </c>
      <c r="AB63" s="265">
        <f t="shared" ref="AB63" si="37">SUM(Z63+AA63)</f>
        <v>3119</v>
      </c>
    </row>
    <row r="64" spans="1:28">
      <c r="A64" s="514" t="s">
        <v>828</v>
      </c>
      <c r="B64" s="515">
        <v>0</v>
      </c>
      <c r="C64" s="515">
        <v>0</v>
      </c>
      <c r="D64" s="515">
        <v>0</v>
      </c>
      <c r="E64" s="515">
        <v>0</v>
      </c>
      <c r="F64" s="515">
        <v>0</v>
      </c>
      <c r="G64" s="515">
        <v>0</v>
      </c>
      <c r="H64" s="515">
        <v>0</v>
      </c>
      <c r="I64" s="515">
        <v>0</v>
      </c>
      <c r="J64" s="515">
        <v>0</v>
      </c>
      <c r="K64" s="549">
        <v>695</v>
      </c>
      <c r="L64" s="515">
        <v>1088</v>
      </c>
      <c r="M64" s="515">
        <v>1783</v>
      </c>
      <c r="N64" s="515">
        <v>0</v>
      </c>
      <c r="O64" s="515">
        <v>0</v>
      </c>
      <c r="P64" s="515">
        <v>0</v>
      </c>
      <c r="Q64" s="515">
        <v>1186</v>
      </c>
      <c r="R64" s="515">
        <v>153</v>
      </c>
      <c r="S64" s="515">
        <v>1339</v>
      </c>
      <c r="T64" s="549">
        <v>0</v>
      </c>
      <c r="U64" s="515">
        <v>0</v>
      </c>
      <c r="V64" s="515">
        <v>0</v>
      </c>
      <c r="W64" s="515">
        <v>0</v>
      </c>
      <c r="X64" s="515">
        <v>0</v>
      </c>
      <c r="Y64" s="515">
        <v>0</v>
      </c>
      <c r="Z64" s="515">
        <f t="shared" ref="Z64:AB64" si="38">B64+E64+H64+K64+N64+Q64+T64+W64</f>
        <v>1881</v>
      </c>
      <c r="AA64" s="515">
        <f t="shared" si="38"/>
        <v>1241</v>
      </c>
      <c r="AB64" s="515">
        <f t="shared" si="38"/>
        <v>3122</v>
      </c>
    </row>
    <row r="65" spans="1:28" ht="15">
      <c r="A65" s="579" t="s">
        <v>23</v>
      </c>
      <c r="B65" s="551"/>
      <c r="C65" s="551"/>
      <c r="D65" s="551"/>
      <c r="E65" s="551"/>
      <c r="F65" s="551"/>
      <c r="G65" s="551"/>
      <c r="H65" s="551"/>
      <c r="I65" s="551"/>
      <c r="J65" s="552"/>
      <c r="K65" s="551"/>
      <c r="L65" s="551"/>
      <c r="M65" s="551"/>
      <c r="N65" s="551"/>
      <c r="O65" s="551"/>
      <c r="P65" s="551"/>
      <c r="Q65" s="551"/>
      <c r="R65" s="551"/>
      <c r="S65" s="552"/>
      <c r="T65" s="551"/>
      <c r="U65" s="551"/>
      <c r="V65" s="551"/>
      <c r="W65" s="551"/>
      <c r="X65" s="551"/>
      <c r="Y65" s="551"/>
      <c r="Z65" s="551"/>
      <c r="AA65" s="551"/>
      <c r="AB65" s="552"/>
    </row>
    <row r="66" spans="1:28">
      <c r="A66" s="541" t="s">
        <v>832</v>
      </c>
      <c r="B66" s="154">
        <f ca="1">SUMIF('[2]7UnivActwithConsUnit'!$B:$B,$B66,'[2]7UnivActwithConsUnit'!D:D)+SUMIF('[2]8CollegeAct'!$B:$B,$B66,'[2]8CollegeAct'!D:D)+SUMIF(#REF!,$B66,#REF!)</f>
        <v>8812</v>
      </c>
      <c r="C66" s="154">
        <f ca="1">SUMIF('[2]7UnivActwithConsUnit'!$B:$B,$B66,'[2]7UnivActwithConsUnit'!E:E)+SUMIF('[2]8CollegeAct'!$B:$B,$B66,'[2]8CollegeAct'!E:E)+SUMIF(#REF!,$B66,#REF!)</f>
        <v>7458</v>
      </c>
      <c r="D66" s="154">
        <f ca="1">SUMIF('[2]7UnivActwithConsUnit'!$B:$B,$B66,'[2]7UnivActwithConsUnit'!F:F)+SUMIF('[2]8CollegeAct'!$B:$B,$B66,'[2]8CollegeAct'!F:F)+SUMIF(#REF!,$B66,#REF!)</f>
        <v>16270</v>
      </c>
      <c r="E66" s="154">
        <f ca="1">SUMIF('[2]7UnivActwithConsUnit'!$B:$B,$B66,'[2]7UnivActwithConsUnit'!G:G)+SUMIF('[2]8CollegeAct'!$B:$B,$B66,'[2]8CollegeAct'!G:G)+SUMIF(#REF!,$B66,#REF!)</f>
        <v>650</v>
      </c>
      <c r="F66" s="154">
        <f ca="1">SUMIF('[2]7UnivActwithConsUnit'!$B:$B,$B66,'[2]7UnivActwithConsUnit'!H:H)+SUMIF('[2]8CollegeAct'!$B:$B,$B66,'[2]8CollegeAct'!H:H)+SUMIF(#REF!,$B66,#REF!)</f>
        <v>672</v>
      </c>
      <c r="G66" s="154">
        <f ca="1">SUMIF('[2]7UnivActwithConsUnit'!$B:$B,$B66,'[2]7UnivActwithConsUnit'!I:I)+SUMIF('[2]8CollegeAct'!$B:$B,$B66,'[2]8CollegeAct'!I:I)+SUMIF(#REF!,$B66,#REF!)</f>
        <v>1322</v>
      </c>
      <c r="H66" s="154">
        <f ca="1">SUMIF('[2]7UnivActwithConsUnit'!$B:$B,$B66,'[2]7UnivActwithConsUnit'!J:J)+SUMIF('[2]10CollegeEst'!$B:$B,$B66,'[2]10CollegeEst'!B:B)+SUMIF(#REF!,$B66,#REF!)</f>
        <v>71734</v>
      </c>
      <c r="I66" s="154">
        <f ca="1">SUMIF('[2]7UnivActwithConsUnit'!$B:$B,$B66,'[2]7UnivActwithConsUnit'!K:K)+SUMIF('[2]10CollegeEst'!$B:$B,$B66,'[2]10CollegeEst'!C:C)+SUMIF(#REF!,$B66,#REF!)</f>
        <v>103717</v>
      </c>
      <c r="J66" s="154">
        <f ca="1">SUMIF('[2]7UnivActwithConsUnit'!$B:$B,$B66,'[2]7UnivActwithConsUnit'!L:L)+SUMIF('[2]10CollegeEst'!$B:$B,$B66,'[2]10CollegeEst'!D:D)+SUMIF(#REF!,$B66,#REF!)</f>
        <v>175451</v>
      </c>
      <c r="K66" s="715">
        <f ca="1">SUMIF('[2]7UnivActwithConsUnit'!$B:$B,$B66,'[2]7UnivActwithConsUnit'!M:M)+SUMIF('[2]10CollegeEst'!$B:$B,$B66,'[2]10CollegeEst'!E:E)+SUMIF(#REF!,$B66,#REF!)</f>
        <v>467104</v>
      </c>
      <c r="L66" s="154">
        <f ca="1">SUMIF('[2]7UnivActwithConsUnit'!$B:$B,$B66,'[2]7UnivActwithConsUnit'!N:N)+SUMIF('[2]10CollegeEst'!$B:$B,$B66,'[2]10CollegeEst'!F:F)+SUMIF(#REF!,$B66,#REF!)</f>
        <v>419284</v>
      </c>
      <c r="M66" s="154">
        <f ca="1">SUMIF('[2]7UnivActwithConsUnit'!$B:$B,$B66,'[2]7UnivActwithConsUnit'!O:O)+SUMIF('[2]10CollegeEst'!$B:$B,$B66,'[2]10CollegeEst'!G:G)+SUMIF(#REF!,$B66,#REF!)</f>
        <v>886388</v>
      </c>
      <c r="N66" s="154">
        <f ca="1">SUMIF('[2]7UnivActwithConsUnit'!$B:$B,$B66,'[2]7UnivActwithConsUnit'!P:P)+SUMIF('[2]8CollegeAct'!$B:$B,$B66,'[2]8CollegeAct'!P:P)+SUMIF(#REF!,$B66,#REF!)</f>
        <v>6054</v>
      </c>
      <c r="O66" s="154">
        <f ca="1">SUMIF('[2]7UnivActwithConsUnit'!$B:$B,$B66,'[2]7UnivActwithConsUnit'!Q:Q)+SUMIF('[2]8CollegeAct'!$B:$B,$B66,'[2]8CollegeAct'!Q:Q)+SUMIF(#REF!,$B66,#REF!)</f>
        <v>4758</v>
      </c>
      <c r="P66" s="154">
        <f ca="1">SUMIF('[2]7UnivActwithConsUnit'!$B:$B,$B66,'[2]7UnivActwithConsUnit'!R:R)+SUMIF('[2]8CollegeAct'!$B:$B,$B66,'[2]8CollegeAct'!R:R)+SUMIF(#REF!,$B66,#REF!)</f>
        <v>10812</v>
      </c>
      <c r="Q66" s="154">
        <f ca="1">SUMIF('[2]7UnivActwithConsUnit'!$B:$B,$B66,'[2]7UnivActwithConsUnit'!S:S)+SUMIF('[2]8CollegeAct'!$B:$B,$B66,'[2]8CollegeAct'!S:S)+SUMIF(#REF!,$B66,#REF!)</f>
        <v>18927</v>
      </c>
      <c r="R66" s="154">
        <f ca="1">SUMIF('[2]7UnivActwithConsUnit'!$B:$B,$B66,'[2]7UnivActwithConsUnit'!T:T)+SUMIF('[2]8CollegeAct'!$B:$B,$B66,'[2]8CollegeAct'!T:T)+SUMIF(#REF!,$B66,#REF!)</f>
        <v>15039</v>
      </c>
      <c r="S66" s="154">
        <f ca="1">SUMIF('[2]7UnivActwithConsUnit'!$B:$B,$B66,'[2]7UnivActwithConsUnit'!U:U)+SUMIF('[2]8CollegeAct'!$B:$B,$B66,'[2]8CollegeAct'!U:U)+SUMIF(#REF!,$B66,#REF!)</f>
        <v>33966</v>
      </c>
      <c r="T66" s="715">
        <f ca="1">SUMIF('[2]7UnivActwithConsUnit'!$B:$B,$B66,'[2]7UnivActwithConsUnit'!V:V)+SUMIF('[2]8CollegeAct'!$B:$B,$B66,'[2]8CollegeAct'!V:V)+SUMIF(#REF!,$B66,#REF!)</f>
        <v>2467</v>
      </c>
      <c r="U66" s="154">
        <f ca="1">SUMIF('[2]7UnivActwithConsUnit'!$B:$B,$B66,'[2]7UnivActwithConsUnit'!W:W)+SUMIF('[2]8CollegeAct'!$B:$B,$B66,'[2]8CollegeAct'!W:W)+SUMIF(#REF!,$B66,#REF!)</f>
        <v>1684</v>
      </c>
      <c r="V66" s="154">
        <f ca="1">SUMIF('[2]7UnivActwithConsUnit'!$B:$B,$B66,'[2]7UnivActwithConsUnit'!X:X)+SUMIF('[2]8CollegeAct'!$B:$B,$B66,'[2]8CollegeAct'!X:X)+SUMIF(#REF!,$B66,#REF!)</f>
        <v>4151</v>
      </c>
      <c r="W66" s="154">
        <f ca="1">SUMIF('[2]7UnivActwithConsUnit'!$B:$B,$B66,'[2]7UnivActwithConsUnit'!Y:Y)+SUMIF('[2]8CollegeAct'!$B:$B,$B66,'[2]8CollegeAct'!Y:Y)+SUMIF(#REF!,$B66,#REF!)</f>
        <v>2999</v>
      </c>
      <c r="X66" s="154">
        <f ca="1">SUMIF('[2]7UnivActwithConsUnit'!$B:$B,$B66,'[2]7UnivActwithConsUnit'!Z:Z)+SUMIF('[2]8CollegeAct'!$B:$B,$B66,'[2]8CollegeAct'!Z:Z)+SUMIF(#REF!,$B66,#REF!)</f>
        <v>1497</v>
      </c>
      <c r="Y66" s="154">
        <f ca="1">SUMIF('[2]7UnivActwithConsUnit'!$B:$B,$B66,'[2]7UnivActwithConsUnit'!AA:AA)+SUMIF('[2]8CollegeAct'!$B:$B,$B66,'[2]8CollegeAct'!AA:AA)+SUMIF(#REF!,$B66,#REF!)</f>
        <v>4496</v>
      </c>
      <c r="Z66" s="155">
        <f t="shared" ref="Z66:AA66" ca="1" si="39">B66+E66+H66+K66+N66+Q66+T66+W66</f>
        <v>578747</v>
      </c>
      <c r="AA66" s="155">
        <f t="shared" ca="1" si="39"/>
        <v>554109</v>
      </c>
      <c r="AB66" s="155">
        <f t="shared" ref="AB66" ca="1" si="40">Z66+AA66</f>
        <v>1132856</v>
      </c>
    </row>
    <row r="67" spans="1:28">
      <c r="A67" s="541" t="s">
        <v>831</v>
      </c>
      <c r="B67" s="515">
        <v>4918</v>
      </c>
      <c r="C67" s="515">
        <v>4493</v>
      </c>
      <c r="D67" s="515">
        <v>9411</v>
      </c>
      <c r="E67" s="515">
        <v>2402</v>
      </c>
      <c r="F67" s="515">
        <v>2684</v>
      </c>
      <c r="G67" s="515">
        <v>5086</v>
      </c>
      <c r="H67" s="515">
        <v>65500</v>
      </c>
      <c r="I67" s="515">
        <v>93497</v>
      </c>
      <c r="J67" s="515">
        <v>158997</v>
      </c>
      <c r="K67" s="549">
        <v>448749</v>
      </c>
      <c r="L67" s="515">
        <v>405107</v>
      </c>
      <c r="M67" s="515">
        <v>853856</v>
      </c>
      <c r="N67" s="515">
        <v>4512</v>
      </c>
      <c r="O67" s="515">
        <v>3831</v>
      </c>
      <c r="P67" s="515">
        <v>8343</v>
      </c>
      <c r="Q67" s="515">
        <v>17907</v>
      </c>
      <c r="R67" s="515">
        <v>14441</v>
      </c>
      <c r="S67" s="515">
        <v>32348</v>
      </c>
      <c r="T67" s="549">
        <v>2605</v>
      </c>
      <c r="U67" s="515">
        <v>1839</v>
      </c>
      <c r="V67" s="515">
        <v>4444</v>
      </c>
      <c r="W67" s="515">
        <v>3189</v>
      </c>
      <c r="X67" s="515">
        <v>1882</v>
      </c>
      <c r="Y67" s="515">
        <v>5071</v>
      </c>
      <c r="Z67" s="515">
        <v>549782</v>
      </c>
      <c r="AA67" s="515">
        <v>527774</v>
      </c>
      <c r="AB67" s="515">
        <v>1077556</v>
      </c>
    </row>
    <row r="68" spans="1:28">
      <c r="A68" s="541" t="s">
        <v>830</v>
      </c>
      <c r="B68" s="543">
        <v>7580</v>
      </c>
      <c r="C68" s="543">
        <v>7132</v>
      </c>
      <c r="D68" s="543">
        <v>14712</v>
      </c>
      <c r="E68" s="543">
        <v>1243</v>
      </c>
      <c r="F68" s="543">
        <v>1380</v>
      </c>
      <c r="G68" s="543">
        <v>2623</v>
      </c>
      <c r="H68" s="543">
        <v>76741.452372635584</v>
      </c>
      <c r="I68" s="543">
        <v>76782.275494269546</v>
      </c>
      <c r="J68" s="543">
        <v>153523.72786690513</v>
      </c>
      <c r="K68" s="714">
        <v>452469.12838086154</v>
      </c>
      <c r="L68" s="543">
        <v>394715.03819226782</v>
      </c>
      <c r="M68" s="543">
        <v>847184.16657312936</v>
      </c>
      <c r="N68" s="543">
        <v>4815</v>
      </c>
      <c r="O68" s="543">
        <v>3517</v>
      </c>
      <c r="P68" s="543">
        <v>8332</v>
      </c>
      <c r="Q68" s="543">
        <v>17797</v>
      </c>
      <c r="R68" s="543">
        <v>13228</v>
      </c>
      <c r="S68" s="543">
        <v>31025</v>
      </c>
      <c r="T68" s="714">
        <v>2317</v>
      </c>
      <c r="U68" s="543">
        <v>1544</v>
      </c>
      <c r="V68" s="543">
        <v>3861</v>
      </c>
      <c r="W68" s="543">
        <v>2126</v>
      </c>
      <c r="X68" s="543">
        <v>1019</v>
      </c>
      <c r="Y68" s="543">
        <v>3145</v>
      </c>
      <c r="Z68" s="200">
        <f t="shared" ref="Z68:AB68" si="41">B68+E68+H68+K68+N68+Q68+T68+W68</f>
        <v>565088.58075349708</v>
      </c>
      <c r="AA68" s="200">
        <f t="shared" si="41"/>
        <v>499317.31368653738</v>
      </c>
      <c r="AB68" s="200">
        <f t="shared" si="41"/>
        <v>1064405.8944400344</v>
      </c>
    </row>
    <row r="69" spans="1:28">
      <c r="A69" s="541" t="s">
        <v>829</v>
      </c>
      <c r="B69" s="544">
        <v>5319</v>
      </c>
      <c r="C69" s="544">
        <v>4604</v>
      </c>
      <c r="D69" s="265">
        <v>9923</v>
      </c>
      <c r="E69" s="544">
        <v>3028</v>
      </c>
      <c r="F69" s="544">
        <v>3380</v>
      </c>
      <c r="G69" s="265">
        <v>6408</v>
      </c>
      <c r="H69" s="544">
        <v>55740</v>
      </c>
      <c r="I69" s="544">
        <v>80303</v>
      </c>
      <c r="J69" s="265">
        <v>136043</v>
      </c>
      <c r="K69" s="716">
        <v>439831</v>
      </c>
      <c r="L69" s="544">
        <v>389879</v>
      </c>
      <c r="M69" s="265">
        <v>829710</v>
      </c>
      <c r="N69" s="544">
        <v>5931</v>
      </c>
      <c r="O69" s="544">
        <v>3496</v>
      </c>
      <c r="P69" s="265">
        <v>9427</v>
      </c>
      <c r="Q69" s="544">
        <v>17244</v>
      </c>
      <c r="R69" s="544">
        <v>13005</v>
      </c>
      <c r="S69" s="265">
        <v>30249</v>
      </c>
      <c r="T69" s="716">
        <v>1943</v>
      </c>
      <c r="U69" s="544">
        <v>1329</v>
      </c>
      <c r="V69" s="265">
        <v>3272</v>
      </c>
      <c r="W69" s="544">
        <v>2020</v>
      </c>
      <c r="X69" s="544">
        <v>754</v>
      </c>
      <c r="Y69" s="265">
        <v>2774</v>
      </c>
      <c r="Z69" s="265">
        <v>531056</v>
      </c>
      <c r="AA69" s="265">
        <v>496750</v>
      </c>
      <c r="AB69" s="265">
        <f t="shared" ref="AB69" si="42">SUM(Z69+AA69)</f>
        <v>1027806</v>
      </c>
    </row>
    <row r="70" spans="1:28">
      <c r="A70" s="514" t="s">
        <v>828</v>
      </c>
      <c r="B70" s="515">
        <v>4861</v>
      </c>
      <c r="C70" s="515">
        <v>4018</v>
      </c>
      <c r="D70" s="515">
        <v>8879</v>
      </c>
      <c r="E70" s="515">
        <v>2830</v>
      </c>
      <c r="F70" s="515">
        <v>3085</v>
      </c>
      <c r="G70" s="515">
        <v>5915</v>
      </c>
      <c r="H70" s="515">
        <v>54390</v>
      </c>
      <c r="I70" s="515">
        <v>76342</v>
      </c>
      <c r="J70" s="515">
        <v>130732</v>
      </c>
      <c r="K70" s="549">
        <v>438376</v>
      </c>
      <c r="L70" s="515">
        <v>387450</v>
      </c>
      <c r="M70" s="515">
        <v>825826</v>
      </c>
      <c r="N70" s="515">
        <v>4766</v>
      </c>
      <c r="O70" s="515">
        <v>2951</v>
      </c>
      <c r="P70" s="515">
        <v>7717</v>
      </c>
      <c r="Q70" s="515">
        <v>17248</v>
      </c>
      <c r="R70" s="515">
        <v>12042</v>
      </c>
      <c r="S70" s="515">
        <v>29290</v>
      </c>
      <c r="T70" s="549">
        <v>2049</v>
      </c>
      <c r="U70" s="515">
        <v>1281</v>
      </c>
      <c r="V70" s="515">
        <v>3330</v>
      </c>
      <c r="W70" s="515">
        <v>2278</v>
      </c>
      <c r="X70" s="515">
        <v>909</v>
      </c>
      <c r="Y70" s="515">
        <v>3187</v>
      </c>
      <c r="Z70" s="515">
        <f t="shared" ref="Z70:AB70" si="43">B70+E70+H70+K70+N70+Q70+T70+W70</f>
        <v>526798</v>
      </c>
      <c r="AA70" s="515">
        <f t="shared" si="43"/>
        <v>488078</v>
      </c>
      <c r="AB70" s="515">
        <f t="shared" si="43"/>
        <v>1014876</v>
      </c>
    </row>
    <row r="71" spans="1:28" ht="15">
      <c r="A71" s="579" t="s">
        <v>24</v>
      </c>
      <c r="B71" s="551"/>
      <c r="C71" s="551"/>
      <c r="D71" s="551"/>
      <c r="E71" s="551"/>
      <c r="F71" s="551"/>
      <c r="G71" s="551"/>
      <c r="H71" s="551"/>
      <c r="I71" s="551"/>
      <c r="J71" s="552"/>
      <c r="K71" s="551"/>
      <c r="L71" s="551"/>
      <c r="M71" s="551"/>
      <c r="N71" s="551"/>
      <c r="O71" s="551"/>
      <c r="P71" s="551"/>
      <c r="Q71" s="551"/>
      <c r="R71" s="551"/>
      <c r="S71" s="552"/>
      <c r="T71" s="551"/>
      <c r="U71" s="551"/>
      <c r="V71" s="551"/>
      <c r="W71" s="551"/>
      <c r="X71" s="551"/>
      <c r="Y71" s="551"/>
      <c r="Z71" s="551"/>
      <c r="AA71" s="551"/>
      <c r="AB71" s="552"/>
    </row>
    <row r="72" spans="1:28">
      <c r="A72" s="541" t="s">
        <v>832</v>
      </c>
      <c r="B72" s="154">
        <f ca="1">SUMIF('[2]7UnivActwithConsUnit'!$B:$B,$B72,'[2]7UnivActwithConsUnit'!D:D)+SUMIF('[2]8CollegeAct'!$B:$B,$B72,'[2]8CollegeAct'!D:D)+SUMIF(#REF!,$B72,#REF!)</f>
        <v>217</v>
      </c>
      <c r="C72" s="154">
        <f ca="1">SUMIF('[2]7UnivActwithConsUnit'!$B:$B,$B72,'[2]7UnivActwithConsUnit'!E:E)+SUMIF('[2]8CollegeAct'!$B:$B,$B72,'[2]8CollegeAct'!E:E)+SUMIF(#REF!,$B72,#REF!)</f>
        <v>216</v>
      </c>
      <c r="D72" s="154">
        <f ca="1">SUMIF('[2]7UnivActwithConsUnit'!$B:$B,$B72,'[2]7UnivActwithConsUnit'!F:F)+SUMIF('[2]8CollegeAct'!$B:$B,$B72,'[2]8CollegeAct'!F:F)+SUMIF(#REF!,$B72,#REF!)</f>
        <v>433</v>
      </c>
      <c r="E72" s="154">
        <f ca="1">SUMIF('[2]7UnivActwithConsUnit'!$B:$B,$B72,'[2]7UnivActwithConsUnit'!G:G)+SUMIF('[2]8CollegeAct'!$B:$B,$B72,'[2]8CollegeAct'!G:G)+SUMIF(#REF!,$B72,#REF!)</f>
        <v>1</v>
      </c>
      <c r="F72" s="154">
        <f ca="1">SUMIF('[2]7UnivActwithConsUnit'!$B:$B,$B72,'[2]7UnivActwithConsUnit'!H:H)+SUMIF('[2]8CollegeAct'!$B:$B,$B72,'[2]8CollegeAct'!H:H)+SUMIF(#REF!,$B72,#REF!)</f>
        <v>4</v>
      </c>
      <c r="G72" s="154">
        <f ca="1">SUMIF('[2]7UnivActwithConsUnit'!$B:$B,$B72,'[2]7UnivActwithConsUnit'!I:I)+SUMIF('[2]8CollegeAct'!$B:$B,$B72,'[2]8CollegeAct'!I:I)+SUMIF(#REF!,$B72,#REF!)</f>
        <v>5</v>
      </c>
      <c r="H72" s="154">
        <f ca="1">SUMIF('[2]7UnivActwithConsUnit'!$B:$B,$B72,'[2]7UnivActwithConsUnit'!J:J)+SUMIF('[2]10CollegeEst'!$B:$B,$B72,'[2]10CollegeEst'!B:B)+SUMIF(#REF!,$B72,#REF!)</f>
        <v>2534</v>
      </c>
      <c r="I72" s="154">
        <f ca="1">SUMIF('[2]7UnivActwithConsUnit'!$B:$B,$B72,'[2]7UnivActwithConsUnit'!K:K)+SUMIF('[2]10CollegeEst'!$B:$B,$B72,'[2]10CollegeEst'!C:C)+SUMIF(#REF!,$B72,#REF!)</f>
        <v>4183</v>
      </c>
      <c r="J72" s="154">
        <f ca="1">SUMIF('[2]7UnivActwithConsUnit'!$B:$B,$B72,'[2]7UnivActwithConsUnit'!L:L)+SUMIF('[2]10CollegeEst'!$B:$B,$B72,'[2]10CollegeEst'!D:D)+SUMIF(#REF!,$B72,#REF!)</f>
        <v>6717</v>
      </c>
      <c r="K72" s="715">
        <f ca="1">SUMIF('[2]7UnivActwithConsUnit'!$B:$B,$B72,'[2]7UnivActwithConsUnit'!M:M)+SUMIF('[2]10CollegeEst'!$B:$B,$B72,'[2]10CollegeEst'!E:E)+SUMIF(#REF!,$B72,#REF!)</f>
        <v>17543</v>
      </c>
      <c r="L72" s="154">
        <f ca="1">SUMIF('[2]7UnivActwithConsUnit'!$B:$B,$B72,'[2]7UnivActwithConsUnit'!N:N)+SUMIF('[2]10CollegeEst'!$B:$B,$B72,'[2]10CollegeEst'!F:F)+SUMIF(#REF!,$B72,#REF!)</f>
        <v>21755</v>
      </c>
      <c r="M72" s="154">
        <f ca="1">SUMIF('[2]7UnivActwithConsUnit'!$B:$B,$B72,'[2]7UnivActwithConsUnit'!O:O)+SUMIF('[2]10CollegeEst'!$B:$B,$B72,'[2]10CollegeEst'!G:G)+SUMIF(#REF!,$B72,#REF!)</f>
        <v>39298</v>
      </c>
      <c r="N72" s="154">
        <f ca="1">SUMIF('[2]7UnivActwithConsUnit'!$B:$B,$B72,'[2]7UnivActwithConsUnit'!P:P)+SUMIF('[2]8CollegeAct'!$B:$B,$B72,'[2]8CollegeAct'!P:P)+SUMIF(#REF!,$B72,#REF!)</f>
        <v>105</v>
      </c>
      <c r="O72" s="154">
        <f ca="1">SUMIF('[2]7UnivActwithConsUnit'!$B:$B,$B72,'[2]7UnivActwithConsUnit'!Q:Q)+SUMIF('[2]8CollegeAct'!$B:$B,$B72,'[2]8CollegeAct'!Q:Q)+SUMIF(#REF!,$B72,#REF!)</f>
        <v>107</v>
      </c>
      <c r="P72" s="154">
        <f ca="1">SUMIF('[2]7UnivActwithConsUnit'!$B:$B,$B72,'[2]7UnivActwithConsUnit'!R:R)+SUMIF('[2]8CollegeAct'!$B:$B,$B72,'[2]8CollegeAct'!R:R)+SUMIF(#REF!,$B72,#REF!)</f>
        <v>212</v>
      </c>
      <c r="Q72" s="154">
        <f ca="1">SUMIF('[2]7UnivActwithConsUnit'!$B:$B,$B72,'[2]7UnivActwithConsUnit'!S:S)+SUMIF('[2]8CollegeAct'!$B:$B,$B72,'[2]8CollegeAct'!S:S)+SUMIF(#REF!,$B72,#REF!)</f>
        <v>4439</v>
      </c>
      <c r="R72" s="154">
        <f ca="1">SUMIF('[2]7UnivActwithConsUnit'!$B:$B,$B72,'[2]7UnivActwithConsUnit'!T:T)+SUMIF('[2]8CollegeAct'!$B:$B,$B72,'[2]8CollegeAct'!T:T)+SUMIF(#REF!,$B72,#REF!)</f>
        <v>930</v>
      </c>
      <c r="S72" s="154">
        <f ca="1">SUMIF('[2]7UnivActwithConsUnit'!$B:$B,$B72,'[2]7UnivActwithConsUnit'!U:U)+SUMIF('[2]8CollegeAct'!$B:$B,$B72,'[2]8CollegeAct'!U:U)+SUMIF(#REF!,$B72,#REF!)</f>
        <v>5369</v>
      </c>
      <c r="T72" s="715">
        <f ca="1">SUMIF('[2]7UnivActwithConsUnit'!$B:$B,$B72,'[2]7UnivActwithConsUnit'!V:V)+SUMIF('[2]8CollegeAct'!$B:$B,$B72,'[2]8CollegeAct'!V:V)+SUMIF(#REF!,$B72,#REF!)</f>
        <v>20</v>
      </c>
      <c r="U72" s="154">
        <f ca="1">SUMIF('[2]7UnivActwithConsUnit'!$B:$B,$B72,'[2]7UnivActwithConsUnit'!W:W)+SUMIF('[2]8CollegeAct'!$B:$B,$B72,'[2]8CollegeAct'!W:W)+SUMIF(#REF!,$B72,#REF!)</f>
        <v>4</v>
      </c>
      <c r="V72" s="154">
        <f ca="1">SUMIF('[2]7UnivActwithConsUnit'!$B:$B,$B72,'[2]7UnivActwithConsUnit'!X:X)+SUMIF('[2]8CollegeAct'!$B:$B,$B72,'[2]8CollegeAct'!X:X)+SUMIF(#REF!,$B72,#REF!)</f>
        <v>24</v>
      </c>
      <c r="W72" s="154">
        <f ca="1">SUMIF('[2]7UnivActwithConsUnit'!$B:$B,$B72,'[2]7UnivActwithConsUnit'!Y:Y)+SUMIF('[2]8CollegeAct'!$B:$B,$B72,'[2]8CollegeAct'!Y:Y)+SUMIF(#REF!,$B72,#REF!)</f>
        <v>196</v>
      </c>
      <c r="X72" s="154">
        <f ca="1">SUMIF('[2]7UnivActwithConsUnit'!$B:$B,$B72,'[2]7UnivActwithConsUnit'!Z:Z)+SUMIF('[2]8CollegeAct'!$B:$B,$B72,'[2]8CollegeAct'!Z:Z)+SUMIF(#REF!,$B72,#REF!)</f>
        <v>528</v>
      </c>
      <c r="Y72" s="154">
        <f ca="1">SUMIF('[2]7UnivActwithConsUnit'!$B:$B,$B72,'[2]7UnivActwithConsUnit'!AA:AA)+SUMIF('[2]8CollegeAct'!$B:$B,$B72,'[2]8CollegeAct'!AA:AA)+SUMIF(#REF!,$B72,#REF!)</f>
        <v>724</v>
      </c>
      <c r="Z72" s="155">
        <f t="shared" ref="Z72:AA72" ca="1" si="44">B72+E72+H72+K72+N72+Q72+T72+W72</f>
        <v>25055</v>
      </c>
      <c r="AA72" s="155">
        <f t="shared" ca="1" si="44"/>
        <v>27727</v>
      </c>
      <c r="AB72" s="155">
        <f t="shared" ref="AB72" ca="1" si="45">Z72+AA72</f>
        <v>52782</v>
      </c>
    </row>
    <row r="73" spans="1:28">
      <c r="A73" s="541" t="s">
        <v>831</v>
      </c>
      <c r="B73" s="515">
        <v>167</v>
      </c>
      <c r="C73" s="515">
        <v>129</v>
      </c>
      <c r="D73" s="515">
        <v>296</v>
      </c>
      <c r="E73" s="515">
        <v>0</v>
      </c>
      <c r="F73" s="515">
        <v>0</v>
      </c>
      <c r="G73" s="515">
        <v>0</v>
      </c>
      <c r="H73" s="515">
        <v>2343</v>
      </c>
      <c r="I73" s="515">
        <v>3873</v>
      </c>
      <c r="J73" s="515">
        <v>6216</v>
      </c>
      <c r="K73" s="549">
        <v>18525</v>
      </c>
      <c r="L73" s="515">
        <v>22303</v>
      </c>
      <c r="M73" s="515">
        <v>40828</v>
      </c>
      <c r="N73" s="515">
        <v>113</v>
      </c>
      <c r="O73" s="515">
        <v>84</v>
      </c>
      <c r="P73" s="515">
        <v>197</v>
      </c>
      <c r="Q73" s="515">
        <v>5595</v>
      </c>
      <c r="R73" s="515">
        <v>845</v>
      </c>
      <c r="S73" s="515">
        <v>6440</v>
      </c>
      <c r="T73" s="549">
        <v>11</v>
      </c>
      <c r="U73" s="515">
        <v>0</v>
      </c>
      <c r="V73" s="515">
        <v>11</v>
      </c>
      <c r="W73" s="515">
        <v>213</v>
      </c>
      <c r="X73" s="515">
        <v>479</v>
      </c>
      <c r="Y73" s="515">
        <v>692</v>
      </c>
      <c r="Z73" s="515">
        <v>26967</v>
      </c>
      <c r="AA73" s="515">
        <v>27713</v>
      </c>
      <c r="AB73" s="515">
        <v>54680</v>
      </c>
    </row>
    <row r="74" spans="1:28">
      <c r="A74" s="541" t="s">
        <v>830</v>
      </c>
      <c r="B74" s="543">
        <v>71</v>
      </c>
      <c r="C74" s="543">
        <v>41</v>
      </c>
      <c r="D74" s="543">
        <v>112</v>
      </c>
      <c r="E74" s="543">
        <v>0</v>
      </c>
      <c r="F74" s="543">
        <v>0</v>
      </c>
      <c r="G74" s="543">
        <v>0</v>
      </c>
      <c r="H74" s="543">
        <v>2717.6060566671986</v>
      </c>
      <c r="I74" s="543">
        <v>3527.6443697007871</v>
      </c>
      <c r="J74" s="543">
        <v>6245.2504263679857</v>
      </c>
      <c r="K74" s="714">
        <v>15655.713183328669</v>
      </c>
      <c r="L74" s="543">
        <v>20031.159220925842</v>
      </c>
      <c r="M74" s="543">
        <v>35686.872404254507</v>
      </c>
      <c r="N74" s="543">
        <v>118</v>
      </c>
      <c r="O74" s="543">
        <v>81</v>
      </c>
      <c r="P74" s="543">
        <v>199</v>
      </c>
      <c r="Q74" s="543">
        <v>5971</v>
      </c>
      <c r="R74" s="543">
        <v>841</v>
      </c>
      <c r="S74" s="543">
        <v>6812</v>
      </c>
      <c r="T74" s="714">
        <v>12</v>
      </c>
      <c r="U74" s="543">
        <v>0</v>
      </c>
      <c r="V74" s="543">
        <v>12</v>
      </c>
      <c r="W74" s="543">
        <v>198</v>
      </c>
      <c r="X74" s="543">
        <v>376</v>
      </c>
      <c r="Y74" s="543">
        <v>574</v>
      </c>
      <c r="Z74" s="200">
        <f t="shared" ref="Z74:AB74" si="46">B74+E74+H74+K74+N74+Q74+T74+W74</f>
        <v>24743.319239995868</v>
      </c>
      <c r="AA74" s="200">
        <f t="shared" si="46"/>
        <v>24897.80359062663</v>
      </c>
      <c r="AB74" s="200">
        <f t="shared" si="46"/>
        <v>49641.122830622495</v>
      </c>
    </row>
    <row r="75" spans="1:28">
      <c r="A75" s="541" t="s">
        <v>829</v>
      </c>
      <c r="B75" s="544">
        <v>194</v>
      </c>
      <c r="C75" s="544">
        <v>294</v>
      </c>
      <c r="D75" s="265">
        <v>488</v>
      </c>
      <c r="E75" s="544">
        <v>2</v>
      </c>
      <c r="F75" s="544">
        <v>1</v>
      </c>
      <c r="G75" s="265">
        <v>3</v>
      </c>
      <c r="H75" s="544">
        <v>2574</v>
      </c>
      <c r="I75" s="544">
        <v>4152</v>
      </c>
      <c r="J75" s="265">
        <v>6726</v>
      </c>
      <c r="K75" s="716">
        <v>15169</v>
      </c>
      <c r="L75" s="544">
        <v>19022</v>
      </c>
      <c r="M75" s="265">
        <v>34191</v>
      </c>
      <c r="N75" s="544">
        <v>144</v>
      </c>
      <c r="O75" s="544">
        <v>83</v>
      </c>
      <c r="P75" s="265">
        <v>227</v>
      </c>
      <c r="Q75" s="544">
        <v>5874</v>
      </c>
      <c r="R75" s="544">
        <v>847</v>
      </c>
      <c r="S75" s="265">
        <v>6721</v>
      </c>
      <c r="T75" s="716">
        <v>13</v>
      </c>
      <c r="U75" s="544">
        <v>0</v>
      </c>
      <c r="V75" s="265">
        <v>13</v>
      </c>
      <c r="W75" s="544">
        <v>131</v>
      </c>
      <c r="X75" s="544">
        <v>169</v>
      </c>
      <c r="Y75" s="265">
        <v>300</v>
      </c>
      <c r="Z75" s="265">
        <v>24101</v>
      </c>
      <c r="AA75" s="265">
        <v>24568</v>
      </c>
      <c r="AB75" s="265">
        <f t="shared" ref="AB75" si="47">SUM(Z75+AA75)</f>
        <v>48669</v>
      </c>
    </row>
    <row r="76" spans="1:28">
      <c r="A76" s="514" t="s">
        <v>828</v>
      </c>
      <c r="B76" s="515">
        <v>44</v>
      </c>
      <c r="C76" s="515">
        <v>26</v>
      </c>
      <c r="D76" s="515">
        <v>70</v>
      </c>
      <c r="E76" s="515">
        <v>10</v>
      </c>
      <c r="F76" s="515">
        <v>0</v>
      </c>
      <c r="G76" s="515">
        <v>10</v>
      </c>
      <c r="H76" s="515">
        <v>2862</v>
      </c>
      <c r="I76" s="515">
        <v>4523</v>
      </c>
      <c r="J76" s="515">
        <v>7385</v>
      </c>
      <c r="K76" s="549">
        <v>14596</v>
      </c>
      <c r="L76" s="515">
        <v>18122</v>
      </c>
      <c r="M76" s="515">
        <v>32718</v>
      </c>
      <c r="N76" s="515">
        <v>137</v>
      </c>
      <c r="O76" s="515">
        <v>97</v>
      </c>
      <c r="P76" s="515">
        <v>234</v>
      </c>
      <c r="Q76" s="515">
        <v>5870</v>
      </c>
      <c r="R76" s="515">
        <v>784</v>
      </c>
      <c r="S76" s="515">
        <v>6654</v>
      </c>
      <c r="T76" s="549">
        <v>19</v>
      </c>
      <c r="U76" s="515">
        <v>5</v>
      </c>
      <c r="V76" s="515">
        <v>24</v>
      </c>
      <c r="W76" s="515">
        <v>47</v>
      </c>
      <c r="X76" s="515">
        <v>124</v>
      </c>
      <c r="Y76" s="515">
        <v>171</v>
      </c>
      <c r="Z76" s="515">
        <f t="shared" ref="Z76:AB76" si="48">B76+E76+H76+K76+N76+Q76+T76+W76</f>
        <v>23585</v>
      </c>
      <c r="AA76" s="515">
        <f t="shared" si="48"/>
        <v>23681</v>
      </c>
      <c r="AB76" s="515">
        <f t="shared" si="48"/>
        <v>47266</v>
      </c>
    </row>
    <row r="77" spans="1:28" ht="15">
      <c r="A77" s="579" t="s">
        <v>25</v>
      </c>
      <c r="B77" s="551"/>
      <c r="C77" s="551"/>
      <c r="D77" s="551"/>
      <c r="E77" s="551"/>
      <c r="F77" s="551"/>
      <c r="G77" s="551"/>
      <c r="H77" s="551"/>
      <c r="I77" s="551"/>
      <c r="J77" s="552"/>
      <c r="K77" s="551"/>
      <c r="L77" s="551"/>
      <c r="M77" s="551"/>
      <c r="N77" s="551"/>
      <c r="O77" s="551"/>
      <c r="P77" s="551"/>
      <c r="Q77" s="551"/>
      <c r="R77" s="551"/>
      <c r="S77" s="552"/>
      <c r="T77" s="551"/>
      <c r="U77" s="551"/>
      <c r="V77" s="551"/>
      <c r="W77" s="551"/>
      <c r="X77" s="551"/>
      <c r="Y77" s="551"/>
      <c r="Z77" s="551"/>
      <c r="AA77" s="551"/>
      <c r="AB77" s="552"/>
    </row>
    <row r="78" spans="1:28">
      <c r="A78" s="541" t="s">
        <v>832</v>
      </c>
      <c r="B78" s="154">
        <f ca="1">SUMIF('[2]7UnivActwithConsUnit'!$B:$B,$B78,'[2]7UnivActwithConsUnit'!D:D)+SUMIF('[2]8CollegeAct'!$B:$B,$B78,'[2]8CollegeAct'!D:D)+SUMIF(#REF!,$B78,#REF!)</f>
        <v>4380</v>
      </c>
      <c r="C78" s="154">
        <f ca="1">SUMIF('[2]7UnivActwithConsUnit'!$B:$B,$B78,'[2]7UnivActwithConsUnit'!E:E)+SUMIF('[2]8CollegeAct'!$B:$B,$B78,'[2]8CollegeAct'!E:E)+SUMIF(#REF!,$B78,#REF!)</f>
        <v>3050</v>
      </c>
      <c r="D78" s="154">
        <f ca="1">SUMIF('[2]7UnivActwithConsUnit'!$B:$B,$B78,'[2]7UnivActwithConsUnit'!F:F)+SUMIF('[2]8CollegeAct'!$B:$B,$B78,'[2]8CollegeAct'!F:F)+SUMIF(#REF!,$B78,#REF!)</f>
        <v>7430</v>
      </c>
      <c r="E78" s="154">
        <f ca="1">SUMIF('[2]7UnivActwithConsUnit'!$B:$B,$B78,'[2]7UnivActwithConsUnit'!G:G)+SUMIF('[2]8CollegeAct'!$B:$B,$B78,'[2]8CollegeAct'!G:G)+SUMIF(#REF!,$B78,#REF!)</f>
        <v>468</v>
      </c>
      <c r="F78" s="154">
        <f ca="1">SUMIF('[2]7UnivActwithConsUnit'!$B:$B,$B78,'[2]7UnivActwithConsUnit'!H:H)+SUMIF('[2]8CollegeAct'!$B:$B,$B78,'[2]8CollegeAct'!H:H)+SUMIF(#REF!,$B78,#REF!)</f>
        <v>469</v>
      </c>
      <c r="G78" s="154">
        <f ca="1">SUMIF('[2]7UnivActwithConsUnit'!$B:$B,$B78,'[2]7UnivActwithConsUnit'!I:I)+SUMIF('[2]8CollegeAct'!$B:$B,$B78,'[2]8CollegeAct'!I:I)+SUMIF(#REF!,$B78,#REF!)</f>
        <v>937</v>
      </c>
      <c r="H78" s="154">
        <f ca="1">SUMIF('[2]7UnivActwithConsUnit'!$B:$B,$B78,'[2]7UnivActwithConsUnit'!J:J)+SUMIF('[2]10CollegeEst'!$B:$B,$B78,'[2]10CollegeEst'!B:B)+SUMIF(#REF!,$B78,#REF!)</f>
        <v>67586</v>
      </c>
      <c r="I78" s="154">
        <f ca="1">SUMIF('[2]7UnivActwithConsUnit'!$B:$B,$B78,'[2]7UnivActwithConsUnit'!K:K)+SUMIF('[2]10CollegeEst'!$B:$B,$B78,'[2]10CollegeEst'!C:C)+SUMIF(#REF!,$B78,#REF!)</f>
        <v>87425</v>
      </c>
      <c r="J78" s="154">
        <f ca="1">SUMIF('[2]7UnivActwithConsUnit'!$B:$B,$B78,'[2]7UnivActwithConsUnit'!L:L)+SUMIF('[2]10CollegeEst'!$B:$B,$B78,'[2]10CollegeEst'!D:D)+SUMIF(#REF!,$B78,#REF!)</f>
        <v>155011</v>
      </c>
      <c r="K78" s="715">
        <f ca="1">SUMIF('[2]7UnivActwithConsUnit'!$B:$B,$B78,'[2]7UnivActwithConsUnit'!M:M)+SUMIF('[2]10CollegeEst'!$B:$B,$B78,'[2]10CollegeEst'!E:E)+SUMIF(#REF!,$B78,#REF!)</f>
        <v>681018</v>
      </c>
      <c r="L78" s="154">
        <f ca="1">SUMIF('[2]7UnivActwithConsUnit'!$B:$B,$B78,'[2]7UnivActwithConsUnit'!N:N)+SUMIF('[2]10CollegeEst'!$B:$B,$B78,'[2]10CollegeEst'!F:F)+SUMIF(#REF!,$B78,#REF!)</f>
        <v>526227</v>
      </c>
      <c r="M78" s="154">
        <f ca="1">SUMIF('[2]7UnivActwithConsUnit'!$B:$B,$B78,'[2]7UnivActwithConsUnit'!O:O)+SUMIF('[2]10CollegeEst'!$B:$B,$B78,'[2]10CollegeEst'!G:G)+SUMIF(#REF!,$B78,#REF!)</f>
        <v>1207245</v>
      </c>
      <c r="N78" s="154">
        <f ca="1">SUMIF('[2]7UnivActwithConsUnit'!$B:$B,$B78,'[2]7UnivActwithConsUnit'!P:P)+SUMIF('[2]8CollegeAct'!$B:$B,$B78,'[2]8CollegeAct'!P:P)+SUMIF(#REF!,$B78,#REF!)</f>
        <v>3780</v>
      </c>
      <c r="O78" s="154">
        <f ca="1">SUMIF('[2]7UnivActwithConsUnit'!$B:$B,$B78,'[2]7UnivActwithConsUnit'!Q:Q)+SUMIF('[2]8CollegeAct'!$B:$B,$B78,'[2]8CollegeAct'!Q:Q)+SUMIF(#REF!,$B78,#REF!)</f>
        <v>3456</v>
      </c>
      <c r="P78" s="154">
        <f ca="1">SUMIF('[2]7UnivActwithConsUnit'!$B:$B,$B78,'[2]7UnivActwithConsUnit'!R:R)+SUMIF('[2]8CollegeAct'!$B:$B,$B78,'[2]8CollegeAct'!R:R)+SUMIF(#REF!,$B78,#REF!)</f>
        <v>7236</v>
      </c>
      <c r="Q78" s="154">
        <f ca="1">SUMIF('[2]7UnivActwithConsUnit'!$B:$B,$B78,'[2]7UnivActwithConsUnit'!S:S)+SUMIF('[2]8CollegeAct'!$B:$B,$B78,'[2]8CollegeAct'!S:S)+SUMIF(#REF!,$B78,#REF!)</f>
        <v>94560</v>
      </c>
      <c r="R78" s="154">
        <f ca="1">SUMIF('[2]7UnivActwithConsUnit'!$B:$B,$B78,'[2]7UnivActwithConsUnit'!T:T)+SUMIF('[2]8CollegeAct'!$B:$B,$B78,'[2]8CollegeAct'!T:T)+SUMIF(#REF!,$B78,#REF!)</f>
        <v>45181</v>
      </c>
      <c r="S78" s="154">
        <f ca="1">SUMIF('[2]7UnivActwithConsUnit'!$B:$B,$B78,'[2]7UnivActwithConsUnit'!U:U)+SUMIF('[2]8CollegeAct'!$B:$B,$B78,'[2]8CollegeAct'!U:U)+SUMIF(#REF!,$B78,#REF!)</f>
        <v>139741</v>
      </c>
      <c r="T78" s="715">
        <f ca="1">SUMIF('[2]7UnivActwithConsUnit'!$B:$B,$B78,'[2]7UnivActwithConsUnit'!V:V)+SUMIF('[2]8CollegeAct'!$B:$B,$B78,'[2]8CollegeAct'!V:V)+SUMIF(#REF!,$B78,#REF!)</f>
        <v>5540</v>
      </c>
      <c r="U78" s="154">
        <f ca="1">SUMIF('[2]7UnivActwithConsUnit'!$B:$B,$B78,'[2]7UnivActwithConsUnit'!W:W)+SUMIF('[2]8CollegeAct'!$B:$B,$B78,'[2]8CollegeAct'!W:W)+SUMIF(#REF!,$B78,#REF!)</f>
        <v>7185</v>
      </c>
      <c r="V78" s="154">
        <f ca="1">SUMIF('[2]7UnivActwithConsUnit'!$B:$B,$B78,'[2]7UnivActwithConsUnit'!X:X)+SUMIF('[2]8CollegeAct'!$B:$B,$B78,'[2]8CollegeAct'!X:X)+SUMIF(#REF!,$B78,#REF!)</f>
        <v>12725</v>
      </c>
      <c r="W78" s="154">
        <f ca="1">SUMIF('[2]7UnivActwithConsUnit'!$B:$B,$B78,'[2]7UnivActwithConsUnit'!Y:Y)+SUMIF('[2]8CollegeAct'!$B:$B,$B78,'[2]8CollegeAct'!Y:Y)+SUMIF(#REF!,$B78,#REF!)</f>
        <v>7635</v>
      </c>
      <c r="X78" s="154">
        <f ca="1">SUMIF('[2]7UnivActwithConsUnit'!$B:$B,$B78,'[2]7UnivActwithConsUnit'!Z:Z)+SUMIF('[2]8CollegeAct'!$B:$B,$B78,'[2]8CollegeAct'!Z:Z)+SUMIF(#REF!,$B78,#REF!)</f>
        <v>6880</v>
      </c>
      <c r="Y78" s="154">
        <f ca="1">SUMIF('[2]7UnivActwithConsUnit'!$B:$B,$B78,'[2]7UnivActwithConsUnit'!AA:AA)+SUMIF('[2]8CollegeAct'!$B:$B,$B78,'[2]8CollegeAct'!AA:AA)+SUMIF(#REF!,$B78,#REF!)</f>
        <v>14515</v>
      </c>
      <c r="Z78" s="155">
        <f t="shared" ref="Z78:AA78" ca="1" si="49">B78+E78+H78+K78+N78+Q78+T78+W78</f>
        <v>864967</v>
      </c>
      <c r="AA78" s="155">
        <f t="shared" ca="1" si="49"/>
        <v>679873</v>
      </c>
      <c r="AB78" s="155">
        <f t="shared" ref="AB78" ca="1" si="50">Z78+AA78</f>
        <v>1544840</v>
      </c>
    </row>
    <row r="79" spans="1:28">
      <c r="A79" s="541" t="s">
        <v>831</v>
      </c>
      <c r="B79" s="515">
        <v>3589</v>
      </c>
      <c r="C79" s="515">
        <v>2328</v>
      </c>
      <c r="D79" s="515">
        <v>5917</v>
      </c>
      <c r="E79" s="515">
        <v>470</v>
      </c>
      <c r="F79" s="515">
        <v>414</v>
      </c>
      <c r="G79" s="515">
        <v>884</v>
      </c>
      <c r="H79" s="515">
        <v>63874</v>
      </c>
      <c r="I79" s="515">
        <v>83554</v>
      </c>
      <c r="J79" s="515">
        <v>147428</v>
      </c>
      <c r="K79" s="549">
        <v>650213</v>
      </c>
      <c r="L79" s="515">
        <v>497400</v>
      </c>
      <c r="M79" s="515">
        <v>1147613</v>
      </c>
      <c r="N79" s="515">
        <v>3623</v>
      </c>
      <c r="O79" s="515">
        <v>3377</v>
      </c>
      <c r="P79" s="515">
        <v>7000</v>
      </c>
      <c r="Q79" s="515">
        <v>97626</v>
      </c>
      <c r="R79" s="515">
        <v>40902</v>
      </c>
      <c r="S79" s="515">
        <v>138528</v>
      </c>
      <c r="T79" s="549">
        <v>5824</v>
      </c>
      <c r="U79" s="515">
        <v>9742</v>
      </c>
      <c r="V79" s="515">
        <v>15566</v>
      </c>
      <c r="W79" s="515">
        <v>7727</v>
      </c>
      <c r="X79" s="515">
        <v>7389</v>
      </c>
      <c r="Y79" s="515">
        <v>15116</v>
      </c>
      <c r="Z79" s="515">
        <v>832946</v>
      </c>
      <c r="AA79" s="515">
        <v>645106</v>
      </c>
      <c r="AB79" s="515">
        <v>1478052</v>
      </c>
    </row>
    <row r="80" spans="1:28">
      <c r="A80" s="541" t="s">
        <v>830</v>
      </c>
      <c r="B80" s="543">
        <v>3256</v>
      </c>
      <c r="C80" s="543">
        <v>1995</v>
      </c>
      <c r="D80" s="543">
        <v>5251</v>
      </c>
      <c r="E80" s="543">
        <v>306</v>
      </c>
      <c r="F80" s="543">
        <v>291</v>
      </c>
      <c r="G80" s="543">
        <v>597</v>
      </c>
      <c r="H80" s="543">
        <v>62301</v>
      </c>
      <c r="I80" s="543">
        <v>76475</v>
      </c>
      <c r="J80" s="543">
        <v>138776</v>
      </c>
      <c r="K80" s="714">
        <v>642272</v>
      </c>
      <c r="L80" s="543">
        <v>487400</v>
      </c>
      <c r="M80" s="543">
        <v>1129672</v>
      </c>
      <c r="N80" s="543">
        <v>3485</v>
      </c>
      <c r="O80" s="543">
        <v>3341</v>
      </c>
      <c r="P80" s="543">
        <v>6826</v>
      </c>
      <c r="Q80" s="543">
        <v>103277</v>
      </c>
      <c r="R80" s="543">
        <v>38690</v>
      </c>
      <c r="S80" s="543">
        <v>141967</v>
      </c>
      <c r="T80" s="714">
        <v>5599</v>
      </c>
      <c r="U80" s="543">
        <v>10162</v>
      </c>
      <c r="V80" s="543">
        <v>15761</v>
      </c>
      <c r="W80" s="543">
        <v>7115</v>
      </c>
      <c r="X80" s="543">
        <v>7290</v>
      </c>
      <c r="Y80" s="543">
        <v>14405</v>
      </c>
      <c r="Z80" s="200">
        <f t="shared" ref="Z80:AB80" si="51">B80+E80+H80+K80+N80+Q80+T80+W80</f>
        <v>827611</v>
      </c>
      <c r="AA80" s="200">
        <f t="shared" si="51"/>
        <v>625644</v>
      </c>
      <c r="AB80" s="200">
        <f t="shared" si="51"/>
        <v>1453255</v>
      </c>
    </row>
    <row r="81" spans="1:28">
      <c r="A81" s="541" t="s">
        <v>829</v>
      </c>
      <c r="B81" s="544">
        <v>3035</v>
      </c>
      <c r="C81" s="544">
        <v>1953</v>
      </c>
      <c r="D81" s="265">
        <v>4988</v>
      </c>
      <c r="E81" s="544">
        <v>352</v>
      </c>
      <c r="F81" s="544">
        <v>406</v>
      </c>
      <c r="G81" s="265">
        <v>758</v>
      </c>
      <c r="H81" s="544">
        <v>75691</v>
      </c>
      <c r="I81" s="544">
        <v>82487</v>
      </c>
      <c r="J81" s="265">
        <v>158178</v>
      </c>
      <c r="K81" s="716">
        <v>651887</v>
      </c>
      <c r="L81" s="544">
        <v>457692</v>
      </c>
      <c r="M81" s="265">
        <v>1109579</v>
      </c>
      <c r="N81" s="544">
        <v>4787</v>
      </c>
      <c r="O81" s="544">
        <v>3486</v>
      </c>
      <c r="P81" s="265">
        <v>8273</v>
      </c>
      <c r="Q81" s="544">
        <v>106197</v>
      </c>
      <c r="R81" s="544">
        <v>35013</v>
      </c>
      <c r="S81" s="265">
        <v>141210</v>
      </c>
      <c r="T81" s="716">
        <v>19310</v>
      </c>
      <c r="U81" s="544">
        <v>3539</v>
      </c>
      <c r="V81" s="265">
        <v>22849</v>
      </c>
      <c r="W81" s="544">
        <v>5886</v>
      </c>
      <c r="X81" s="544">
        <v>6383</v>
      </c>
      <c r="Y81" s="265">
        <v>12269</v>
      </c>
      <c r="Z81" s="265">
        <v>867145</v>
      </c>
      <c r="AA81" s="265">
        <v>590959</v>
      </c>
      <c r="AB81" s="265">
        <f t="shared" ref="AB81" si="52">SUM(Z81+AA81)</f>
        <v>1458104</v>
      </c>
    </row>
    <row r="82" spans="1:28">
      <c r="A82" s="514" t="s">
        <v>828</v>
      </c>
      <c r="B82" s="515">
        <v>3286</v>
      </c>
      <c r="C82" s="515">
        <v>1883</v>
      </c>
      <c r="D82" s="515">
        <v>5169</v>
      </c>
      <c r="E82" s="515">
        <v>592</v>
      </c>
      <c r="F82" s="515">
        <v>665</v>
      </c>
      <c r="G82" s="515">
        <v>1257</v>
      </c>
      <c r="H82" s="515">
        <v>83243</v>
      </c>
      <c r="I82" s="515">
        <v>97261</v>
      </c>
      <c r="J82" s="515">
        <v>180504</v>
      </c>
      <c r="K82" s="549">
        <v>647353</v>
      </c>
      <c r="L82" s="515">
        <v>465175</v>
      </c>
      <c r="M82" s="515">
        <v>1112528</v>
      </c>
      <c r="N82" s="515">
        <v>4427</v>
      </c>
      <c r="O82" s="515">
        <v>4117</v>
      </c>
      <c r="P82" s="515">
        <v>8544</v>
      </c>
      <c r="Q82" s="515">
        <v>113831</v>
      </c>
      <c r="R82" s="515">
        <v>32677</v>
      </c>
      <c r="S82" s="515">
        <v>146508</v>
      </c>
      <c r="T82" s="549">
        <v>7542</v>
      </c>
      <c r="U82" s="515">
        <v>14328</v>
      </c>
      <c r="V82" s="515">
        <v>21870</v>
      </c>
      <c r="W82" s="515">
        <v>5158</v>
      </c>
      <c r="X82" s="515">
        <v>5591</v>
      </c>
      <c r="Y82" s="515">
        <v>10749</v>
      </c>
      <c r="Z82" s="515">
        <f t="shared" ref="Z82:AB82" si="53">B82+E82+H82+K82+N82+Q82+T82+W82</f>
        <v>865432</v>
      </c>
      <c r="AA82" s="515">
        <f t="shared" si="53"/>
        <v>621697</v>
      </c>
      <c r="AB82" s="515">
        <f t="shared" si="53"/>
        <v>1487129</v>
      </c>
    </row>
    <row r="83" spans="1:28" ht="15">
      <c r="A83" s="579" t="s">
        <v>26</v>
      </c>
      <c r="B83" s="551"/>
      <c r="C83" s="551"/>
      <c r="D83" s="551"/>
      <c r="E83" s="551"/>
      <c r="F83" s="551"/>
      <c r="G83" s="551"/>
      <c r="H83" s="551"/>
      <c r="I83" s="551"/>
      <c r="J83" s="552"/>
      <c r="K83" s="551"/>
      <c r="L83" s="551"/>
      <c r="M83" s="551"/>
      <c r="N83" s="551"/>
      <c r="O83" s="551"/>
      <c r="P83" s="551"/>
      <c r="Q83" s="551"/>
      <c r="R83" s="551"/>
      <c r="S83" s="552"/>
      <c r="T83" s="551"/>
      <c r="U83" s="551"/>
      <c r="V83" s="551"/>
      <c r="W83" s="551"/>
      <c r="X83" s="551"/>
      <c r="Y83" s="551"/>
      <c r="Z83" s="551"/>
      <c r="AA83" s="551"/>
      <c r="AB83" s="552"/>
    </row>
    <row r="84" spans="1:28">
      <c r="A84" s="541" t="s">
        <v>832</v>
      </c>
      <c r="B84" s="154">
        <f ca="1">SUMIF('[2]7UnivActwithConsUnit'!$B:$B,$B84,'[2]7UnivActwithConsUnit'!D:D)+SUMIF('[2]8CollegeAct'!$B:$B,$B84,'[2]8CollegeAct'!D:D)+SUMIF(#REF!,$B84,#REF!)</f>
        <v>1810</v>
      </c>
      <c r="C84" s="154">
        <f ca="1">SUMIF('[2]7UnivActwithConsUnit'!$B:$B,$B84,'[2]7UnivActwithConsUnit'!E:E)+SUMIF('[2]8CollegeAct'!$B:$B,$B84,'[2]8CollegeAct'!E:E)+SUMIF(#REF!,$B84,#REF!)</f>
        <v>2356</v>
      </c>
      <c r="D84" s="154">
        <f ca="1">SUMIF('[2]7UnivActwithConsUnit'!$B:$B,$B84,'[2]7UnivActwithConsUnit'!F:F)+SUMIF('[2]8CollegeAct'!$B:$B,$B84,'[2]8CollegeAct'!F:F)+SUMIF(#REF!,$B84,#REF!)</f>
        <v>4166</v>
      </c>
      <c r="E84" s="154">
        <f ca="1">SUMIF('[2]7UnivActwithConsUnit'!$B:$B,$B84,'[2]7UnivActwithConsUnit'!G:G)+SUMIF('[2]8CollegeAct'!$B:$B,$B84,'[2]8CollegeAct'!G:G)+SUMIF(#REF!,$B84,#REF!)</f>
        <v>80</v>
      </c>
      <c r="F84" s="154">
        <f ca="1">SUMIF('[2]7UnivActwithConsUnit'!$B:$B,$B84,'[2]7UnivActwithConsUnit'!H:H)+SUMIF('[2]8CollegeAct'!$B:$B,$B84,'[2]8CollegeAct'!H:H)+SUMIF(#REF!,$B84,#REF!)</f>
        <v>230</v>
      </c>
      <c r="G84" s="154">
        <f ca="1">SUMIF('[2]7UnivActwithConsUnit'!$B:$B,$B84,'[2]7UnivActwithConsUnit'!I:I)+SUMIF('[2]8CollegeAct'!$B:$B,$B84,'[2]8CollegeAct'!I:I)+SUMIF(#REF!,$B84,#REF!)</f>
        <v>310</v>
      </c>
      <c r="H84" s="154">
        <f ca="1">SUMIF('[2]7UnivActwithConsUnit'!$B:$B,$B84,'[2]7UnivActwithConsUnit'!J:J)+SUMIF('[2]10CollegeEst'!$B:$B,$B84,'[2]10CollegeEst'!B:B)+SUMIF(#REF!,$B84,#REF!)</f>
        <v>41587</v>
      </c>
      <c r="I84" s="154">
        <f ca="1">SUMIF('[2]7UnivActwithConsUnit'!$B:$B,$B84,'[2]7UnivActwithConsUnit'!K:K)+SUMIF('[2]10CollegeEst'!$B:$B,$B84,'[2]10CollegeEst'!C:C)+SUMIF(#REF!,$B84,#REF!)</f>
        <v>69928</v>
      </c>
      <c r="J84" s="154">
        <f ca="1">SUMIF('[2]7UnivActwithConsUnit'!$B:$B,$B84,'[2]7UnivActwithConsUnit'!L:L)+SUMIF('[2]10CollegeEst'!$B:$B,$B84,'[2]10CollegeEst'!D:D)+SUMIF(#REF!,$B84,#REF!)</f>
        <v>111515</v>
      </c>
      <c r="K84" s="715">
        <f ca="1">SUMIF('[2]7UnivActwithConsUnit'!$B:$B,$B84,'[2]7UnivActwithConsUnit'!M:M)+SUMIF('[2]10CollegeEst'!$B:$B,$B84,'[2]10CollegeEst'!E:E)+SUMIF(#REF!,$B84,#REF!)</f>
        <v>354321</v>
      </c>
      <c r="L84" s="154">
        <f ca="1">SUMIF('[2]7UnivActwithConsUnit'!$B:$B,$B84,'[2]7UnivActwithConsUnit'!N:N)+SUMIF('[2]10CollegeEst'!$B:$B,$B84,'[2]10CollegeEst'!F:F)+SUMIF(#REF!,$B84,#REF!)</f>
        <v>368329</v>
      </c>
      <c r="M84" s="154">
        <f ca="1">SUMIF('[2]7UnivActwithConsUnit'!$B:$B,$B84,'[2]7UnivActwithConsUnit'!O:O)+SUMIF('[2]10CollegeEst'!$B:$B,$B84,'[2]10CollegeEst'!G:G)+SUMIF(#REF!,$B84,#REF!)</f>
        <v>722650</v>
      </c>
      <c r="N84" s="154">
        <f ca="1">SUMIF('[2]7UnivActwithConsUnit'!$B:$B,$B84,'[2]7UnivActwithConsUnit'!P:P)+SUMIF('[2]8CollegeAct'!$B:$B,$B84,'[2]8CollegeAct'!P:P)+SUMIF(#REF!,$B84,#REF!)</f>
        <v>2059</v>
      </c>
      <c r="O84" s="154">
        <f ca="1">SUMIF('[2]7UnivActwithConsUnit'!$B:$B,$B84,'[2]7UnivActwithConsUnit'!Q:Q)+SUMIF('[2]8CollegeAct'!$B:$B,$B84,'[2]8CollegeAct'!Q:Q)+SUMIF(#REF!,$B84,#REF!)</f>
        <v>1672</v>
      </c>
      <c r="P84" s="154">
        <f ca="1">SUMIF('[2]7UnivActwithConsUnit'!$B:$B,$B84,'[2]7UnivActwithConsUnit'!R:R)+SUMIF('[2]8CollegeAct'!$B:$B,$B84,'[2]8CollegeAct'!R:R)+SUMIF(#REF!,$B84,#REF!)</f>
        <v>3731</v>
      </c>
      <c r="Q84" s="154">
        <f ca="1">SUMIF('[2]7UnivActwithConsUnit'!$B:$B,$B84,'[2]7UnivActwithConsUnit'!S:S)+SUMIF('[2]8CollegeAct'!$B:$B,$B84,'[2]8CollegeAct'!S:S)+SUMIF(#REF!,$B84,#REF!)</f>
        <v>49706</v>
      </c>
      <c r="R84" s="154">
        <f ca="1">SUMIF('[2]7UnivActwithConsUnit'!$B:$B,$B84,'[2]7UnivActwithConsUnit'!T:T)+SUMIF('[2]8CollegeAct'!$B:$B,$B84,'[2]8CollegeAct'!T:T)+SUMIF(#REF!,$B84,#REF!)</f>
        <v>21579</v>
      </c>
      <c r="S84" s="154">
        <f ca="1">SUMIF('[2]7UnivActwithConsUnit'!$B:$B,$B84,'[2]7UnivActwithConsUnit'!U:U)+SUMIF('[2]8CollegeAct'!$B:$B,$B84,'[2]8CollegeAct'!U:U)+SUMIF(#REF!,$B84,#REF!)</f>
        <v>71285</v>
      </c>
      <c r="T84" s="715">
        <f ca="1">SUMIF('[2]7UnivActwithConsUnit'!$B:$B,$B84,'[2]7UnivActwithConsUnit'!V:V)+SUMIF('[2]8CollegeAct'!$B:$B,$B84,'[2]8CollegeAct'!V:V)+SUMIF(#REF!,$B84,#REF!)</f>
        <v>1621</v>
      </c>
      <c r="U84" s="154">
        <f ca="1">SUMIF('[2]7UnivActwithConsUnit'!$B:$B,$B84,'[2]7UnivActwithConsUnit'!W:W)+SUMIF('[2]8CollegeAct'!$B:$B,$B84,'[2]8CollegeAct'!W:W)+SUMIF(#REF!,$B84,#REF!)</f>
        <v>1778</v>
      </c>
      <c r="V84" s="154">
        <f ca="1">SUMIF('[2]7UnivActwithConsUnit'!$B:$B,$B84,'[2]7UnivActwithConsUnit'!X:X)+SUMIF('[2]8CollegeAct'!$B:$B,$B84,'[2]8CollegeAct'!X:X)+SUMIF(#REF!,$B84,#REF!)</f>
        <v>3399</v>
      </c>
      <c r="W84" s="154">
        <f ca="1">SUMIF('[2]7UnivActwithConsUnit'!$B:$B,$B84,'[2]7UnivActwithConsUnit'!Y:Y)+SUMIF('[2]8CollegeAct'!$B:$B,$B84,'[2]8CollegeAct'!Y:Y)+SUMIF(#REF!,$B84,#REF!)</f>
        <v>9303</v>
      </c>
      <c r="X84" s="154">
        <f ca="1">SUMIF('[2]7UnivActwithConsUnit'!$B:$B,$B84,'[2]7UnivActwithConsUnit'!Z:Z)+SUMIF('[2]8CollegeAct'!$B:$B,$B84,'[2]8CollegeAct'!Z:Z)+SUMIF(#REF!,$B84,#REF!)</f>
        <v>7182</v>
      </c>
      <c r="Y84" s="154">
        <f ca="1">SUMIF('[2]7UnivActwithConsUnit'!$B:$B,$B84,'[2]7UnivActwithConsUnit'!AA:AA)+SUMIF('[2]8CollegeAct'!$B:$B,$B84,'[2]8CollegeAct'!AA:AA)+SUMIF(#REF!,$B84,#REF!)</f>
        <v>16485</v>
      </c>
      <c r="Z84" s="155">
        <f t="shared" ref="Z84:AA84" ca="1" si="54">B84+E84+H84+K84+N84+Q84+T84+W84</f>
        <v>460487</v>
      </c>
      <c r="AA84" s="155">
        <f t="shared" ca="1" si="54"/>
        <v>473054</v>
      </c>
      <c r="AB84" s="155">
        <f t="shared" ref="AB84" ca="1" si="55">Z84+AA84</f>
        <v>933541</v>
      </c>
    </row>
    <row r="85" spans="1:28">
      <c r="A85" s="541" t="s">
        <v>831</v>
      </c>
      <c r="B85" s="515">
        <v>1855</v>
      </c>
      <c r="C85" s="515">
        <v>1991</v>
      </c>
      <c r="D85" s="515">
        <v>3846</v>
      </c>
      <c r="E85" s="515">
        <v>154</v>
      </c>
      <c r="F85" s="515">
        <v>287</v>
      </c>
      <c r="G85" s="515">
        <v>441</v>
      </c>
      <c r="H85" s="515">
        <v>39800</v>
      </c>
      <c r="I85" s="515">
        <v>69046</v>
      </c>
      <c r="J85" s="515">
        <v>108846</v>
      </c>
      <c r="K85" s="549">
        <v>353487</v>
      </c>
      <c r="L85" s="515">
        <v>368952</v>
      </c>
      <c r="M85" s="515">
        <v>722439</v>
      </c>
      <c r="N85" s="515">
        <v>1917</v>
      </c>
      <c r="O85" s="515">
        <v>1507</v>
      </c>
      <c r="P85" s="515">
        <v>3424</v>
      </c>
      <c r="Q85" s="515">
        <v>50412</v>
      </c>
      <c r="R85" s="515">
        <v>22284</v>
      </c>
      <c r="S85" s="515">
        <v>72696</v>
      </c>
      <c r="T85" s="549">
        <v>1175</v>
      </c>
      <c r="U85" s="515">
        <v>1577</v>
      </c>
      <c r="V85" s="515">
        <v>2752</v>
      </c>
      <c r="W85" s="515">
        <v>8489</v>
      </c>
      <c r="X85" s="515">
        <v>5960</v>
      </c>
      <c r="Y85" s="515">
        <v>14449</v>
      </c>
      <c r="Z85" s="515">
        <v>457289</v>
      </c>
      <c r="AA85" s="515">
        <v>471604</v>
      </c>
      <c r="AB85" s="515">
        <v>928893</v>
      </c>
    </row>
    <row r="86" spans="1:28">
      <c r="A86" s="541" t="s">
        <v>830</v>
      </c>
      <c r="B86" s="543">
        <v>1632</v>
      </c>
      <c r="C86" s="543">
        <v>1696</v>
      </c>
      <c r="D86" s="543">
        <v>3328</v>
      </c>
      <c r="E86" s="543">
        <v>170</v>
      </c>
      <c r="F86" s="543">
        <v>270</v>
      </c>
      <c r="G86" s="543">
        <v>440</v>
      </c>
      <c r="H86" s="543">
        <v>47613.360389324749</v>
      </c>
      <c r="I86" s="543">
        <v>82880.467817951023</v>
      </c>
      <c r="J86" s="543">
        <v>130493.82820727579</v>
      </c>
      <c r="K86" s="714">
        <v>361144.02289604669</v>
      </c>
      <c r="L86" s="543">
        <v>332361.36593495507</v>
      </c>
      <c r="M86" s="543">
        <v>693505.38883100171</v>
      </c>
      <c r="N86" s="543">
        <v>1846</v>
      </c>
      <c r="O86" s="543">
        <v>1200</v>
      </c>
      <c r="P86" s="543">
        <v>3046</v>
      </c>
      <c r="Q86" s="543">
        <v>45449</v>
      </c>
      <c r="R86" s="543">
        <v>20955</v>
      </c>
      <c r="S86" s="543">
        <v>66404</v>
      </c>
      <c r="T86" s="714">
        <v>1241</v>
      </c>
      <c r="U86" s="543">
        <v>1833</v>
      </c>
      <c r="V86" s="543">
        <v>3074</v>
      </c>
      <c r="W86" s="543">
        <v>8294</v>
      </c>
      <c r="X86" s="543">
        <v>4858</v>
      </c>
      <c r="Y86" s="543">
        <v>13152</v>
      </c>
      <c r="Z86" s="200">
        <f t="shared" ref="Z86:AB86" si="56">B86+E86+H86+K86+N86+Q86+T86+W86</f>
        <v>467389.38328537147</v>
      </c>
      <c r="AA86" s="200">
        <f t="shared" si="56"/>
        <v>446053.83375290607</v>
      </c>
      <c r="AB86" s="200">
        <f t="shared" si="56"/>
        <v>913443.21703827754</v>
      </c>
    </row>
    <row r="87" spans="1:28">
      <c r="A87" s="541" t="s">
        <v>829</v>
      </c>
      <c r="B87" s="544">
        <v>1817</v>
      </c>
      <c r="C87" s="544">
        <v>1784</v>
      </c>
      <c r="D87" s="265">
        <v>3601</v>
      </c>
      <c r="E87" s="544">
        <v>208</v>
      </c>
      <c r="F87" s="544">
        <v>260</v>
      </c>
      <c r="G87" s="265">
        <v>468</v>
      </c>
      <c r="H87" s="544">
        <v>57433</v>
      </c>
      <c r="I87" s="544">
        <v>90425</v>
      </c>
      <c r="J87" s="265">
        <v>147858</v>
      </c>
      <c r="K87" s="716">
        <v>375085</v>
      </c>
      <c r="L87" s="544">
        <v>313060</v>
      </c>
      <c r="M87" s="265">
        <v>688145</v>
      </c>
      <c r="N87" s="544">
        <v>1740</v>
      </c>
      <c r="O87" s="544">
        <v>1352</v>
      </c>
      <c r="P87" s="265">
        <v>3092</v>
      </c>
      <c r="Q87" s="544">
        <v>49362</v>
      </c>
      <c r="R87" s="544">
        <v>19458</v>
      </c>
      <c r="S87" s="265">
        <v>68820</v>
      </c>
      <c r="T87" s="716">
        <v>1037</v>
      </c>
      <c r="U87" s="544">
        <v>1853</v>
      </c>
      <c r="V87" s="265">
        <v>2890</v>
      </c>
      <c r="W87" s="544">
        <v>6428</v>
      </c>
      <c r="X87" s="544">
        <v>3988</v>
      </c>
      <c r="Y87" s="265">
        <v>10416</v>
      </c>
      <c r="Z87" s="265">
        <v>493110</v>
      </c>
      <c r="AA87" s="265">
        <v>432180</v>
      </c>
      <c r="AB87" s="265">
        <f t="shared" ref="AB87" si="57">SUM(Z87+AA87)</f>
        <v>925290</v>
      </c>
    </row>
    <row r="88" spans="1:28">
      <c r="A88" s="514" t="s">
        <v>828</v>
      </c>
      <c r="B88" s="515">
        <v>1643</v>
      </c>
      <c r="C88" s="515">
        <v>1755</v>
      </c>
      <c r="D88" s="515">
        <v>3398</v>
      </c>
      <c r="E88" s="515">
        <v>332</v>
      </c>
      <c r="F88" s="515">
        <v>432</v>
      </c>
      <c r="G88" s="515">
        <v>764</v>
      </c>
      <c r="H88" s="515">
        <v>38340</v>
      </c>
      <c r="I88" s="515">
        <v>57892</v>
      </c>
      <c r="J88" s="515">
        <v>96232</v>
      </c>
      <c r="K88" s="549">
        <v>346010</v>
      </c>
      <c r="L88" s="515">
        <v>298258</v>
      </c>
      <c r="M88" s="515">
        <v>644268</v>
      </c>
      <c r="N88" s="515">
        <v>1991</v>
      </c>
      <c r="O88" s="515">
        <v>1444</v>
      </c>
      <c r="P88" s="515">
        <v>3435</v>
      </c>
      <c r="Q88" s="515">
        <v>51344</v>
      </c>
      <c r="R88" s="515">
        <v>18153</v>
      </c>
      <c r="S88" s="515">
        <v>69497</v>
      </c>
      <c r="T88" s="549">
        <v>903</v>
      </c>
      <c r="U88" s="515">
        <v>1580</v>
      </c>
      <c r="V88" s="515">
        <v>2483</v>
      </c>
      <c r="W88" s="515">
        <v>7506</v>
      </c>
      <c r="X88" s="515">
        <v>4076</v>
      </c>
      <c r="Y88" s="515">
        <v>11582</v>
      </c>
      <c r="Z88" s="515">
        <f t="shared" ref="Z88:AB88" si="58">B88+E88+H88+K88+N88+Q88+T88+W88</f>
        <v>448069</v>
      </c>
      <c r="AA88" s="515">
        <f t="shared" si="58"/>
        <v>383590</v>
      </c>
      <c r="AB88" s="515">
        <f t="shared" si="58"/>
        <v>831659</v>
      </c>
    </row>
    <row r="89" spans="1:28" ht="15">
      <c r="A89" s="579" t="s">
        <v>27</v>
      </c>
      <c r="B89" s="551"/>
      <c r="C89" s="551"/>
      <c r="D89" s="551"/>
      <c r="E89" s="551"/>
      <c r="F89" s="551"/>
      <c r="G89" s="551"/>
      <c r="H89" s="551"/>
      <c r="I89" s="551"/>
      <c r="J89" s="552"/>
      <c r="K89" s="551"/>
      <c r="L89" s="551"/>
      <c r="M89" s="551"/>
      <c r="N89" s="551"/>
      <c r="O89" s="551"/>
      <c r="P89" s="551"/>
      <c r="Q89" s="551"/>
      <c r="R89" s="551"/>
      <c r="S89" s="552"/>
      <c r="T89" s="551"/>
      <c r="U89" s="551"/>
      <c r="V89" s="551"/>
      <c r="W89" s="551"/>
      <c r="X89" s="551"/>
      <c r="Y89" s="551"/>
      <c r="Z89" s="551"/>
      <c r="AA89" s="551"/>
      <c r="AB89" s="552"/>
    </row>
    <row r="90" spans="1:28">
      <c r="A90" s="541" t="s">
        <v>832</v>
      </c>
      <c r="B90" s="154">
        <f ca="1">SUMIF('[2]7UnivActwithConsUnit'!$B:$B,$B90,'[2]7UnivActwithConsUnit'!D:D)+SUMIF('[2]8CollegeAct'!$B:$B,$B90,'[2]8CollegeAct'!D:D)+SUMIF(#REF!,$B90,#REF!)</f>
        <v>1027</v>
      </c>
      <c r="C90" s="154">
        <f ca="1">SUMIF('[2]7UnivActwithConsUnit'!$B:$B,$B90,'[2]7UnivActwithConsUnit'!E:E)+SUMIF('[2]8CollegeAct'!$B:$B,$B90,'[2]8CollegeAct'!E:E)+SUMIF(#REF!,$B90,#REF!)</f>
        <v>897</v>
      </c>
      <c r="D90" s="154">
        <f ca="1">SUMIF('[2]7UnivActwithConsUnit'!$B:$B,$B90,'[2]7UnivActwithConsUnit'!F:F)+SUMIF('[2]8CollegeAct'!$B:$B,$B90,'[2]8CollegeAct'!F:F)+SUMIF(#REF!,$B90,#REF!)</f>
        <v>1924</v>
      </c>
      <c r="E90" s="154">
        <f ca="1">SUMIF('[2]7UnivActwithConsUnit'!$B:$B,$B90,'[2]7UnivActwithConsUnit'!G:G)+SUMIF('[2]8CollegeAct'!$B:$B,$B90,'[2]8CollegeAct'!G:G)+SUMIF(#REF!,$B90,#REF!)</f>
        <v>118</v>
      </c>
      <c r="F90" s="154">
        <f ca="1">SUMIF('[2]7UnivActwithConsUnit'!$B:$B,$B90,'[2]7UnivActwithConsUnit'!H:H)+SUMIF('[2]8CollegeAct'!$B:$B,$B90,'[2]8CollegeAct'!H:H)+SUMIF(#REF!,$B90,#REF!)</f>
        <v>214</v>
      </c>
      <c r="G90" s="154">
        <f ca="1">SUMIF('[2]7UnivActwithConsUnit'!$B:$B,$B90,'[2]7UnivActwithConsUnit'!I:I)+SUMIF('[2]8CollegeAct'!$B:$B,$B90,'[2]8CollegeAct'!I:I)+SUMIF(#REF!,$B90,#REF!)</f>
        <v>332</v>
      </c>
      <c r="H90" s="154">
        <f ca="1">SUMIF('[2]7UnivActwithConsUnit'!$B:$B,$B90,'[2]7UnivActwithConsUnit'!J:J)+SUMIF('[2]10CollegeEst'!$B:$B,$B90,'[2]10CollegeEst'!B:B)+SUMIF(#REF!,$B90,#REF!)</f>
        <v>12488</v>
      </c>
      <c r="I90" s="154">
        <f ca="1">SUMIF('[2]7UnivActwithConsUnit'!$B:$B,$B90,'[2]7UnivActwithConsUnit'!K:K)+SUMIF('[2]10CollegeEst'!$B:$B,$B90,'[2]10CollegeEst'!C:C)+SUMIF(#REF!,$B90,#REF!)</f>
        <v>16079</v>
      </c>
      <c r="J90" s="154">
        <f ca="1">SUMIF('[2]7UnivActwithConsUnit'!$B:$B,$B90,'[2]7UnivActwithConsUnit'!L:L)+SUMIF('[2]10CollegeEst'!$B:$B,$B90,'[2]10CollegeEst'!D:D)+SUMIF(#REF!,$B90,#REF!)</f>
        <v>28567</v>
      </c>
      <c r="K90" s="715">
        <f ca="1">SUMIF('[2]7UnivActwithConsUnit'!$B:$B,$B90,'[2]7UnivActwithConsUnit'!M:M)+SUMIF('[2]10CollegeEst'!$B:$B,$B90,'[2]10CollegeEst'!E:E)+SUMIF(#REF!,$B90,#REF!)</f>
        <v>107453</v>
      </c>
      <c r="L90" s="154">
        <f ca="1">SUMIF('[2]7UnivActwithConsUnit'!$B:$B,$B90,'[2]7UnivActwithConsUnit'!N:N)+SUMIF('[2]10CollegeEst'!$B:$B,$B90,'[2]10CollegeEst'!F:F)+SUMIF(#REF!,$B90,#REF!)</f>
        <v>129428</v>
      </c>
      <c r="M90" s="154">
        <f ca="1">SUMIF('[2]7UnivActwithConsUnit'!$B:$B,$B90,'[2]7UnivActwithConsUnit'!O:O)+SUMIF('[2]10CollegeEst'!$B:$B,$B90,'[2]10CollegeEst'!G:G)+SUMIF(#REF!,$B90,#REF!)</f>
        <v>236881</v>
      </c>
      <c r="N90" s="154">
        <f ca="1">SUMIF('[2]7UnivActwithConsUnit'!$B:$B,$B90,'[2]7UnivActwithConsUnit'!P:P)+SUMIF('[2]8CollegeAct'!$B:$B,$B90,'[2]8CollegeAct'!P:P)+SUMIF(#REF!,$B90,#REF!)</f>
        <v>1049</v>
      </c>
      <c r="O90" s="154">
        <f ca="1">SUMIF('[2]7UnivActwithConsUnit'!$B:$B,$B90,'[2]7UnivActwithConsUnit'!Q:Q)+SUMIF('[2]8CollegeAct'!$B:$B,$B90,'[2]8CollegeAct'!Q:Q)+SUMIF(#REF!,$B90,#REF!)</f>
        <v>1240</v>
      </c>
      <c r="P90" s="154">
        <f ca="1">SUMIF('[2]7UnivActwithConsUnit'!$B:$B,$B90,'[2]7UnivActwithConsUnit'!R:R)+SUMIF('[2]8CollegeAct'!$B:$B,$B90,'[2]8CollegeAct'!R:R)+SUMIF(#REF!,$B90,#REF!)</f>
        <v>2289</v>
      </c>
      <c r="Q90" s="154">
        <f ca="1">SUMIF('[2]7UnivActwithConsUnit'!$B:$B,$B90,'[2]7UnivActwithConsUnit'!S:S)+SUMIF('[2]8CollegeAct'!$B:$B,$B90,'[2]8CollegeAct'!S:S)+SUMIF(#REF!,$B90,#REF!)</f>
        <v>8515</v>
      </c>
      <c r="R90" s="154">
        <f ca="1">SUMIF('[2]7UnivActwithConsUnit'!$B:$B,$B90,'[2]7UnivActwithConsUnit'!T:T)+SUMIF('[2]8CollegeAct'!$B:$B,$B90,'[2]8CollegeAct'!T:T)+SUMIF(#REF!,$B90,#REF!)</f>
        <v>8198</v>
      </c>
      <c r="S90" s="154">
        <f ca="1">SUMIF('[2]7UnivActwithConsUnit'!$B:$B,$B90,'[2]7UnivActwithConsUnit'!U:U)+SUMIF('[2]8CollegeAct'!$B:$B,$B90,'[2]8CollegeAct'!U:U)+SUMIF(#REF!,$B90,#REF!)</f>
        <v>16713</v>
      </c>
      <c r="T90" s="715">
        <f ca="1">SUMIF('[2]7UnivActwithConsUnit'!$B:$B,$B90,'[2]7UnivActwithConsUnit'!V:V)+SUMIF('[2]8CollegeAct'!$B:$B,$B90,'[2]8CollegeAct'!V:V)+SUMIF(#REF!,$B90,#REF!)</f>
        <v>591</v>
      </c>
      <c r="U90" s="154">
        <f ca="1">SUMIF('[2]7UnivActwithConsUnit'!$B:$B,$B90,'[2]7UnivActwithConsUnit'!W:W)+SUMIF('[2]8CollegeAct'!$B:$B,$B90,'[2]8CollegeAct'!W:W)+SUMIF(#REF!,$B90,#REF!)</f>
        <v>678</v>
      </c>
      <c r="V90" s="154">
        <f ca="1">SUMIF('[2]7UnivActwithConsUnit'!$B:$B,$B90,'[2]7UnivActwithConsUnit'!X:X)+SUMIF('[2]8CollegeAct'!$B:$B,$B90,'[2]8CollegeAct'!X:X)+SUMIF(#REF!,$B90,#REF!)</f>
        <v>1269</v>
      </c>
      <c r="W90" s="154">
        <f ca="1">SUMIF('[2]7UnivActwithConsUnit'!$B:$B,$B90,'[2]7UnivActwithConsUnit'!Y:Y)+SUMIF('[2]8CollegeAct'!$B:$B,$B90,'[2]8CollegeAct'!Y:Y)+SUMIF(#REF!,$B90,#REF!)</f>
        <v>990</v>
      </c>
      <c r="X90" s="154">
        <f ca="1">SUMIF('[2]7UnivActwithConsUnit'!$B:$B,$B90,'[2]7UnivActwithConsUnit'!Z:Z)+SUMIF('[2]8CollegeAct'!$B:$B,$B90,'[2]8CollegeAct'!Z:Z)+SUMIF(#REF!,$B90,#REF!)</f>
        <v>523</v>
      </c>
      <c r="Y90" s="154">
        <f ca="1">SUMIF('[2]7UnivActwithConsUnit'!$B:$B,$B90,'[2]7UnivActwithConsUnit'!AA:AA)+SUMIF('[2]8CollegeAct'!$B:$B,$B90,'[2]8CollegeAct'!AA:AA)+SUMIF(#REF!,$B90,#REF!)</f>
        <v>1513</v>
      </c>
      <c r="Z90" s="155">
        <f t="shared" ref="Z90:AA90" ca="1" si="59">B90+E90+H90+K90+N90+Q90+T90+W90</f>
        <v>132231</v>
      </c>
      <c r="AA90" s="155">
        <f t="shared" ca="1" si="59"/>
        <v>157257</v>
      </c>
      <c r="AB90" s="155">
        <f t="shared" ref="AB90" ca="1" si="60">Z90+AA90</f>
        <v>289488</v>
      </c>
    </row>
    <row r="91" spans="1:28">
      <c r="A91" s="541" t="s">
        <v>831</v>
      </c>
      <c r="B91" s="515">
        <v>1121</v>
      </c>
      <c r="C91" s="515">
        <v>794</v>
      </c>
      <c r="D91" s="515">
        <v>1915</v>
      </c>
      <c r="E91" s="515">
        <v>95</v>
      </c>
      <c r="F91" s="515">
        <v>179</v>
      </c>
      <c r="G91" s="515">
        <v>274</v>
      </c>
      <c r="H91" s="515">
        <v>12156</v>
      </c>
      <c r="I91" s="515">
        <v>15978</v>
      </c>
      <c r="J91" s="515">
        <v>28134</v>
      </c>
      <c r="K91" s="549">
        <v>105035</v>
      </c>
      <c r="L91" s="515">
        <v>127077</v>
      </c>
      <c r="M91" s="515">
        <v>232112</v>
      </c>
      <c r="N91" s="515">
        <v>876</v>
      </c>
      <c r="O91" s="515">
        <v>717</v>
      </c>
      <c r="P91" s="515">
        <v>1593</v>
      </c>
      <c r="Q91" s="515">
        <v>8354</v>
      </c>
      <c r="R91" s="515">
        <v>8197</v>
      </c>
      <c r="S91" s="515">
        <v>16551</v>
      </c>
      <c r="T91" s="549">
        <v>899</v>
      </c>
      <c r="U91" s="515">
        <v>1050</v>
      </c>
      <c r="V91" s="515">
        <v>1949</v>
      </c>
      <c r="W91" s="515">
        <v>913</v>
      </c>
      <c r="X91" s="515">
        <v>419</v>
      </c>
      <c r="Y91" s="515">
        <v>1332</v>
      </c>
      <c r="Z91" s="515">
        <v>129449</v>
      </c>
      <c r="AA91" s="515">
        <v>154411</v>
      </c>
      <c r="AB91" s="515">
        <v>283860</v>
      </c>
    </row>
    <row r="92" spans="1:28">
      <c r="A92" s="541" t="s">
        <v>830</v>
      </c>
      <c r="B92" s="543">
        <v>906</v>
      </c>
      <c r="C92" s="543">
        <v>794</v>
      </c>
      <c r="D92" s="543">
        <v>1700</v>
      </c>
      <c r="E92" s="543">
        <v>92</v>
      </c>
      <c r="F92" s="543">
        <v>167</v>
      </c>
      <c r="G92" s="543">
        <v>259</v>
      </c>
      <c r="H92" s="543">
        <v>15003</v>
      </c>
      <c r="I92" s="543">
        <v>17158</v>
      </c>
      <c r="J92" s="543">
        <v>32161</v>
      </c>
      <c r="K92" s="714">
        <v>102122</v>
      </c>
      <c r="L92" s="543">
        <v>118598</v>
      </c>
      <c r="M92" s="543">
        <v>220720</v>
      </c>
      <c r="N92" s="543">
        <v>930</v>
      </c>
      <c r="O92" s="543">
        <v>1180</v>
      </c>
      <c r="P92" s="543">
        <v>2110</v>
      </c>
      <c r="Q92" s="543">
        <v>7949</v>
      </c>
      <c r="R92" s="543">
        <v>8227</v>
      </c>
      <c r="S92" s="543">
        <v>16176</v>
      </c>
      <c r="T92" s="714">
        <v>572</v>
      </c>
      <c r="U92" s="543">
        <v>851</v>
      </c>
      <c r="V92" s="543">
        <v>1423</v>
      </c>
      <c r="W92" s="543">
        <v>762</v>
      </c>
      <c r="X92" s="543">
        <v>397</v>
      </c>
      <c r="Y92" s="543">
        <v>1159</v>
      </c>
      <c r="Z92" s="200">
        <f t="shared" ref="Z92:AB92" si="61">B92+E92+H92+K92+N92+Q92+T92+W92</f>
        <v>128336</v>
      </c>
      <c r="AA92" s="200">
        <f t="shared" si="61"/>
        <v>147372</v>
      </c>
      <c r="AB92" s="200">
        <f t="shared" si="61"/>
        <v>275708</v>
      </c>
    </row>
    <row r="93" spans="1:28">
      <c r="A93" s="541" t="s">
        <v>829</v>
      </c>
      <c r="B93" s="544">
        <v>721</v>
      </c>
      <c r="C93" s="544">
        <v>608</v>
      </c>
      <c r="D93" s="265">
        <v>1329</v>
      </c>
      <c r="E93" s="544">
        <v>104</v>
      </c>
      <c r="F93" s="544">
        <v>163</v>
      </c>
      <c r="G93" s="265">
        <v>267</v>
      </c>
      <c r="H93" s="544">
        <v>12979</v>
      </c>
      <c r="I93" s="544">
        <v>16985</v>
      </c>
      <c r="J93" s="265">
        <v>29964</v>
      </c>
      <c r="K93" s="716">
        <v>102424</v>
      </c>
      <c r="L93" s="544">
        <v>117523</v>
      </c>
      <c r="M93" s="265">
        <v>219947</v>
      </c>
      <c r="N93" s="544">
        <v>623</v>
      </c>
      <c r="O93" s="544">
        <v>757</v>
      </c>
      <c r="P93" s="265">
        <v>1380</v>
      </c>
      <c r="Q93" s="544">
        <v>7929</v>
      </c>
      <c r="R93" s="544">
        <v>7536</v>
      </c>
      <c r="S93" s="265">
        <v>15465</v>
      </c>
      <c r="T93" s="716">
        <v>425</v>
      </c>
      <c r="U93" s="544">
        <v>517</v>
      </c>
      <c r="V93" s="265">
        <v>942</v>
      </c>
      <c r="W93" s="544">
        <v>647</v>
      </c>
      <c r="X93" s="544">
        <v>269</v>
      </c>
      <c r="Y93" s="265">
        <v>916</v>
      </c>
      <c r="Z93" s="265">
        <v>125852</v>
      </c>
      <c r="AA93" s="265">
        <v>144358</v>
      </c>
      <c r="AB93" s="265">
        <f t="shared" ref="AB93" si="62">SUM(Z93+AA93)</f>
        <v>270210</v>
      </c>
    </row>
    <row r="94" spans="1:28">
      <c r="A94" s="514" t="s">
        <v>828</v>
      </c>
      <c r="B94" s="515">
        <v>590</v>
      </c>
      <c r="C94" s="515">
        <v>588</v>
      </c>
      <c r="D94" s="515">
        <v>1178</v>
      </c>
      <c r="E94" s="515">
        <v>103</v>
      </c>
      <c r="F94" s="515">
        <v>175</v>
      </c>
      <c r="G94" s="515">
        <v>278</v>
      </c>
      <c r="H94" s="515">
        <v>12567</v>
      </c>
      <c r="I94" s="515">
        <v>16202</v>
      </c>
      <c r="J94" s="515">
        <v>28769</v>
      </c>
      <c r="K94" s="549">
        <v>89754</v>
      </c>
      <c r="L94" s="515">
        <v>101987</v>
      </c>
      <c r="M94" s="515">
        <v>191741</v>
      </c>
      <c r="N94" s="515">
        <v>395</v>
      </c>
      <c r="O94" s="515">
        <v>654</v>
      </c>
      <c r="P94" s="515">
        <v>1049</v>
      </c>
      <c r="Q94" s="515">
        <v>9576</v>
      </c>
      <c r="R94" s="515">
        <v>7427</v>
      </c>
      <c r="S94" s="515">
        <v>17003</v>
      </c>
      <c r="T94" s="549">
        <v>502</v>
      </c>
      <c r="U94" s="515">
        <v>503</v>
      </c>
      <c r="V94" s="515">
        <v>1005</v>
      </c>
      <c r="W94" s="515">
        <v>501</v>
      </c>
      <c r="X94" s="515">
        <v>181</v>
      </c>
      <c r="Y94" s="515">
        <v>682</v>
      </c>
      <c r="Z94" s="515">
        <f t="shared" ref="Z94:AB94" si="63">B94+E94+H94+K94+N94+Q94+T94+W94</f>
        <v>113988</v>
      </c>
      <c r="AA94" s="515">
        <f t="shared" si="63"/>
        <v>127717</v>
      </c>
      <c r="AB94" s="515">
        <f t="shared" si="63"/>
        <v>241705</v>
      </c>
    </row>
    <row r="95" spans="1:28" ht="15">
      <c r="A95" s="579" t="s">
        <v>57</v>
      </c>
      <c r="B95" s="551"/>
      <c r="C95" s="551"/>
      <c r="D95" s="551"/>
      <c r="E95" s="551"/>
      <c r="F95" s="551"/>
      <c r="G95" s="551"/>
      <c r="H95" s="551"/>
      <c r="I95" s="551"/>
      <c r="J95" s="552"/>
      <c r="K95" s="551"/>
      <c r="L95" s="551"/>
      <c r="M95" s="551"/>
      <c r="N95" s="551"/>
      <c r="O95" s="551"/>
      <c r="P95" s="551"/>
      <c r="Q95" s="551"/>
      <c r="R95" s="551"/>
      <c r="S95" s="552"/>
      <c r="T95" s="551"/>
      <c r="U95" s="551"/>
      <c r="V95" s="551"/>
      <c r="W95" s="551"/>
      <c r="X95" s="551"/>
      <c r="Y95" s="551"/>
      <c r="Z95" s="551"/>
      <c r="AA95" s="551"/>
      <c r="AB95" s="552"/>
    </row>
    <row r="96" spans="1:28">
      <c r="A96" s="541" t="s">
        <v>832</v>
      </c>
      <c r="B96" s="154">
        <f ca="1">SUMIF('[2]7UnivActwithConsUnit'!$B:$B,$B96,'[2]7UnivActwithConsUnit'!D:D)+SUMIF('[2]8CollegeAct'!$B:$B,$B96,'[2]8CollegeAct'!D:D)+SUMIF(#REF!,$B96,#REF!)</f>
        <v>2080</v>
      </c>
      <c r="C96" s="154">
        <f ca="1">SUMIF('[2]7UnivActwithConsUnit'!$B:$B,$B96,'[2]7UnivActwithConsUnit'!E:E)+SUMIF('[2]8CollegeAct'!$B:$B,$B96,'[2]8CollegeAct'!E:E)+SUMIF(#REF!,$B96,#REF!)</f>
        <v>1909</v>
      </c>
      <c r="D96" s="154">
        <f ca="1">SUMIF('[2]7UnivActwithConsUnit'!$B:$B,$B96,'[2]7UnivActwithConsUnit'!F:F)+SUMIF('[2]8CollegeAct'!$B:$B,$B96,'[2]8CollegeAct'!F:F)+SUMIF(#REF!,$B96,#REF!)</f>
        <v>3989</v>
      </c>
      <c r="E96" s="154">
        <f ca="1">SUMIF('[2]7UnivActwithConsUnit'!$B:$B,$B96,'[2]7UnivActwithConsUnit'!G:G)+SUMIF('[2]8CollegeAct'!$B:$B,$B96,'[2]8CollegeAct'!G:G)+SUMIF(#REF!,$B96,#REF!)</f>
        <v>94</v>
      </c>
      <c r="F96" s="154">
        <f ca="1">SUMIF('[2]7UnivActwithConsUnit'!$B:$B,$B96,'[2]7UnivActwithConsUnit'!H:H)+SUMIF('[2]8CollegeAct'!$B:$B,$B96,'[2]8CollegeAct'!H:H)+SUMIF(#REF!,$B96,#REF!)</f>
        <v>156</v>
      </c>
      <c r="G96" s="154">
        <f ca="1">SUMIF('[2]7UnivActwithConsUnit'!$B:$B,$B96,'[2]7UnivActwithConsUnit'!I:I)+SUMIF('[2]8CollegeAct'!$B:$B,$B96,'[2]8CollegeAct'!I:I)+SUMIF(#REF!,$B96,#REF!)</f>
        <v>250</v>
      </c>
      <c r="H96" s="154">
        <f ca="1">SUMIF('[2]7UnivActwithConsUnit'!$B:$B,$B96,'[2]7UnivActwithConsUnit'!J:J)+SUMIF('[2]10CollegeEst'!$B:$B,$B96,'[2]10CollegeEst'!B:B)+SUMIF(#REF!,$B96,#REF!)</f>
        <v>28673</v>
      </c>
      <c r="I96" s="154">
        <f ca="1">SUMIF('[2]7UnivActwithConsUnit'!$B:$B,$B96,'[2]7UnivActwithConsUnit'!K:K)+SUMIF('[2]10CollegeEst'!$B:$B,$B96,'[2]10CollegeEst'!C:C)+SUMIF(#REF!,$B96,#REF!)</f>
        <v>34950</v>
      </c>
      <c r="J96" s="154">
        <f ca="1">SUMIF('[2]7UnivActwithConsUnit'!$B:$B,$B96,'[2]7UnivActwithConsUnit'!L:L)+SUMIF('[2]10CollegeEst'!$B:$B,$B96,'[2]10CollegeEst'!D:D)+SUMIF(#REF!,$B96,#REF!)</f>
        <v>63623</v>
      </c>
      <c r="K96" s="715">
        <f ca="1">SUMIF('[2]7UnivActwithConsUnit'!$B:$B,$B96,'[2]7UnivActwithConsUnit'!M:M)+SUMIF('[2]10CollegeEst'!$B:$B,$B96,'[2]10CollegeEst'!E:E)+SUMIF(#REF!,$B96,#REF!)</f>
        <v>154680</v>
      </c>
      <c r="L96" s="154">
        <f ca="1">SUMIF('[2]7UnivActwithConsUnit'!$B:$B,$B96,'[2]7UnivActwithConsUnit'!N:N)+SUMIF('[2]10CollegeEst'!$B:$B,$B96,'[2]10CollegeEst'!F:F)+SUMIF(#REF!,$B96,#REF!)</f>
        <v>147209</v>
      </c>
      <c r="M96" s="154">
        <f ca="1">SUMIF('[2]7UnivActwithConsUnit'!$B:$B,$B96,'[2]7UnivActwithConsUnit'!O:O)+SUMIF('[2]10CollegeEst'!$B:$B,$B96,'[2]10CollegeEst'!G:G)+SUMIF(#REF!,$B96,#REF!)</f>
        <v>301889</v>
      </c>
      <c r="N96" s="154">
        <f ca="1">SUMIF('[2]7UnivActwithConsUnit'!$B:$B,$B96,'[2]7UnivActwithConsUnit'!P:P)+SUMIF('[2]8CollegeAct'!$B:$B,$B96,'[2]8CollegeAct'!P:P)+SUMIF(#REF!,$B96,#REF!)</f>
        <v>931</v>
      </c>
      <c r="O96" s="154">
        <f ca="1">SUMIF('[2]7UnivActwithConsUnit'!$B:$B,$B96,'[2]7UnivActwithConsUnit'!Q:Q)+SUMIF('[2]8CollegeAct'!$B:$B,$B96,'[2]8CollegeAct'!Q:Q)+SUMIF(#REF!,$B96,#REF!)</f>
        <v>620</v>
      </c>
      <c r="P96" s="154">
        <f ca="1">SUMIF('[2]7UnivActwithConsUnit'!$B:$B,$B96,'[2]7UnivActwithConsUnit'!R:R)+SUMIF('[2]8CollegeAct'!$B:$B,$B96,'[2]8CollegeAct'!R:R)+SUMIF(#REF!,$B96,#REF!)</f>
        <v>1551</v>
      </c>
      <c r="Q96" s="154">
        <f ca="1">SUMIF('[2]7UnivActwithConsUnit'!$B:$B,$B96,'[2]7UnivActwithConsUnit'!S:S)+SUMIF('[2]8CollegeAct'!$B:$B,$B96,'[2]8CollegeAct'!S:S)+SUMIF(#REF!,$B96,#REF!)</f>
        <v>8951</v>
      </c>
      <c r="R96" s="154">
        <f ca="1">SUMIF('[2]7UnivActwithConsUnit'!$B:$B,$B96,'[2]7UnivActwithConsUnit'!T:T)+SUMIF('[2]8CollegeAct'!$B:$B,$B96,'[2]8CollegeAct'!T:T)+SUMIF(#REF!,$B96,#REF!)</f>
        <v>6660</v>
      </c>
      <c r="S96" s="154">
        <f ca="1">SUMIF('[2]7UnivActwithConsUnit'!$B:$B,$B96,'[2]7UnivActwithConsUnit'!U:U)+SUMIF('[2]8CollegeAct'!$B:$B,$B96,'[2]8CollegeAct'!U:U)+SUMIF(#REF!,$B96,#REF!)</f>
        <v>15611</v>
      </c>
      <c r="T96" s="715">
        <f ca="1">SUMIF('[2]7UnivActwithConsUnit'!$B:$B,$B96,'[2]7UnivActwithConsUnit'!V:V)+SUMIF('[2]8CollegeAct'!$B:$B,$B96,'[2]8CollegeAct'!V:V)+SUMIF(#REF!,$B96,#REF!)</f>
        <v>994</v>
      </c>
      <c r="U96" s="154">
        <f ca="1">SUMIF('[2]7UnivActwithConsUnit'!$B:$B,$B96,'[2]7UnivActwithConsUnit'!W:W)+SUMIF('[2]8CollegeAct'!$B:$B,$B96,'[2]8CollegeAct'!W:W)+SUMIF(#REF!,$B96,#REF!)</f>
        <v>1123</v>
      </c>
      <c r="V96" s="154">
        <f ca="1">SUMIF('[2]7UnivActwithConsUnit'!$B:$B,$B96,'[2]7UnivActwithConsUnit'!X:X)+SUMIF('[2]8CollegeAct'!$B:$B,$B96,'[2]8CollegeAct'!X:X)+SUMIF(#REF!,$B96,#REF!)</f>
        <v>2117</v>
      </c>
      <c r="W96" s="154">
        <f ca="1">SUMIF('[2]7UnivActwithConsUnit'!$B:$B,$B96,'[2]7UnivActwithConsUnit'!Y:Y)+SUMIF('[2]8CollegeAct'!$B:$B,$B96,'[2]8CollegeAct'!Y:Y)+SUMIF(#REF!,$B96,#REF!)</f>
        <v>2846</v>
      </c>
      <c r="X96" s="154">
        <f ca="1">SUMIF('[2]7UnivActwithConsUnit'!$B:$B,$B96,'[2]7UnivActwithConsUnit'!Z:Z)+SUMIF('[2]8CollegeAct'!$B:$B,$B96,'[2]8CollegeAct'!Z:Z)+SUMIF(#REF!,$B96,#REF!)</f>
        <v>3540</v>
      </c>
      <c r="Y96" s="154">
        <f ca="1">SUMIF('[2]7UnivActwithConsUnit'!$B:$B,$B96,'[2]7UnivActwithConsUnit'!AA:AA)+SUMIF('[2]8CollegeAct'!$B:$B,$B96,'[2]8CollegeAct'!AA:AA)+SUMIF(#REF!,$B96,#REF!)</f>
        <v>6386</v>
      </c>
      <c r="Z96" s="155">
        <f t="shared" ref="Z96:AA96" ca="1" si="64">B96+E96+H96+K96+N96+Q96+T96+W96</f>
        <v>199249</v>
      </c>
      <c r="AA96" s="155">
        <f t="shared" ca="1" si="64"/>
        <v>196167</v>
      </c>
      <c r="AB96" s="155">
        <f t="shared" ref="AB96" ca="1" si="65">Z96+AA96</f>
        <v>395416</v>
      </c>
    </row>
    <row r="97" spans="1:28">
      <c r="A97" s="541" t="s">
        <v>831</v>
      </c>
      <c r="B97" s="515">
        <v>1392</v>
      </c>
      <c r="C97" s="515">
        <v>1291</v>
      </c>
      <c r="D97" s="515">
        <v>2683</v>
      </c>
      <c r="E97" s="515">
        <v>143</v>
      </c>
      <c r="F97" s="515">
        <v>174</v>
      </c>
      <c r="G97" s="515">
        <v>317</v>
      </c>
      <c r="H97" s="515">
        <v>29721</v>
      </c>
      <c r="I97" s="515">
        <v>36407</v>
      </c>
      <c r="J97" s="515">
        <v>66128</v>
      </c>
      <c r="K97" s="549">
        <v>151657</v>
      </c>
      <c r="L97" s="515">
        <v>152874</v>
      </c>
      <c r="M97" s="515">
        <v>304531</v>
      </c>
      <c r="N97" s="515">
        <v>1031</v>
      </c>
      <c r="O97" s="515">
        <v>719</v>
      </c>
      <c r="P97" s="515">
        <v>1750</v>
      </c>
      <c r="Q97" s="515">
        <v>8584</v>
      </c>
      <c r="R97" s="515">
        <v>4354</v>
      </c>
      <c r="S97" s="515">
        <v>12938</v>
      </c>
      <c r="T97" s="549">
        <v>124</v>
      </c>
      <c r="U97" s="515">
        <v>116</v>
      </c>
      <c r="V97" s="515">
        <v>240</v>
      </c>
      <c r="W97" s="515">
        <v>2618</v>
      </c>
      <c r="X97" s="515">
        <v>2894</v>
      </c>
      <c r="Y97" s="515">
        <v>5512</v>
      </c>
      <c r="Z97" s="515">
        <v>195270</v>
      </c>
      <c r="AA97" s="515">
        <v>198829</v>
      </c>
      <c r="AB97" s="515">
        <v>394099</v>
      </c>
    </row>
    <row r="98" spans="1:28">
      <c r="A98" s="541" t="s">
        <v>830</v>
      </c>
      <c r="B98" s="543">
        <v>1235</v>
      </c>
      <c r="C98" s="543">
        <v>1261</v>
      </c>
      <c r="D98" s="543">
        <v>2496</v>
      </c>
      <c r="E98" s="543">
        <v>119</v>
      </c>
      <c r="F98" s="543">
        <v>123</v>
      </c>
      <c r="G98" s="543">
        <v>242</v>
      </c>
      <c r="H98" s="543">
        <v>37273.65227753076</v>
      </c>
      <c r="I98" s="543">
        <v>34486.068873210868</v>
      </c>
      <c r="J98" s="543">
        <v>71759.721150741621</v>
      </c>
      <c r="K98" s="714">
        <v>127724.85163934874</v>
      </c>
      <c r="L98" s="543">
        <v>139845.2367343462</v>
      </c>
      <c r="M98" s="543">
        <v>267570.08837369492</v>
      </c>
      <c r="N98" s="543">
        <v>1254</v>
      </c>
      <c r="O98" s="543">
        <v>899</v>
      </c>
      <c r="P98" s="543">
        <v>2153</v>
      </c>
      <c r="Q98" s="543">
        <v>7875</v>
      </c>
      <c r="R98" s="543">
        <v>3716</v>
      </c>
      <c r="S98" s="543">
        <v>11591</v>
      </c>
      <c r="T98" s="714">
        <v>8</v>
      </c>
      <c r="U98" s="543">
        <v>3</v>
      </c>
      <c r="V98" s="543">
        <v>11</v>
      </c>
      <c r="W98" s="543">
        <v>1532</v>
      </c>
      <c r="X98" s="543">
        <v>1875</v>
      </c>
      <c r="Y98" s="543">
        <v>3407</v>
      </c>
      <c r="Z98" s="200">
        <f t="shared" ref="Z98:AB98" si="66">B98+E98+H98+K98+N98+Q98+T98+W98</f>
        <v>177021.5039168795</v>
      </c>
      <c r="AA98" s="200">
        <f t="shared" si="66"/>
        <v>182208.30560755706</v>
      </c>
      <c r="AB98" s="200">
        <f t="shared" si="66"/>
        <v>359229.80952443654</v>
      </c>
    </row>
    <row r="99" spans="1:28">
      <c r="A99" s="541" t="s">
        <v>829</v>
      </c>
      <c r="B99" s="544">
        <v>991</v>
      </c>
      <c r="C99" s="544">
        <v>977</v>
      </c>
      <c r="D99" s="265">
        <v>1968</v>
      </c>
      <c r="E99" s="544">
        <v>109</v>
      </c>
      <c r="F99" s="544">
        <v>143</v>
      </c>
      <c r="G99" s="265">
        <v>252</v>
      </c>
      <c r="H99" s="544">
        <v>30510</v>
      </c>
      <c r="I99" s="544">
        <v>40482</v>
      </c>
      <c r="J99" s="265">
        <v>70992</v>
      </c>
      <c r="K99" s="716">
        <v>119862</v>
      </c>
      <c r="L99" s="544">
        <v>129782</v>
      </c>
      <c r="M99" s="265">
        <v>249644</v>
      </c>
      <c r="N99" s="544">
        <v>1239</v>
      </c>
      <c r="O99" s="544">
        <v>836</v>
      </c>
      <c r="P99" s="265">
        <v>2075</v>
      </c>
      <c r="Q99" s="544">
        <v>7379</v>
      </c>
      <c r="R99" s="544">
        <v>3027</v>
      </c>
      <c r="S99" s="265">
        <v>10406</v>
      </c>
      <c r="T99" s="716">
        <v>23</v>
      </c>
      <c r="U99" s="544">
        <v>4</v>
      </c>
      <c r="V99" s="265">
        <v>27</v>
      </c>
      <c r="W99" s="544">
        <v>1021</v>
      </c>
      <c r="X99" s="544">
        <v>1465</v>
      </c>
      <c r="Y99" s="265">
        <v>2486</v>
      </c>
      <c r="Z99" s="265">
        <v>161134</v>
      </c>
      <c r="AA99" s="265">
        <v>176716</v>
      </c>
      <c r="AB99" s="265">
        <f t="shared" ref="AB99" si="67">SUM(Z99+AA99)</f>
        <v>337850</v>
      </c>
    </row>
    <row r="100" spans="1:28">
      <c r="A100" s="514" t="s">
        <v>828</v>
      </c>
      <c r="B100" s="515">
        <v>985</v>
      </c>
      <c r="C100" s="515">
        <v>854</v>
      </c>
      <c r="D100" s="515">
        <v>1839</v>
      </c>
      <c r="E100" s="515">
        <v>170</v>
      </c>
      <c r="F100" s="515">
        <v>196</v>
      </c>
      <c r="G100" s="515">
        <v>366</v>
      </c>
      <c r="H100" s="515">
        <v>37819</v>
      </c>
      <c r="I100" s="515">
        <v>39758</v>
      </c>
      <c r="J100" s="515">
        <v>77577</v>
      </c>
      <c r="K100" s="549">
        <v>114189</v>
      </c>
      <c r="L100" s="515">
        <v>124641</v>
      </c>
      <c r="M100" s="515">
        <v>238830</v>
      </c>
      <c r="N100" s="515">
        <v>900</v>
      </c>
      <c r="O100" s="515">
        <v>674</v>
      </c>
      <c r="P100" s="515">
        <v>1574</v>
      </c>
      <c r="Q100" s="515">
        <v>7346</v>
      </c>
      <c r="R100" s="515">
        <v>2567</v>
      </c>
      <c r="S100" s="515">
        <v>9913</v>
      </c>
      <c r="T100" s="549">
        <v>10</v>
      </c>
      <c r="U100" s="515">
        <v>4</v>
      </c>
      <c r="V100" s="515">
        <v>14</v>
      </c>
      <c r="W100" s="515">
        <v>1129</v>
      </c>
      <c r="X100" s="515">
        <v>1314</v>
      </c>
      <c r="Y100" s="515">
        <v>2443</v>
      </c>
      <c r="Z100" s="515">
        <f t="shared" ref="Z100:AB100" si="68">B100+E100+H100+K100+N100+Q100+T100+W100</f>
        <v>162548</v>
      </c>
      <c r="AA100" s="515">
        <f t="shared" si="68"/>
        <v>170008</v>
      </c>
      <c r="AB100" s="515">
        <f t="shared" si="68"/>
        <v>332556</v>
      </c>
    </row>
    <row r="101" spans="1:28" ht="15">
      <c r="A101" s="579" t="s">
        <v>29</v>
      </c>
      <c r="B101" s="551"/>
      <c r="C101" s="551"/>
      <c r="D101" s="551"/>
      <c r="E101" s="551"/>
      <c r="F101" s="551"/>
      <c r="G101" s="551"/>
      <c r="H101" s="551"/>
      <c r="I101" s="551"/>
      <c r="J101" s="552"/>
      <c r="K101" s="551"/>
      <c r="L101" s="551"/>
      <c r="M101" s="551"/>
      <c r="N101" s="551"/>
      <c r="O101" s="551"/>
      <c r="P101" s="551"/>
      <c r="Q101" s="551"/>
      <c r="R101" s="551"/>
      <c r="S101" s="552"/>
      <c r="T101" s="551"/>
      <c r="U101" s="551"/>
      <c r="V101" s="551"/>
      <c r="W101" s="551"/>
      <c r="X101" s="551"/>
      <c r="Y101" s="551"/>
      <c r="Z101" s="551"/>
      <c r="AA101" s="551"/>
      <c r="AB101" s="552"/>
    </row>
    <row r="102" spans="1:28">
      <c r="A102" s="541" t="s">
        <v>832</v>
      </c>
      <c r="B102" s="154">
        <f ca="1">SUMIF('[2]7UnivActwithConsUnit'!$B:$B,$B102,'[2]7UnivActwithConsUnit'!D:D)+SUMIF('[2]8CollegeAct'!$B:$B,$B102,'[2]8CollegeAct'!D:D)+SUMIF(#REF!,$B102,#REF!)</f>
        <v>2469</v>
      </c>
      <c r="C102" s="154">
        <f ca="1">SUMIF('[2]7UnivActwithConsUnit'!$B:$B,$B102,'[2]7UnivActwithConsUnit'!E:E)+SUMIF('[2]8CollegeAct'!$B:$B,$B102,'[2]8CollegeAct'!E:E)+SUMIF(#REF!,$B102,#REF!)</f>
        <v>1020</v>
      </c>
      <c r="D102" s="154">
        <f ca="1">SUMIF('[2]7UnivActwithConsUnit'!$B:$B,$B102,'[2]7UnivActwithConsUnit'!F:F)+SUMIF('[2]8CollegeAct'!$B:$B,$B102,'[2]8CollegeAct'!F:F)+SUMIF(#REF!,$B102,#REF!)</f>
        <v>3489</v>
      </c>
      <c r="E102" s="154">
        <f ca="1">SUMIF('[2]7UnivActwithConsUnit'!$B:$B,$B102,'[2]7UnivActwithConsUnit'!G:G)+SUMIF('[2]8CollegeAct'!$B:$B,$B102,'[2]8CollegeAct'!G:G)+SUMIF(#REF!,$B102,#REF!)</f>
        <v>33</v>
      </c>
      <c r="F102" s="154">
        <f ca="1">SUMIF('[2]7UnivActwithConsUnit'!$B:$B,$B102,'[2]7UnivActwithConsUnit'!H:H)+SUMIF('[2]8CollegeAct'!$B:$B,$B102,'[2]8CollegeAct'!H:H)+SUMIF(#REF!,$B102,#REF!)</f>
        <v>74</v>
      </c>
      <c r="G102" s="154">
        <f ca="1">SUMIF('[2]7UnivActwithConsUnit'!$B:$B,$B102,'[2]7UnivActwithConsUnit'!I:I)+SUMIF('[2]8CollegeAct'!$B:$B,$B102,'[2]8CollegeAct'!I:I)+SUMIF(#REF!,$B102,#REF!)</f>
        <v>107</v>
      </c>
      <c r="H102" s="154">
        <f ca="1">SUMIF('[2]7UnivActwithConsUnit'!$B:$B,$B102,'[2]7UnivActwithConsUnit'!J:J)+SUMIF('[2]10CollegeEst'!$B:$B,$B102,'[2]10CollegeEst'!B:B)+SUMIF(#REF!,$B102,#REF!)</f>
        <v>42783</v>
      </c>
      <c r="I102" s="154">
        <f ca="1">SUMIF('[2]7UnivActwithConsUnit'!$B:$B,$B102,'[2]7UnivActwithConsUnit'!K:K)+SUMIF('[2]10CollegeEst'!$B:$B,$B102,'[2]10CollegeEst'!C:C)+SUMIF(#REF!,$B102,#REF!)</f>
        <v>63051</v>
      </c>
      <c r="J102" s="154">
        <f ca="1">SUMIF('[2]7UnivActwithConsUnit'!$B:$B,$B102,'[2]7UnivActwithConsUnit'!L:L)+SUMIF('[2]10CollegeEst'!$B:$B,$B102,'[2]10CollegeEst'!D:D)+SUMIF(#REF!,$B102,#REF!)</f>
        <v>105834</v>
      </c>
      <c r="K102" s="715">
        <f ca="1">SUMIF('[2]7UnivActwithConsUnit'!$B:$B,$B102,'[2]7UnivActwithConsUnit'!M:M)+SUMIF('[2]10CollegeEst'!$B:$B,$B102,'[2]10CollegeEst'!E:E)+SUMIF(#REF!,$B102,#REF!)</f>
        <v>330828</v>
      </c>
      <c r="L102" s="154">
        <f ca="1">SUMIF('[2]7UnivActwithConsUnit'!$B:$B,$B102,'[2]7UnivActwithConsUnit'!N:N)+SUMIF('[2]10CollegeEst'!$B:$B,$B102,'[2]10CollegeEst'!F:F)+SUMIF(#REF!,$B102,#REF!)</f>
        <v>329263</v>
      </c>
      <c r="M102" s="154">
        <f ca="1">SUMIF('[2]7UnivActwithConsUnit'!$B:$B,$B102,'[2]7UnivActwithConsUnit'!O:O)+SUMIF('[2]10CollegeEst'!$B:$B,$B102,'[2]10CollegeEst'!G:G)+SUMIF(#REF!,$B102,#REF!)</f>
        <v>660091</v>
      </c>
      <c r="N102" s="154">
        <f ca="1">SUMIF('[2]7UnivActwithConsUnit'!$B:$B,$B102,'[2]7UnivActwithConsUnit'!P:P)+SUMIF('[2]8CollegeAct'!$B:$B,$B102,'[2]8CollegeAct'!P:P)+SUMIF(#REF!,$B102,#REF!)</f>
        <v>3061</v>
      </c>
      <c r="O102" s="154">
        <f ca="1">SUMIF('[2]7UnivActwithConsUnit'!$B:$B,$B102,'[2]7UnivActwithConsUnit'!Q:Q)+SUMIF('[2]8CollegeAct'!$B:$B,$B102,'[2]8CollegeAct'!Q:Q)+SUMIF(#REF!,$B102,#REF!)</f>
        <v>1602</v>
      </c>
      <c r="P102" s="154">
        <f ca="1">SUMIF('[2]7UnivActwithConsUnit'!$B:$B,$B102,'[2]7UnivActwithConsUnit'!R:R)+SUMIF('[2]8CollegeAct'!$B:$B,$B102,'[2]8CollegeAct'!R:R)+SUMIF(#REF!,$B102,#REF!)</f>
        <v>4663</v>
      </c>
      <c r="Q102" s="154">
        <f ca="1">SUMIF('[2]7UnivActwithConsUnit'!$B:$B,$B102,'[2]7UnivActwithConsUnit'!S:S)+SUMIF('[2]8CollegeAct'!$B:$B,$B102,'[2]8CollegeAct'!S:S)+SUMIF(#REF!,$B102,#REF!)</f>
        <v>26918</v>
      </c>
      <c r="R102" s="154">
        <f ca="1">SUMIF('[2]7UnivActwithConsUnit'!$B:$B,$B102,'[2]7UnivActwithConsUnit'!T:T)+SUMIF('[2]8CollegeAct'!$B:$B,$B102,'[2]8CollegeAct'!T:T)+SUMIF(#REF!,$B102,#REF!)</f>
        <v>11213</v>
      </c>
      <c r="S102" s="154">
        <f ca="1">SUMIF('[2]7UnivActwithConsUnit'!$B:$B,$B102,'[2]7UnivActwithConsUnit'!U:U)+SUMIF('[2]8CollegeAct'!$B:$B,$B102,'[2]8CollegeAct'!U:U)+SUMIF(#REF!,$B102,#REF!)</f>
        <v>38131</v>
      </c>
      <c r="T102" s="715">
        <f ca="1">SUMIF('[2]7UnivActwithConsUnit'!$B:$B,$B102,'[2]7UnivActwithConsUnit'!V:V)+SUMIF('[2]8CollegeAct'!$B:$B,$B102,'[2]8CollegeAct'!V:V)+SUMIF(#REF!,$B102,#REF!)</f>
        <v>672</v>
      </c>
      <c r="U102" s="154">
        <f ca="1">SUMIF('[2]7UnivActwithConsUnit'!$B:$B,$B102,'[2]7UnivActwithConsUnit'!W:W)+SUMIF('[2]8CollegeAct'!$B:$B,$B102,'[2]8CollegeAct'!W:W)+SUMIF(#REF!,$B102,#REF!)</f>
        <v>1256</v>
      </c>
      <c r="V102" s="154">
        <f ca="1">SUMIF('[2]7UnivActwithConsUnit'!$B:$B,$B102,'[2]7UnivActwithConsUnit'!X:X)+SUMIF('[2]8CollegeAct'!$B:$B,$B102,'[2]8CollegeAct'!X:X)+SUMIF(#REF!,$B102,#REF!)</f>
        <v>1928</v>
      </c>
      <c r="W102" s="154">
        <f ca="1">SUMIF('[2]7UnivActwithConsUnit'!$B:$B,$B102,'[2]7UnivActwithConsUnit'!Y:Y)+SUMIF('[2]8CollegeAct'!$B:$B,$B102,'[2]8CollegeAct'!Y:Y)+SUMIF(#REF!,$B102,#REF!)</f>
        <v>2095</v>
      </c>
      <c r="X102" s="154">
        <f ca="1">SUMIF('[2]7UnivActwithConsUnit'!$B:$B,$B102,'[2]7UnivActwithConsUnit'!Z:Z)+SUMIF('[2]8CollegeAct'!$B:$B,$B102,'[2]8CollegeAct'!Z:Z)+SUMIF(#REF!,$B102,#REF!)</f>
        <v>1222</v>
      </c>
      <c r="Y102" s="154">
        <f ca="1">SUMIF('[2]7UnivActwithConsUnit'!$B:$B,$B102,'[2]7UnivActwithConsUnit'!AA:AA)+SUMIF('[2]8CollegeAct'!$B:$B,$B102,'[2]8CollegeAct'!AA:AA)+SUMIF(#REF!,$B102,#REF!)</f>
        <v>3317</v>
      </c>
      <c r="Z102" s="155">
        <f t="shared" ref="Z102:AA102" ca="1" si="69">B102+E102+H102+K102+N102+Q102+T102+W102</f>
        <v>408859</v>
      </c>
      <c r="AA102" s="155">
        <f t="shared" ca="1" si="69"/>
        <v>408701</v>
      </c>
      <c r="AB102" s="155">
        <f t="shared" ref="AB102" ca="1" si="70">Z102+AA102</f>
        <v>817560</v>
      </c>
    </row>
    <row r="103" spans="1:28">
      <c r="A103" s="541" t="s">
        <v>831</v>
      </c>
      <c r="B103" s="515">
        <v>2108</v>
      </c>
      <c r="C103" s="515">
        <v>795</v>
      </c>
      <c r="D103" s="515">
        <v>2903</v>
      </c>
      <c r="E103" s="515">
        <v>46</v>
      </c>
      <c r="F103" s="515">
        <v>110</v>
      </c>
      <c r="G103" s="515">
        <v>156</v>
      </c>
      <c r="H103" s="515">
        <v>33887</v>
      </c>
      <c r="I103" s="515">
        <v>47852</v>
      </c>
      <c r="J103" s="515">
        <v>81739</v>
      </c>
      <c r="K103" s="549">
        <v>311311</v>
      </c>
      <c r="L103" s="515">
        <v>299576</v>
      </c>
      <c r="M103" s="515">
        <v>610887</v>
      </c>
      <c r="N103" s="515">
        <v>3541</v>
      </c>
      <c r="O103" s="515">
        <v>1525</v>
      </c>
      <c r="P103" s="515">
        <v>5066</v>
      </c>
      <c r="Q103" s="515">
        <v>23940</v>
      </c>
      <c r="R103" s="515">
        <v>9279</v>
      </c>
      <c r="S103" s="515">
        <v>33219</v>
      </c>
      <c r="T103" s="549">
        <v>656</v>
      </c>
      <c r="U103" s="515">
        <v>1280</v>
      </c>
      <c r="V103" s="515">
        <v>1936</v>
      </c>
      <c r="W103" s="515">
        <v>2252</v>
      </c>
      <c r="X103" s="515">
        <v>1326</v>
      </c>
      <c r="Y103" s="515">
        <v>3578</v>
      </c>
      <c r="Z103" s="515">
        <v>377741</v>
      </c>
      <c r="AA103" s="515">
        <v>361743</v>
      </c>
      <c r="AB103" s="515">
        <v>739484</v>
      </c>
    </row>
    <row r="104" spans="1:28">
      <c r="A104" s="541" t="s">
        <v>830</v>
      </c>
      <c r="B104" s="543">
        <v>1158</v>
      </c>
      <c r="C104" s="543">
        <v>640</v>
      </c>
      <c r="D104" s="543">
        <v>1798</v>
      </c>
      <c r="E104" s="543">
        <v>79</v>
      </c>
      <c r="F104" s="543">
        <v>125</v>
      </c>
      <c r="G104" s="543">
        <v>204</v>
      </c>
      <c r="H104" s="543">
        <v>31720.148833576164</v>
      </c>
      <c r="I104" s="543">
        <v>37447.953000056877</v>
      </c>
      <c r="J104" s="543">
        <v>69168.101833633045</v>
      </c>
      <c r="K104" s="714">
        <v>294357.73487179331</v>
      </c>
      <c r="L104" s="543">
        <v>284420.39991410426</v>
      </c>
      <c r="M104" s="543">
        <v>578778.13478589756</v>
      </c>
      <c r="N104" s="543">
        <v>2753</v>
      </c>
      <c r="O104" s="543">
        <v>1250</v>
      </c>
      <c r="P104" s="543">
        <v>4003</v>
      </c>
      <c r="Q104" s="543">
        <v>21240</v>
      </c>
      <c r="R104" s="543">
        <v>8345</v>
      </c>
      <c r="S104" s="543">
        <v>29585</v>
      </c>
      <c r="T104" s="714">
        <v>471</v>
      </c>
      <c r="U104" s="543">
        <v>1070</v>
      </c>
      <c r="V104" s="543">
        <v>1541</v>
      </c>
      <c r="W104" s="543">
        <v>2316</v>
      </c>
      <c r="X104" s="543">
        <v>1329</v>
      </c>
      <c r="Y104" s="543">
        <v>3645</v>
      </c>
      <c r="Z104" s="200">
        <f t="shared" ref="Z104:AB104" si="71">B104+E104+H104+K104+N104+Q104+T104+W104</f>
        <v>354094.88370536949</v>
      </c>
      <c r="AA104" s="200">
        <f t="shared" si="71"/>
        <v>334627.35291416117</v>
      </c>
      <c r="AB104" s="200">
        <f t="shared" si="71"/>
        <v>688722.23661953059</v>
      </c>
    </row>
    <row r="105" spans="1:28">
      <c r="A105" s="541" t="s">
        <v>829</v>
      </c>
      <c r="B105" s="544">
        <v>1157</v>
      </c>
      <c r="C105" s="544">
        <v>648</v>
      </c>
      <c r="D105" s="265">
        <v>1805</v>
      </c>
      <c r="E105" s="544">
        <v>209</v>
      </c>
      <c r="F105" s="544">
        <v>368</v>
      </c>
      <c r="G105" s="265">
        <v>577</v>
      </c>
      <c r="H105" s="544">
        <v>28779</v>
      </c>
      <c r="I105" s="544">
        <v>36887</v>
      </c>
      <c r="J105" s="265">
        <v>65666</v>
      </c>
      <c r="K105" s="716">
        <v>297014</v>
      </c>
      <c r="L105" s="544">
        <v>272674</v>
      </c>
      <c r="M105" s="265">
        <v>569688</v>
      </c>
      <c r="N105" s="544">
        <v>2965</v>
      </c>
      <c r="O105" s="544">
        <v>1187</v>
      </c>
      <c r="P105" s="265">
        <v>4152</v>
      </c>
      <c r="Q105" s="544">
        <v>18710</v>
      </c>
      <c r="R105" s="544">
        <v>5471</v>
      </c>
      <c r="S105" s="265">
        <v>24181</v>
      </c>
      <c r="T105" s="716">
        <v>273</v>
      </c>
      <c r="U105" s="544">
        <v>832</v>
      </c>
      <c r="V105" s="265">
        <v>1105</v>
      </c>
      <c r="W105" s="544">
        <v>2378</v>
      </c>
      <c r="X105" s="544">
        <v>1485</v>
      </c>
      <c r="Y105" s="265">
        <v>3863</v>
      </c>
      <c r="Z105" s="265">
        <v>351485</v>
      </c>
      <c r="AA105" s="265">
        <v>319552</v>
      </c>
      <c r="AB105" s="265">
        <f t="shared" ref="AB105" si="72">SUM(Z105+AA105)</f>
        <v>671037</v>
      </c>
    </row>
    <row r="106" spans="1:28">
      <c r="A106" s="514" t="s">
        <v>828</v>
      </c>
      <c r="B106" s="515">
        <v>1726</v>
      </c>
      <c r="C106" s="515">
        <v>688</v>
      </c>
      <c r="D106" s="515">
        <v>2414</v>
      </c>
      <c r="E106" s="515">
        <v>109</v>
      </c>
      <c r="F106" s="515">
        <v>200</v>
      </c>
      <c r="G106" s="515">
        <v>309</v>
      </c>
      <c r="H106" s="515">
        <v>23260</v>
      </c>
      <c r="I106" s="515">
        <v>31353</v>
      </c>
      <c r="J106" s="515">
        <v>54613</v>
      </c>
      <c r="K106" s="549">
        <v>260996</v>
      </c>
      <c r="L106" s="515">
        <v>234312</v>
      </c>
      <c r="M106" s="515">
        <v>495308</v>
      </c>
      <c r="N106" s="515">
        <v>2622</v>
      </c>
      <c r="O106" s="515">
        <v>1133</v>
      </c>
      <c r="P106" s="515">
        <v>3755</v>
      </c>
      <c r="Q106" s="515">
        <v>14880</v>
      </c>
      <c r="R106" s="515">
        <v>3479</v>
      </c>
      <c r="S106" s="515">
        <v>18359</v>
      </c>
      <c r="T106" s="549">
        <v>118</v>
      </c>
      <c r="U106" s="515">
        <v>655</v>
      </c>
      <c r="V106" s="515">
        <v>773</v>
      </c>
      <c r="W106" s="515">
        <v>3299</v>
      </c>
      <c r="X106" s="515">
        <v>2813</v>
      </c>
      <c r="Y106" s="515">
        <v>6112</v>
      </c>
      <c r="Z106" s="515">
        <f t="shared" ref="Z106:AB106" si="73">B106+E106+H106+K106+N106+Q106+T106+W106</f>
        <v>307010</v>
      </c>
      <c r="AA106" s="515">
        <f t="shared" si="73"/>
        <v>274633</v>
      </c>
      <c r="AB106" s="515">
        <f t="shared" si="73"/>
        <v>581643</v>
      </c>
    </row>
    <row r="107" spans="1:28" ht="15">
      <c r="A107" s="579" t="s">
        <v>30</v>
      </c>
      <c r="B107" s="551"/>
      <c r="C107" s="551"/>
      <c r="D107" s="551"/>
      <c r="E107" s="551"/>
      <c r="F107" s="551"/>
      <c r="G107" s="551"/>
      <c r="H107" s="551"/>
      <c r="I107" s="551"/>
      <c r="J107" s="552"/>
      <c r="K107" s="551"/>
      <c r="L107" s="551"/>
      <c r="M107" s="551"/>
      <c r="N107" s="551"/>
      <c r="O107" s="551"/>
      <c r="P107" s="551"/>
      <c r="Q107" s="551"/>
      <c r="R107" s="551"/>
      <c r="S107" s="552"/>
      <c r="T107" s="551"/>
      <c r="U107" s="551"/>
      <c r="V107" s="551"/>
      <c r="W107" s="551"/>
      <c r="X107" s="551"/>
      <c r="Y107" s="551"/>
      <c r="Z107" s="551"/>
      <c r="AA107" s="551"/>
      <c r="AB107" s="552"/>
    </row>
    <row r="108" spans="1:28">
      <c r="A108" s="541" t="s">
        <v>832</v>
      </c>
      <c r="B108" s="154">
        <f ca="1">SUMIF('[2]7UnivActwithConsUnit'!$B:$B,$B108,'[2]7UnivActwithConsUnit'!D:D)+SUMIF('[2]8CollegeAct'!$B:$B,$B108,'[2]8CollegeAct'!D:D)+SUMIF(#REF!,$B108,#REF!)</f>
        <v>8422</v>
      </c>
      <c r="C108" s="154">
        <f ca="1">SUMIF('[2]7UnivActwithConsUnit'!$B:$B,$B108,'[2]7UnivActwithConsUnit'!E:E)+SUMIF('[2]8CollegeAct'!$B:$B,$B108,'[2]8CollegeAct'!E:E)+SUMIF(#REF!,$B108,#REF!)</f>
        <v>6566</v>
      </c>
      <c r="D108" s="154">
        <f ca="1">SUMIF('[2]7UnivActwithConsUnit'!$B:$B,$B108,'[2]7UnivActwithConsUnit'!F:F)+SUMIF('[2]8CollegeAct'!$B:$B,$B108,'[2]8CollegeAct'!F:F)+SUMIF(#REF!,$B108,#REF!)</f>
        <v>14988</v>
      </c>
      <c r="E108" s="154">
        <f ca="1">SUMIF('[2]7UnivActwithConsUnit'!$B:$B,$B108,'[2]7UnivActwithConsUnit'!G:G)+SUMIF('[2]8CollegeAct'!$B:$B,$B108,'[2]8CollegeAct'!G:G)+SUMIF(#REF!,$B108,#REF!)</f>
        <v>160</v>
      </c>
      <c r="F108" s="154">
        <f ca="1">SUMIF('[2]7UnivActwithConsUnit'!$B:$B,$B108,'[2]7UnivActwithConsUnit'!H:H)+SUMIF('[2]8CollegeAct'!$B:$B,$B108,'[2]8CollegeAct'!H:H)+SUMIF(#REF!,$B108,#REF!)</f>
        <v>368</v>
      </c>
      <c r="G108" s="154">
        <f ca="1">SUMIF('[2]7UnivActwithConsUnit'!$B:$B,$B108,'[2]7UnivActwithConsUnit'!I:I)+SUMIF('[2]8CollegeAct'!$B:$B,$B108,'[2]8CollegeAct'!I:I)+SUMIF(#REF!,$B108,#REF!)</f>
        <v>528</v>
      </c>
      <c r="H108" s="154">
        <f ca="1">SUMIF('[2]7UnivActwithConsUnit'!$B:$B,$B108,'[2]7UnivActwithConsUnit'!J:J)+SUMIF('[2]10CollegeEst'!$B:$B,$B108,'[2]10CollegeEst'!B:B)+SUMIF(#REF!,$B108,#REF!)</f>
        <v>104832</v>
      </c>
      <c r="I108" s="154">
        <f ca="1">SUMIF('[2]7UnivActwithConsUnit'!$B:$B,$B108,'[2]7UnivActwithConsUnit'!K:K)+SUMIF('[2]10CollegeEst'!$B:$B,$B108,'[2]10CollegeEst'!C:C)+SUMIF(#REF!,$B108,#REF!)</f>
        <v>134324</v>
      </c>
      <c r="J108" s="154">
        <f ca="1">SUMIF('[2]7UnivActwithConsUnit'!$B:$B,$B108,'[2]7UnivActwithConsUnit'!L:L)+SUMIF('[2]10CollegeEst'!$B:$B,$B108,'[2]10CollegeEst'!D:D)+SUMIF(#REF!,$B108,#REF!)</f>
        <v>239156</v>
      </c>
      <c r="K108" s="715">
        <f ca="1">SUMIF('[2]7UnivActwithConsUnit'!$B:$B,$B108,'[2]7UnivActwithConsUnit'!M:M)+SUMIF('[2]10CollegeEst'!$B:$B,$B108,'[2]10CollegeEst'!E:E)+SUMIF(#REF!,$B108,#REF!)</f>
        <v>848754</v>
      </c>
      <c r="L108" s="154">
        <f ca="1">SUMIF('[2]7UnivActwithConsUnit'!$B:$B,$B108,'[2]7UnivActwithConsUnit'!N:N)+SUMIF('[2]10CollegeEst'!$B:$B,$B108,'[2]10CollegeEst'!F:F)+SUMIF(#REF!,$B108,#REF!)</f>
        <v>865942</v>
      </c>
      <c r="M108" s="154">
        <f ca="1">SUMIF('[2]7UnivActwithConsUnit'!$B:$B,$B108,'[2]7UnivActwithConsUnit'!O:O)+SUMIF('[2]10CollegeEst'!$B:$B,$B108,'[2]10CollegeEst'!G:G)+SUMIF(#REF!,$B108,#REF!)</f>
        <v>1714696</v>
      </c>
      <c r="N108" s="154">
        <f ca="1">SUMIF('[2]7UnivActwithConsUnit'!$B:$B,$B108,'[2]7UnivActwithConsUnit'!P:P)+SUMIF('[2]8CollegeAct'!$B:$B,$B108,'[2]8CollegeAct'!P:P)+SUMIF(#REF!,$B108,#REF!)</f>
        <v>5429</v>
      </c>
      <c r="O108" s="154">
        <f ca="1">SUMIF('[2]7UnivActwithConsUnit'!$B:$B,$B108,'[2]7UnivActwithConsUnit'!Q:Q)+SUMIF('[2]8CollegeAct'!$B:$B,$B108,'[2]8CollegeAct'!Q:Q)+SUMIF(#REF!,$B108,#REF!)</f>
        <v>4444</v>
      </c>
      <c r="P108" s="154">
        <f ca="1">SUMIF('[2]7UnivActwithConsUnit'!$B:$B,$B108,'[2]7UnivActwithConsUnit'!R:R)+SUMIF('[2]8CollegeAct'!$B:$B,$B108,'[2]8CollegeAct'!R:R)+SUMIF(#REF!,$B108,#REF!)</f>
        <v>9873</v>
      </c>
      <c r="Q108" s="154">
        <f ca="1">SUMIF('[2]7UnivActwithConsUnit'!$B:$B,$B108,'[2]7UnivActwithConsUnit'!S:S)+SUMIF('[2]8CollegeAct'!$B:$B,$B108,'[2]8CollegeAct'!S:S)+SUMIF(#REF!,$B108,#REF!)</f>
        <v>113722</v>
      </c>
      <c r="R108" s="154">
        <f ca="1">SUMIF('[2]7UnivActwithConsUnit'!$B:$B,$B108,'[2]7UnivActwithConsUnit'!T:T)+SUMIF('[2]8CollegeAct'!$B:$B,$B108,'[2]8CollegeAct'!T:T)+SUMIF(#REF!,$B108,#REF!)</f>
        <v>80771</v>
      </c>
      <c r="S108" s="154">
        <f ca="1">SUMIF('[2]7UnivActwithConsUnit'!$B:$B,$B108,'[2]7UnivActwithConsUnit'!U:U)+SUMIF('[2]8CollegeAct'!$B:$B,$B108,'[2]8CollegeAct'!U:U)+SUMIF(#REF!,$B108,#REF!)</f>
        <v>194493</v>
      </c>
      <c r="T108" s="715">
        <f ca="1">SUMIF('[2]7UnivActwithConsUnit'!$B:$B,$B108,'[2]7UnivActwithConsUnit'!V:V)+SUMIF('[2]8CollegeAct'!$B:$B,$B108,'[2]8CollegeAct'!V:V)+SUMIF(#REF!,$B108,#REF!)</f>
        <v>1182</v>
      </c>
      <c r="U108" s="154">
        <f ca="1">SUMIF('[2]7UnivActwithConsUnit'!$B:$B,$B108,'[2]7UnivActwithConsUnit'!W:W)+SUMIF('[2]8CollegeAct'!$B:$B,$B108,'[2]8CollegeAct'!W:W)+SUMIF(#REF!,$B108,#REF!)</f>
        <v>1520</v>
      </c>
      <c r="V108" s="154">
        <f ca="1">SUMIF('[2]7UnivActwithConsUnit'!$B:$B,$B108,'[2]7UnivActwithConsUnit'!X:X)+SUMIF('[2]8CollegeAct'!$B:$B,$B108,'[2]8CollegeAct'!X:X)+SUMIF(#REF!,$B108,#REF!)</f>
        <v>2702</v>
      </c>
      <c r="W108" s="154">
        <f ca="1">SUMIF('[2]7UnivActwithConsUnit'!$B:$B,$B108,'[2]7UnivActwithConsUnit'!Y:Y)+SUMIF('[2]8CollegeAct'!$B:$B,$B108,'[2]8CollegeAct'!Y:Y)+SUMIF(#REF!,$B108,#REF!)</f>
        <v>6382</v>
      </c>
      <c r="X108" s="154">
        <f ca="1">SUMIF('[2]7UnivActwithConsUnit'!$B:$B,$B108,'[2]7UnivActwithConsUnit'!Z:Z)+SUMIF('[2]8CollegeAct'!$B:$B,$B108,'[2]8CollegeAct'!Z:Z)+SUMIF(#REF!,$B108,#REF!)</f>
        <v>5074</v>
      </c>
      <c r="Y108" s="154">
        <f ca="1">SUMIF('[2]7UnivActwithConsUnit'!$B:$B,$B108,'[2]7UnivActwithConsUnit'!AA:AA)+SUMIF('[2]8CollegeAct'!$B:$B,$B108,'[2]8CollegeAct'!AA:AA)+SUMIF(#REF!,$B108,#REF!)</f>
        <v>11456</v>
      </c>
      <c r="Z108" s="155">
        <f t="shared" ref="Z108:AA108" ca="1" si="74">B108+E108+H108+K108+N108+Q108+T108+W108</f>
        <v>1088883</v>
      </c>
      <c r="AA108" s="155">
        <f t="shared" ca="1" si="74"/>
        <v>1099009</v>
      </c>
      <c r="AB108" s="155">
        <f t="shared" ref="AB108" ca="1" si="75">Z108+AA108</f>
        <v>2187892</v>
      </c>
    </row>
    <row r="109" spans="1:28">
      <c r="A109" s="541" t="s">
        <v>831</v>
      </c>
      <c r="B109" s="515">
        <v>8070</v>
      </c>
      <c r="C109" s="515">
        <v>5230</v>
      </c>
      <c r="D109" s="515">
        <v>13300</v>
      </c>
      <c r="E109" s="515">
        <v>152</v>
      </c>
      <c r="F109" s="515">
        <v>316</v>
      </c>
      <c r="G109" s="515">
        <v>468</v>
      </c>
      <c r="H109" s="515">
        <v>93614</v>
      </c>
      <c r="I109" s="515">
        <v>118327</v>
      </c>
      <c r="J109" s="515">
        <v>211941</v>
      </c>
      <c r="K109" s="549">
        <v>768616</v>
      </c>
      <c r="L109" s="515">
        <v>789369</v>
      </c>
      <c r="M109" s="515">
        <v>1557985</v>
      </c>
      <c r="N109" s="515">
        <v>3391</v>
      </c>
      <c r="O109" s="515">
        <v>3055</v>
      </c>
      <c r="P109" s="515">
        <v>6446</v>
      </c>
      <c r="Q109" s="515">
        <v>113795</v>
      </c>
      <c r="R109" s="515">
        <v>73333</v>
      </c>
      <c r="S109" s="515">
        <v>187128</v>
      </c>
      <c r="T109" s="549">
        <v>1284</v>
      </c>
      <c r="U109" s="515">
        <v>1795</v>
      </c>
      <c r="V109" s="515">
        <v>3079</v>
      </c>
      <c r="W109" s="515">
        <v>4495</v>
      </c>
      <c r="X109" s="515">
        <v>3652</v>
      </c>
      <c r="Y109" s="515">
        <v>8147</v>
      </c>
      <c r="Z109" s="515">
        <v>993417</v>
      </c>
      <c r="AA109" s="515">
        <v>995077</v>
      </c>
      <c r="AB109" s="515">
        <v>1988494</v>
      </c>
    </row>
    <row r="110" spans="1:28">
      <c r="A110" s="541" t="s">
        <v>830</v>
      </c>
      <c r="B110" s="543">
        <v>9103</v>
      </c>
      <c r="C110" s="543">
        <v>5087</v>
      </c>
      <c r="D110" s="543">
        <v>14190</v>
      </c>
      <c r="E110" s="543">
        <v>189</v>
      </c>
      <c r="F110" s="543">
        <v>338</v>
      </c>
      <c r="G110" s="543">
        <v>527</v>
      </c>
      <c r="H110" s="543">
        <v>96826.749361816663</v>
      </c>
      <c r="I110" s="543">
        <v>112435.30950486017</v>
      </c>
      <c r="J110" s="543">
        <v>209262.05886667682</v>
      </c>
      <c r="K110" s="714">
        <v>733767.31147513888</v>
      </c>
      <c r="L110" s="543">
        <v>769158.26757246209</v>
      </c>
      <c r="M110" s="543">
        <v>1502925.579047601</v>
      </c>
      <c r="N110" s="543">
        <v>3283</v>
      </c>
      <c r="O110" s="543">
        <v>2929</v>
      </c>
      <c r="P110" s="543">
        <v>6212</v>
      </c>
      <c r="Q110" s="543">
        <v>122296</v>
      </c>
      <c r="R110" s="543">
        <v>77766</v>
      </c>
      <c r="S110" s="543">
        <v>200062</v>
      </c>
      <c r="T110" s="714">
        <v>2049</v>
      </c>
      <c r="U110" s="543">
        <v>1637</v>
      </c>
      <c r="V110" s="543">
        <v>3686</v>
      </c>
      <c r="W110" s="543">
        <v>3879</v>
      </c>
      <c r="X110" s="543">
        <v>3112</v>
      </c>
      <c r="Y110" s="543">
        <v>6991</v>
      </c>
      <c r="Z110" s="200">
        <f t="shared" ref="Z110:AB110" si="76">B110+E110+H110+K110+N110+Q110+T110+W110</f>
        <v>971393.06083695556</v>
      </c>
      <c r="AA110" s="200">
        <f t="shared" si="76"/>
        <v>972462.57707732229</v>
      </c>
      <c r="AB110" s="200">
        <f t="shared" si="76"/>
        <v>1943855.6379142778</v>
      </c>
    </row>
    <row r="111" spans="1:28">
      <c r="A111" s="541" t="s">
        <v>829</v>
      </c>
      <c r="B111" s="544">
        <v>6630</v>
      </c>
      <c r="C111" s="544">
        <v>4211</v>
      </c>
      <c r="D111" s="265">
        <v>10841</v>
      </c>
      <c r="E111" s="544">
        <v>198</v>
      </c>
      <c r="F111" s="544">
        <v>329</v>
      </c>
      <c r="G111" s="265">
        <v>527</v>
      </c>
      <c r="H111" s="544">
        <v>96634</v>
      </c>
      <c r="I111" s="544">
        <v>107255</v>
      </c>
      <c r="J111" s="265">
        <v>203889</v>
      </c>
      <c r="K111" s="716">
        <v>711021</v>
      </c>
      <c r="L111" s="544">
        <v>721734</v>
      </c>
      <c r="M111" s="265">
        <v>1432755</v>
      </c>
      <c r="N111" s="544">
        <v>2971</v>
      </c>
      <c r="O111" s="544">
        <v>2684</v>
      </c>
      <c r="P111" s="265">
        <v>5655</v>
      </c>
      <c r="Q111" s="544">
        <v>130262</v>
      </c>
      <c r="R111" s="544">
        <v>75610</v>
      </c>
      <c r="S111" s="265">
        <v>205872</v>
      </c>
      <c r="T111" s="716">
        <v>1954</v>
      </c>
      <c r="U111" s="544">
        <v>1759</v>
      </c>
      <c r="V111" s="265">
        <v>3713</v>
      </c>
      <c r="W111" s="544">
        <v>4406</v>
      </c>
      <c r="X111" s="544">
        <v>3636</v>
      </c>
      <c r="Y111" s="265">
        <v>8042</v>
      </c>
      <c r="Z111" s="265">
        <v>954076</v>
      </c>
      <c r="AA111" s="265">
        <v>917218</v>
      </c>
      <c r="AB111" s="265">
        <f t="shared" ref="AB111" si="77">SUM(Z111+AA111)</f>
        <v>1871294</v>
      </c>
    </row>
    <row r="112" spans="1:28">
      <c r="A112" s="514" t="s">
        <v>828</v>
      </c>
      <c r="B112" s="515">
        <v>7424</v>
      </c>
      <c r="C112" s="515">
        <v>4353</v>
      </c>
      <c r="D112" s="515">
        <v>11777</v>
      </c>
      <c r="E112" s="515">
        <v>214</v>
      </c>
      <c r="F112" s="515">
        <v>378</v>
      </c>
      <c r="G112" s="515">
        <v>592</v>
      </c>
      <c r="H112" s="515">
        <v>97648</v>
      </c>
      <c r="I112" s="515">
        <v>103261</v>
      </c>
      <c r="J112" s="515">
        <v>200909</v>
      </c>
      <c r="K112" s="549">
        <v>711117</v>
      </c>
      <c r="L112" s="515">
        <v>709580</v>
      </c>
      <c r="M112" s="515">
        <v>1420697</v>
      </c>
      <c r="N112" s="515">
        <v>3155</v>
      </c>
      <c r="O112" s="515">
        <v>2391</v>
      </c>
      <c r="P112" s="515">
        <v>5546</v>
      </c>
      <c r="Q112" s="515">
        <v>132633</v>
      </c>
      <c r="R112" s="515">
        <v>74047</v>
      </c>
      <c r="S112" s="515">
        <v>206680</v>
      </c>
      <c r="T112" s="549">
        <v>2115</v>
      </c>
      <c r="U112" s="515">
        <v>2214</v>
      </c>
      <c r="V112" s="515">
        <v>4329</v>
      </c>
      <c r="W112" s="515">
        <v>4072</v>
      </c>
      <c r="X112" s="515">
        <v>3344</v>
      </c>
      <c r="Y112" s="515">
        <v>7416</v>
      </c>
      <c r="Z112" s="515">
        <f t="shared" ref="Z112:AB112" si="78">B112+E112+H112+K112+N112+Q112+T112+W112</f>
        <v>958378</v>
      </c>
      <c r="AA112" s="515">
        <f t="shared" si="78"/>
        <v>899568</v>
      </c>
      <c r="AB112" s="515">
        <f t="shared" si="78"/>
        <v>1857946</v>
      </c>
    </row>
    <row r="113" spans="1:28" ht="15">
      <c r="A113" s="579" t="s">
        <v>31</v>
      </c>
      <c r="B113" s="551"/>
      <c r="C113" s="551"/>
      <c r="D113" s="551"/>
      <c r="E113" s="551"/>
      <c r="F113" s="551"/>
      <c r="G113" s="551"/>
      <c r="H113" s="551"/>
      <c r="I113" s="551"/>
      <c r="J113" s="552"/>
      <c r="K113" s="551"/>
      <c r="L113" s="551"/>
      <c r="M113" s="551"/>
      <c r="N113" s="551"/>
      <c r="O113" s="551"/>
      <c r="P113" s="551"/>
      <c r="Q113" s="551"/>
      <c r="R113" s="551"/>
      <c r="S113" s="552"/>
      <c r="T113" s="551"/>
      <c r="U113" s="551"/>
      <c r="V113" s="551"/>
      <c r="W113" s="551"/>
      <c r="X113" s="551"/>
      <c r="Y113" s="551"/>
      <c r="Z113" s="551"/>
      <c r="AA113" s="551"/>
      <c r="AB113" s="552"/>
    </row>
    <row r="114" spans="1:28">
      <c r="A114" s="541" t="s">
        <v>832</v>
      </c>
      <c r="B114" s="154">
        <f ca="1">SUMIF('[2]7UnivActwithConsUnit'!$B:$B,$B114,'[2]7UnivActwithConsUnit'!D:D)+SUMIF('[2]8CollegeAct'!$B:$B,$B114,'[2]8CollegeAct'!D:D)+SUMIF(#REF!,$B114,#REF!)</f>
        <v>2817</v>
      </c>
      <c r="C114" s="154">
        <f ca="1">SUMIF('[2]7UnivActwithConsUnit'!$B:$B,$B114,'[2]7UnivActwithConsUnit'!E:E)+SUMIF('[2]8CollegeAct'!$B:$B,$B114,'[2]8CollegeAct'!E:E)+SUMIF(#REF!,$B114,#REF!)</f>
        <v>4687</v>
      </c>
      <c r="D114" s="154">
        <f ca="1">SUMIF('[2]7UnivActwithConsUnit'!$B:$B,$B114,'[2]7UnivActwithConsUnit'!F:F)+SUMIF('[2]8CollegeAct'!$B:$B,$B114,'[2]8CollegeAct'!F:F)+SUMIF(#REF!,$B114,#REF!)</f>
        <v>7504</v>
      </c>
      <c r="E114" s="154">
        <f ca="1">SUMIF('[2]7UnivActwithConsUnit'!$B:$B,$B114,'[2]7UnivActwithConsUnit'!G:G)+SUMIF('[2]8CollegeAct'!$B:$B,$B114,'[2]8CollegeAct'!G:G)+SUMIF(#REF!,$B114,#REF!)</f>
        <v>197</v>
      </c>
      <c r="F114" s="154">
        <f ca="1">SUMIF('[2]7UnivActwithConsUnit'!$B:$B,$B114,'[2]7UnivActwithConsUnit'!H:H)+SUMIF('[2]8CollegeAct'!$B:$B,$B114,'[2]8CollegeAct'!H:H)+SUMIF(#REF!,$B114,#REF!)</f>
        <v>676</v>
      </c>
      <c r="G114" s="154">
        <f ca="1">SUMIF('[2]7UnivActwithConsUnit'!$B:$B,$B114,'[2]7UnivActwithConsUnit'!I:I)+SUMIF('[2]8CollegeAct'!$B:$B,$B114,'[2]8CollegeAct'!I:I)+SUMIF(#REF!,$B114,#REF!)</f>
        <v>873</v>
      </c>
      <c r="H114" s="154">
        <f ca="1">SUMIF('[2]7UnivActwithConsUnit'!$B:$B,$B114,'[2]7UnivActwithConsUnit'!J:J)+SUMIF('[2]10CollegeEst'!$B:$B,$B114,'[2]10CollegeEst'!B:B)+SUMIF(#REF!,$B114,#REF!)</f>
        <v>40871</v>
      </c>
      <c r="I114" s="154">
        <f ca="1">SUMIF('[2]7UnivActwithConsUnit'!$B:$B,$B114,'[2]7UnivActwithConsUnit'!K:K)+SUMIF('[2]10CollegeEst'!$B:$B,$B114,'[2]10CollegeEst'!C:C)+SUMIF(#REF!,$B114,#REF!)</f>
        <v>97643</v>
      </c>
      <c r="J114" s="154">
        <f ca="1">SUMIF('[2]7UnivActwithConsUnit'!$B:$B,$B114,'[2]7UnivActwithConsUnit'!L:L)+SUMIF('[2]10CollegeEst'!$B:$B,$B114,'[2]10CollegeEst'!D:D)+SUMIF(#REF!,$B114,#REF!)</f>
        <v>138514</v>
      </c>
      <c r="K114" s="715">
        <f ca="1">SUMIF('[2]7UnivActwithConsUnit'!$B:$B,$B114,'[2]7UnivActwithConsUnit'!M:M)+SUMIF('[2]10CollegeEst'!$B:$B,$B114,'[2]10CollegeEst'!E:E)+SUMIF(#REF!,$B114,#REF!)</f>
        <v>393073</v>
      </c>
      <c r="L114" s="154">
        <f ca="1">SUMIF('[2]7UnivActwithConsUnit'!$B:$B,$B114,'[2]7UnivActwithConsUnit'!N:N)+SUMIF('[2]10CollegeEst'!$B:$B,$B114,'[2]10CollegeEst'!F:F)+SUMIF(#REF!,$B114,#REF!)</f>
        <v>509484</v>
      </c>
      <c r="M114" s="154">
        <f ca="1">SUMIF('[2]7UnivActwithConsUnit'!$B:$B,$B114,'[2]7UnivActwithConsUnit'!O:O)+SUMIF('[2]10CollegeEst'!$B:$B,$B114,'[2]10CollegeEst'!G:G)+SUMIF(#REF!,$B114,#REF!)</f>
        <v>902557</v>
      </c>
      <c r="N114" s="154">
        <f ca="1">SUMIF('[2]7UnivActwithConsUnit'!$B:$B,$B114,'[2]7UnivActwithConsUnit'!P:P)+SUMIF('[2]8CollegeAct'!$B:$B,$B114,'[2]8CollegeAct'!P:P)+SUMIF(#REF!,$B114,#REF!)</f>
        <v>1269</v>
      </c>
      <c r="O114" s="154">
        <f ca="1">SUMIF('[2]7UnivActwithConsUnit'!$B:$B,$B114,'[2]7UnivActwithConsUnit'!Q:Q)+SUMIF('[2]8CollegeAct'!$B:$B,$B114,'[2]8CollegeAct'!Q:Q)+SUMIF(#REF!,$B114,#REF!)</f>
        <v>1221</v>
      </c>
      <c r="P114" s="154">
        <f ca="1">SUMIF('[2]7UnivActwithConsUnit'!$B:$B,$B114,'[2]7UnivActwithConsUnit'!R:R)+SUMIF('[2]8CollegeAct'!$B:$B,$B114,'[2]8CollegeAct'!R:R)+SUMIF(#REF!,$B114,#REF!)</f>
        <v>2490</v>
      </c>
      <c r="Q114" s="154">
        <f ca="1">SUMIF('[2]7UnivActwithConsUnit'!$B:$B,$B114,'[2]7UnivActwithConsUnit'!S:S)+SUMIF('[2]8CollegeAct'!$B:$B,$B114,'[2]8CollegeAct'!S:S)+SUMIF(#REF!,$B114,#REF!)</f>
        <v>41613</v>
      </c>
      <c r="R114" s="154">
        <f ca="1">SUMIF('[2]7UnivActwithConsUnit'!$B:$B,$B114,'[2]7UnivActwithConsUnit'!T:T)+SUMIF('[2]8CollegeAct'!$B:$B,$B114,'[2]8CollegeAct'!T:T)+SUMIF(#REF!,$B114,#REF!)</f>
        <v>30834</v>
      </c>
      <c r="S114" s="154">
        <f ca="1">SUMIF('[2]7UnivActwithConsUnit'!$B:$B,$B114,'[2]7UnivActwithConsUnit'!U:U)+SUMIF('[2]8CollegeAct'!$B:$B,$B114,'[2]8CollegeAct'!U:U)+SUMIF(#REF!,$B114,#REF!)</f>
        <v>72447</v>
      </c>
      <c r="T114" s="715">
        <f ca="1">SUMIF('[2]7UnivActwithConsUnit'!$B:$B,$B114,'[2]7UnivActwithConsUnit'!V:V)+SUMIF('[2]8CollegeAct'!$B:$B,$B114,'[2]8CollegeAct'!V:V)+SUMIF(#REF!,$B114,#REF!)</f>
        <v>1308</v>
      </c>
      <c r="U114" s="154">
        <f ca="1">SUMIF('[2]7UnivActwithConsUnit'!$B:$B,$B114,'[2]7UnivActwithConsUnit'!W:W)+SUMIF('[2]8CollegeAct'!$B:$B,$B114,'[2]8CollegeAct'!W:W)+SUMIF(#REF!,$B114,#REF!)</f>
        <v>4365</v>
      </c>
      <c r="V114" s="154">
        <f ca="1">SUMIF('[2]7UnivActwithConsUnit'!$B:$B,$B114,'[2]7UnivActwithConsUnit'!X:X)+SUMIF('[2]8CollegeAct'!$B:$B,$B114,'[2]8CollegeAct'!X:X)+SUMIF(#REF!,$B114,#REF!)</f>
        <v>5673</v>
      </c>
      <c r="W114" s="154">
        <f ca="1">SUMIF('[2]7UnivActwithConsUnit'!$B:$B,$B114,'[2]7UnivActwithConsUnit'!Y:Y)+SUMIF('[2]8CollegeAct'!$B:$B,$B114,'[2]8CollegeAct'!Y:Y)+SUMIF(#REF!,$B114,#REF!)</f>
        <v>3701</v>
      </c>
      <c r="X114" s="154">
        <f ca="1">SUMIF('[2]7UnivActwithConsUnit'!$B:$B,$B114,'[2]7UnivActwithConsUnit'!Z:Z)+SUMIF('[2]8CollegeAct'!$B:$B,$B114,'[2]8CollegeAct'!Z:Z)+SUMIF(#REF!,$B114,#REF!)</f>
        <v>4094</v>
      </c>
      <c r="Y114" s="154">
        <f ca="1">SUMIF('[2]7UnivActwithConsUnit'!$B:$B,$B114,'[2]7UnivActwithConsUnit'!AA:AA)+SUMIF('[2]8CollegeAct'!$B:$B,$B114,'[2]8CollegeAct'!AA:AA)+SUMIF(#REF!,$B114,#REF!)</f>
        <v>7795</v>
      </c>
      <c r="Z114" s="155">
        <f t="shared" ref="Z114:AA114" ca="1" si="79">B114+E114+H114+K114+N114+Q114+T114+W114</f>
        <v>484849</v>
      </c>
      <c r="AA114" s="155">
        <f t="shared" ca="1" si="79"/>
        <v>653004</v>
      </c>
      <c r="AB114" s="155">
        <f t="shared" ref="AB114" ca="1" si="80">Z114+AA114</f>
        <v>1137853</v>
      </c>
    </row>
    <row r="115" spans="1:28">
      <c r="A115" s="541" t="s">
        <v>831</v>
      </c>
      <c r="B115" s="515">
        <v>2503</v>
      </c>
      <c r="C115" s="515">
        <v>4183</v>
      </c>
      <c r="D115" s="515">
        <v>6686</v>
      </c>
      <c r="E115" s="515">
        <v>204</v>
      </c>
      <c r="F115" s="515">
        <v>685</v>
      </c>
      <c r="G115" s="515">
        <v>889</v>
      </c>
      <c r="H115" s="515">
        <v>37756</v>
      </c>
      <c r="I115" s="515">
        <v>88754</v>
      </c>
      <c r="J115" s="515">
        <v>126510</v>
      </c>
      <c r="K115" s="549">
        <v>375536</v>
      </c>
      <c r="L115" s="515">
        <v>505771</v>
      </c>
      <c r="M115" s="515">
        <v>881307</v>
      </c>
      <c r="N115" s="515">
        <v>1078</v>
      </c>
      <c r="O115" s="515">
        <v>967</v>
      </c>
      <c r="P115" s="515">
        <v>2045</v>
      </c>
      <c r="Q115" s="515">
        <v>37153</v>
      </c>
      <c r="R115" s="515">
        <v>29567</v>
      </c>
      <c r="S115" s="515">
        <v>66720</v>
      </c>
      <c r="T115" s="549">
        <v>1142</v>
      </c>
      <c r="U115" s="515">
        <v>4851</v>
      </c>
      <c r="V115" s="515">
        <v>5993</v>
      </c>
      <c r="W115" s="515">
        <v>2828</v>
      </c>
      <c r="X115" s="515">
        <v>2864</v>
      </c>
      <c r="Y115" s="515">
        <v>5692</v>
      </c>
      <c r="Z115" s="515">
        <v>458200</v>
      </c>
      <c r="AA115" s="515">
        <v>637642</v>
      </c>
      <c r="AB115" s="515">
        <v>1095842</v>
      </c>
    </row>
    <row r="116" spans="1:28">
      <c r="A116" s="541" t="s">
        <v>830</v>
      </c>
      <c r="B116" s="543">
        <v>2256</v>
      </c>
      <c r="C116" s="543">
        <v>3655</v>
      </c>
      <c r="D116" s="543">
        <v>5911</v>
      </c>
      <c r="E116" s="543">
        <v>280</v>
      </c>
      <c r="F116" s="543">
        <v>630</v>
      </c>
      <c r="G116" s="543">
        <v>910</v>
      </c>
      <c r="H116" s="543">
        <v>39873.435627667954</v>
      </c>
      <c r="I116" s="543">
        <v>80105.771676272299</v>
      </c>
      <c r="J116" s="543">
        <v>119979.20730394025</v>
      </c>
      <c r="K116" s="714">
        <v>397008.30778716237</v>
      </c>
      <c r="L116" s="543">
        <v>479224.28400024667</v>
      </c>
      <c r="M116" s="543">
        <v>876232.59178740904</v>
      </c>
      <c r="N116" s="543">
        <v>1283</v>
      </c>
      <c r="O116" s="543">
        <v>905</v>
      </c>
      <c r="P116" s="543">
        <v>2188</v>
      </c>
      <c r="Q116" s="543">
        <v>36299</v>
      </c>
      <c r="R116" s="543">
        <v>30897</v>
      </c>
      <c r="S116" s="543">
        <v>67196</v>
      </c>
      <c r="T116" s="714">
        <v>926</v>
      </c>
      <c r="U116" s="543">
        <v>5163</v>
      </c>
      <c r="V116" s="543">
        <v>6089</v>
      </c>
      <c r="W116" s="543">
        <v>2252</v>
      </c>
      <c r="X116" s="543">
        <v>2159</v>
      </c>
      <c r="Y116" s="543">
        <v>4411</v>
      </c>
      <c r="Z116" s="200">
        <f t="shared" ref="Z116:AB116" si="81">B116+E116+H116+K116+N116+Q116+T116+W116</f>
        <v>480177.7434148303</v>
      </c>
      <c r="AA116" s="200">
        <f t="shared" si="81"/>
        <v>602739.05567651894</v>
      </c>
      <c r="AB116" s="200">
        <f t="shared" si="81"/>
        <v>1082916.7990913494</v>
      </c>
    </row>
    <row r="117" spans="1:28">
      <c r="A117" s="541" t="s">
        <v>829</v>
      </c>
      <c r="B117" s="544">
        <v>2185</v>
      </c>
      <c r="C117" s="544">
        <v>3121</v>
      </c>
      <c r="D117" s="265">
        <v>5306</v>
      </c>
      <c r="E117" s="544">
        <v>165</v>
      </c>
      <c r="F117" s="544">
        <v>569</v>
      </c>
      <c r="G117" s="265">
        <v>734</v>
      </c>
      <c r="H117" s="544">
        <v>33141</v>
      </c>
      <c r="I117" s="544">
        <v>74233</v>
      </c>
      <c r="J117" s="265">
        <v>107374</v>
      </c>
      <c r="K117" s="716">
        <v>353262</v>
      </c>
      <c r="L117" s="544">
        <v>492327</v>
      </c>
      <c r="M117" s="265">
        <v>845589</v>
      </c>
      <c r="N117" s="544">
        <v>1498</v>
      </c>
      <c r="O117" s="544">
        <v>1046</v>
      </c>
      <c r="P117" s="265">
        <v>2544</v>
      </c>
      <c r="Q117" s="544">
        <v>35051</v>
      </c>
      <c r="R117" s="544">
        <v>28732</v>
      </c>
      <c r="S117" s="265">
        <v>63783</v>
      </c>
      <c r="T117" s="716">
        <v>730</v>
      </c>
      <c r="U117" s="544">
        <v>2206</v>
      </c>
      <c r="V117" s="265">
        <v>2936</v>
      </c>
      <c r="W117" s="544">
        <v>2488</v>
      </c>
      <c r="X117" s="544">
        <v>2389</v>
      </c>
      <c r="Y117" s="265">
        <v>4877</v>
      </c>
      <c r="Z117" s="265">
        <v>428520</v>
      </c>
      <c r="AA117" s="265">
        <v>604623</v>
      </c>
      <c r="AB117" s="265">
        <f t="shared" ref="AB117" si="82">SUM(Z117+AA117)</f>
        <v>1033143</v>
      </c>
    </row>
    <row r="118" spans="1:28">
      <c r="A118" s="514" t="s">
        <v>828</v>
      </c>
      <c r="B118" s="515">
        <v>1956</v>
      </c>
      <c r="C118" s="515">
        <v>2675</v>
      </c>
      <c r="D118" s="515">
        <v>4631</v>
      </c>
      <c r="E118" s="515">
        <v>228</v>
      </c>
      <c r="F118" s="515">
        <v>684</v>
      </c>
      <c r="G118" s="515">
        <v>912</v>
      </c>
      <c r="H118" s="515">
        <v>36860</v>
      </c>
      <c r="I118" s="515">
        <v>76166</v>
      </c>
      <c r="J118" s="515">
        <v>113026</v>
      </c>
      <c r="K118" s="549">
        <v>328135</v>
      </c>
      <c r="L118" s="515">
        <v>419352</v>
      </c>
      <c r="M118" s="515">
        <v>747487</v>
      </c>
      <c r="N118" s="515">
        <v>846</v>
      </c>
      <c r="O118" s="515">
        <v>922</v>
      </c>
      <c r="P118" s="515">
        <v>1768</v>
      </c>
      <c r="Q118" s="515">
        <v>34614</v>
      </c>
      <c r="R118" s="515">
        <v>29110</v>
      </c>
      <c r="S118" s="515">
        <v>63724</v>
      </c>
      <c r="T118" s="549">
        <v>492</v>
      </c>
      <c r="U118" s="515">
        <v>2372</v>
      </c>
      <c r="V118" s="515">
        <v>2864</v>
      </c>
      <c r="W118" s="515">
        <v>2431</v>
      </c>
      <c r="X118" s="515">
        <v>2312</v>
      </c>
      <c r="Y118" s="515">
        <v>4743</v>
      </c>
      <c r="Z118" s="515">
        <f t="shared" ref="Z118:AB118" si="83">B118+E118+H118+K118+N118+Q118+T118+W118</f>
        <v>405562</v>
      </c>
      <c r="AA118" s="515">
        <f t="shared" si="83"/>
        <v>533593</v>
      </c>
      <c r="AB118" s="515">
        <f t="shared" si="83"/>
        <v>939155</v>
      </c>
    </row>
    <row r="119" spans="1:28" ht="15">
      <c r="A119" s="579" t="s">
        <v>761</v>
      </c>
      <c r="B119" s="551"/>
      <c r="C119" s="551"/>
      <c r="D119" s="551"/>
      <c r="E119" s="551"/>
      <c r="F119" s="551"/>
      <c r="G119" s="551"/>
      <c r="H119" s="551"/>
      <c r="I119" s="551"/>
      <c r="J119" s="552"/>
      <c r="K119" s="551"/>
      <c r="L119" s="551"/>
      <c r="M119" s="551"/>
      <c r="N119" s="551"/>
      <c r="O119" s="551"/>
      <c r="P119" s="551"/>
      <c r="Q119" s="551"/>
      <c r="R119" s="551"/>
      <c r="S119" s="552"/>
      <c r="T119" s="551"/>
      <c r="U119" s="551"/>
      <c r="V119" s="551"/>
      <c r="W119" s="551"/>
      <c r="X119" s="551"/>
      <c r="Y119" s="551"/>
      <c r="Z119" s="551"/>
      <c r="AA119" s="551"/>
      <c r="AB119" s="552"/>
    </row>
    <row r="120" spans="1:28">
      <c r="A120" s="541" t="s">
        <v>832</v>
      </c>
      <c r="B120" s="154">
        <f ca="1">SUMIF('[2]7UnivActwithConsUnit'!$B:$B,$B120,'[2]7UnivActwithConsUnit'!D:D)+SUMIF('[2]8CollegeAct'!$B:$B,$B120,'[2]8CollegeAct'!D:D)+SUMIF(#REF!,$B120,#REF!)</f>
        <v>6</v>
      </c>
      <c r="C120" s="154">
        <f ca="1">SUMIF('[2]7UnivActwithConsUnit'!$B:$B,$B120,'[2]7UnivActwithConsUnit'!E:E)+SUMIF('[2]8CollegeAct'!$B:$B,$B120,'[2]8CollegeAct'!E:E)+SUMIF(#REF!,$B120,#REF!)</f>
        <v>2</v>
      </c>
      <c r="D120" s="154">
        <f ca="1">SUMIF('[2]7UnivActwithConsUnit'!$B:$B,$B120,'[2]7UnivActwithConsUnit'!F:F)+SUMIF('[2]8CollegeAct'!$B:$B,$B120,'[2]8CollegeAct'!F:F)+SUMIF(#REF!,$B120,#REF!)</f>
        <v>8</v>
      </c>
      <c r="E120" s="154">
        <f ca="1">SUMIF('[2]7UnivActwithConsUnit'!$B:$B,$B120,'[2]7UnivActwithConsUnit'!G:G)+SUMIF('[2]8CollegeAct'!$B:$B,$B120,'[2]8CollegeAct'!G:G)+SUMIF(#REF!,$B120,#REF!)</f>
        <v>0</v>
      </c>
      <c r="F120" s="154">
        <f ca="1">SUMIF('[2]7UnivActwithConsUnit'!$B:$B,$B120,'[2]7UnivActwithConsUnit'!H:H)+SUMIF('[2]8CollegeAct'!$B:$B,$B120,'[2]8CollegeAct'!H:H)+SUMIF(#REF!,$B120,#REF!)</f>
        <v>0</v>
      </c>
      <c r="G120" s="154">
        <f ca="1">SUMIF('[2]7UnivActwithConsUnit'!$B:$B,$B120,'[2]7UnivActwithConsUnit'!I:I)+SUMIF('[2]8CollegeAct'!$B:$B,$B120,'[2]8CollegeAct'!I:I)+SUMIF(#REF!,$B120,#REF!)</f>
        <v>0</v>
      </c>
      <c r="H120" s="154">
        <f ca="1">SUMIF('[2]7UnivActwithConsUnit'!$B:$B,$B120,'[2]7UnivActwithConsUnit'!J:J)+SUMIF('[2]10CollegeEst'!$B:$B,$B120,'[2]10CollegeEst'!B:B)+SUMIF(#REF!,$B120,#REF!)</f>
        <v>26</v>
      </c>
      <c r="I120" s="154">
        <f ca="1">SUMIF('[2]7UnivActwithConsUnit'!$B:$B,$B120,'[2]7UnivActwithConsUnit'!K:K)+SUMIF('[2]10CollegeEst'!$B:$B,$B120,'[2]10CollegeEst'!C:C)+SUMIF(#REF!,$B120,#REF!)</f>
        <v>28</v>
      </c>
      <c r="J120" s="154">
        <f ca="1">SUMIF('[2]7UnivActwithConsUnit'!$B:$B,$B120,'[2]7UnivActwithConsUnit'!L:L)+SUMIF('[2]10CollegeEst'!$B:$B,$B120,'[2]10CollegeEst'!D:D)+SUMIF(#REF!,$B120,#REF!)</f>
        <v>54</v>
      </c>
      <c r="K120" s="715">
        <f ca="1">SUMIF('[2]7UnivActwithConsUnit'!$B:$B,$B120,'[2]7UnivActwithConsUnit'!M:M)+SUMIF('[2]10CollegeEst'!$B:$B,$B120,'[2]10CollegeEst'!E:E)+SUMIF(#REF!,$B120,#REF!)</f>
        <v>798</v>
      </c>
      <c r="L120" s="154">
        <f ca="1">SUMIF('[2]7UnivActwithConsUnit'!$B:$B,$B120,'[2]7UnivActwithConsUnit'!N:N)+SUMIF('[2]10CollegeEst'!$B:$B,$B120,'[2]10CollegeEst'!F:F)+SUMIF(#REF!,$B120,#REF!)</f>
        <v>1746</v>
      </c>
      <c r="M120" s="154">
        <f ca="1">SUMIF('[2]7UnivActwithConsUnit'!$B:$B,$B120,'[2]7UnivActwithConsUnit'!O:O)+SUMIF('[2]10CollegeEst'!$B:$B,$B120,'[2]10CollegeEst'!G:G)+SUMIF(#REF!,$B120,#REF!)</f>
        <v>2544</v>
      </c>
      <c r="N120" s="154">
        <f ca="1">SUMIF('[2]7UnivActwithConsUnit'!$B:$B,$B120,'[2]7UnivActwithConsUnit'!P:P)+SUMIF('[2]8CollegeAct'!$B:$B,$B120,'[2]8CollegeAct'!P:P)+SUMIF(#REF!,$B120,#REF!)</f>
        <v>0</v>
      </c>
      <c r="O120" s="154">
        <f ca="1">SUMIF('[2]7UnivActwithConsUnit'!$B:$B,$B120,'[2]7UnivActwithConsUnit'!Q:Q)+SUMIF('[2]8CollegeAct'!$B:$B,$B120,'[2]8CollegeAct'!Q:Q)+SUMIF(#REF!,$B120,#REF!)</f>
        <v>0</v>
      </c>
      <c r="P120" s="154">
        <f ca="1">SUMIF('[2]7UnivActwithConsUnit'!$B:$B,$B120,'[2]7UnivActwithConsUnit'!R:R)+SUMIF('[2]8CollegeAct'!$B:$B,$B120,'[2]8CollegeAct'!R:R)+SUMIF(#REF!,$B120,#REF!)</f>
        <v>0</v>
      </c>
      <c r="Q120" s="154">
        <f ca="1">SUMIF('[2]7UnivActwithConsUnit'!$B:$B,$B120,'[2]7UnivActwithConsUnit'!S:S)+SUMIF('[2]8CollegeAct'!$B:$B,$B120,'[2]8CollegeAct'!S:S)+SUMIF(#REF!,$B120,#REF!)</f>
        <v>112</v>
      </c>
      <c r="R120" s="154">
        <f ca="1">SUMIF('[2]7UnivActwithConsUnit'!$B:$B,$B120,'[2]7UnivActwithConsUnit'!T:T)+SUMIF('[2]8CollegeAct'!$B:$B,$B120,'[2]8CollegeAct'!T:T)+SUMIF(#REF!,$B120,#REF!)</f>
        <v>24</v>
      </c>
      <c r="S120" s="154">
        <f ca="1">SUMIF('[2]7UnivActwithConsUnit'!$B:$B,$B120,'[2]7UnivActwithConsUnit'!U:U)+SUMIF('[2]8CollegeAct'!$B:$B,$B120,'[2]8CollegeAct'!U:U)+SUMIF(#REF!,$B120,#REF!)</f>
        <v>136</v>
      </c>
      <c r="T120" s="715">
        <f ca="1">SUMIF('[2]7UnivActwithConsUnit'!$B:$B,$B120,'[2]7UnivActwithConsUnit'!V:V)+SUMIF('[2]8CollegeAct'!$B:$B,$B120,'[2]8CollegeAct'!V:V)+SUMIF(#REF!,$B120,#REF!)</f>
        <v>0</v>
      </c>
      <c r="U120" s="154">
        <f ca="1">SUMIF('[2]7UnivActwithConsUnit'!$B:$B,$B120,'[2]7UnivActwithConsUnit'!W:W)+SUMIF('[2]8CollegeAct'!$B:$B,$B120,'[2]8CollegeAct'!W:W)+SUMIF(#REF!,$B120,#REF!)</f>
        <v>0</v>
      </c>
      <c r="V120" s="154">
        <f ca="1">SUMIF('[2]7UnivActwithConsUnit'!$B:$B,$B120,'[2]7UnivActwithConsUnit'!X:X)+SUMIF('[2]8CollegeAct'!$B:$B,$B120,'[2]8CollegeAct'!X:X)+SUMIF(#REF!,$B120,#REF!)</f>
        <v>0</v>
      </c>
      <c r="W120" s="154">
        <f ca="1">SUMIF('[2]7UnivActwithConsUnit'!$B:$B,$B120,'[2]7UnivActwithConsUnit'!Y:Y)+SUMIF('[2]8CollegeAct'!$B:$B,$B120,'[2]8CollegeAct'!Y:Y)+SUMIF(#REF!,$B120,#REF!)</f>
        <v>57</v>
      </c>
      <c r="X120" s="154">
        <f ca="1">SUMIF('[2]7UnivActwithConsUnit'!$B:$B,$B120,'[2]7UnivActwithConsUnit'!Z:Z)+SUMIF('[2]8CollegeAct'!$B:$B,$B120,'[2]8CollegeAct'!Z:Z)+SUMIF(#REF!,$B120,#REF!)</f>
        <v>98</v>
      </c>
      <c r="Y120" s="154">
        <f ca="1">SUMIF('[2]7UnivActwithConsUnit'!$B:$B,$B120,'[2]7UnivActwithConsUnit'!AA:AA)+SUMIF('[2]8CollegeAct'!$B:$B,$B120,'[2]8CollegeAct'!AA:AA)+SUMIF(#REF!,$B120,#REF!)</f>
        <v>155</v>
      </c>
      <c r="Z120" s="155">
        <f t="shared" ref="Z120:AA120" ca="1" si="84">B120+E120+H120+K120+N120+Q120+T120+W120</f>
        <v>999</v>
      </c>
      <c r="AA120" s="155">
        <f t="shared" ca="1" si="84"/>
        <v>1898</v>
      </c>
      <c r="AB120" s="155">
        <f t="shared" ref="AB120" ca="1" si="85">Z120+AA120</f>
        <v>2897</v>
      </c>
    </row>
    <row r="121" spans="1:28" ht="15">
      <c r="A121" s="579" t="s">
        <v>32</v>
      </c>
      <c r="B121" s="551"/>
      <c r="C121" s="551"/>
      <c r="D121" s="551"/>
      <c r="E121" s="551"/>
      <c r="F121" s="551"/>
      <c r="G121" s="551"/>
      <c r="H121" s="551"/>
      <c r="I121" s="551"/>
      <c r="J121" s="552"/>
      <c r="K121" s="551"/>
      <c r="L121" s="551"/>
      <c r="M121" s="551"/>
      <c r="N121" s="551"/>
      <c r="O121" s="551"/>
      <c r="P121" s="551"/>
      <c r="Q121" s="551"/>
      <c r="R121" s="551"/>
      <c r="S121" s="552"/>
      <c r="T121" s="551"/>
      <c r="U121" s="551"/>
      <c r="V121" s="551"/>
      <c r="W121" s="551"/>
      <c r="X121" s="551"/>
      <c r="Y121" s="551"/>
      <c r="Z121" s="551"/>
      <c r="AA121" s="551"/>
      <c r="AB121" s="552"/>
    </row>
    <row r="122" spans="1:28">
      <c r="A122" s="541" t="s">
        <v>832</v>
      </c>
      <c r="B122" s="154">
        <f ca="1">SUMIF('[2]7UnivActwithConsUnit'!$B:$B,$B122,'[2]7UnivActwithConsUnit'!D:D)+SUMIF('[2]8CollegeAct'!$B:$B,$B122,'[2]8CollegeAct'!D:D)+SUMIF(#REF!,$B122,#REF!)</f>
        <v>0</v>
      </c>
      <c r="C122" s="154">
        <f ca="1">SUMIF('[2]7UnivActwithConsUnit'!$B:$B,$B122,'[2]7UnivActwithConsUnit'!E:E)+SUMIF('[2]8CollegeAct'!$B:$B,$B122,'[2]8CollegeAct'!E:E)+SUMIF(#REF!,$B122,#REF!)</f>
        <v>0</v>
      </c>
      <c r="D122" s="154">
        <f ca="1">SUMIF('[2]7UnivActwithConsUnit'!$B:$B,$B122,'[2]7UnivActwithConsUnit'!F:F)+SUMIF('[2]8CollegeAct'!$B:$B,$B122,'[2]8CollegeAct'!F:F)+SUMIF(#REF!,$B122,#REF!)</f>
        <v>0</v>
      </c>
      <c r="E122" s="154">
        <f ca="1">SUMIF('[2]7UnivActwithConsUnit'!$B:$B,$B122,'[2]7UnivActwithConsUnit'!G:G)+SUMIF('[2]8CollegeAct'!$B:$B,$B122,'[2]8CollegeAct'!G:G)+SUMIF(#REF!,$B122,#REF!)</f>
        <v>0</v>
      </c>
      <c r="F122" s="154">
        <f ca="1">SUMIF('[2]7UnivActwithConsUnit'!$B:$B,$B122,'[2]7UnivActwithConsUnit'!H:H)+SUMIF('[2]8CollegeAct'!$B:$B,$B122,'[2]8CollegeAct'!H:H)+SUMIF(#REF!,$B122,#REF!)</f>
        <v>0</v>
      </c>
      <c r="G122" s="154">
        <f ca="1">SUMIF('[2]7UnivActwithConsUnit'!$B:$B,$B122,'[2]7UnivActwithConsUnit'!I:I)+SUMIF('[2]8CollegeAct'!$B:$B,$B122,'[2]8CollegeAct'!I:I)+SUMIF(#REF!,$B122,#REF!)</f>
        <v>0</v>
      </c>
      <c r="H122" s="154">
        <f ca="1">SUMIF('[2]7UnivActwithConsUnit'!$B:$B,$B122,'[2]7UnivActwithConsUnit'!J:J)+SUMIF('[2]10CollegeEst'!$B:$B,$B122,'[2]10CollegeEst'!B:B)+SUMIF(#REF!,$B122,#REF!)</f>
        <v>0</v>
      </c>
      <c r="I122" s="154">
        <f ca="1">SUMIF('[2]7UnivActwithConsUnit'!$B:$B,$B122,'[2]7UnivActwithConsUnit'!K:K)+SUMIF('[2]10CollegeEst'!$B:$B,$B122,'[2]10CollegeEst'!C:C)+SUMIF(#REF!,$B122,#REF!)</f>
        <v>26</v>
      </c>
      <c r="J122" s="154">
        <f ca="1">SUMIF('[2]7UnivActwithConsUnit'!$B:$B,$B122,'[2]7UnivActwithConsUnit'!L:L)+SUMIF('[2]10CollegeEst'!$B:$B,$B122,'[2]10CollegeEst'!D:D)+SUMIF(#REF!,$B122,#REF!)</f>
        <v>26</v>
      </c>
      <c r="K122" s="715">
        <f ca="1">SUMIF('[2]7UnivActwithConsUnit'!$B:$B,$B122,'[2]7UnivActwithConsUnit'!M:M)+SUMIF('[2]10CollegeEst'!$B:$B,$B122,'[2]10CollegeEst'!E:E)+SUMIF(#REF!,$B122,#REF!)</f>
        <v>133</v>
      </c>
      <c r="L122" s="154">
        <f ca="1">SUMIF('[2]7UnivActwithConsUnit'!$B:$B,$B122,'[2]7UnivActwithConsUnit'!N:N)+SUMIF('[2]10CollegeEst'!$B:$B,$B122,'[2]10CollegeEst'!F:F)+SUMIF(#REF!,$B122,#REF!)</f>
        <v>401</v>
      </c>
      <c r="M122" s="154">
        <f ca="1">SUMIF('[2]7UnivActwithConsUnit'!$B:$B,$B122,'[2]7UnivActwithConsUnit'!O:O)+SUMIF('[2]10CollegeEst'!$B:$B,$B122,'[2]10CollegeEst'!G:G)+SUMIF(#REF!,$B122,#REF!)</f>
        <v>534</v>
      </c>
      <c r="N122" s="154">
        <f ca="1">SUMIF('[2]7UnivActwithConsUnit'!$B:$B,$B122,'[2]7UnivActwithConsUnit'!P:P)+SUMIF('[2]8CollegeAct'!$B:$B,$B122,'[2]8CollegeAct'!P:P)+SUMIF(#REF!,$B122,#REF!)</f>
        <v>0</v>
      </c>
      <c r="O122" s="154">
        <f ca="1">SUMIF('[2]7UnivActwithConsUnit'!$B:$B,$B122,'[2]7UnivActwithConsUnit'!Q:Q)+SUMIF('[2]8CollegeAct'!$B:$B,$B122,'[2]8CollegeAct'!Q:Q)+SUMIF(#REF!,$B122,#REF!)</f>
        <v>0</v>
      </c>
      <c r="P122" s="154">
        <f ca="1">SUMIF('[2]7UnivActwithConsUnit'!$B:$B,$B122,'[2]7UnivActwithConsUnit'!R:R)+SUMIF('[2]8CollegeAct'!$B:$B,$B122,'[2]8CollegeAct'!R:R)+SUMIF(#REF!,$B122,#REF!)</f>
        <v>0</v>
      </c>
      <c r="Q122" s="154">
        <f ca="1">SUMIF('[2]7UnivActwithConsUnit'!$B:$B,$B122,'[2]7UnivActwithConsUnit'!S:S)+SUMIF('[2]8CollegeAct'!$B:$B,$B122,'[2]8CollegeAct'!S:S)+SUMIF(#REF!,$B122,#REF!)</f>
        <v>0</v>
      </c>
      <c r="R122" s="154">
        <f ca="1">SUMIF('[2]7UnivActwithConsUnit'!$B:$B,$B122,'[2]7UnivActwithConsUnit'!T:T)+SUMIF('[2]8CollegeAct'!$B:$B,$B122,'[2]8CollegeAct'!T:T)+SUMIF(#REF!,$B122,#REF!)</f>
        <v>0</v>
      </c>
      <c r="S122" s="154">
        <f ca="1">SUMIF('[2]7UnivActwithConsUnit'!$B:$B,$B122,'[2]7UnivActwithConsUnit'!U:U)+SUMIF('[2]8CollegeAct'!$B:$B,$B122,'[2]8CollegeAct'!U:U)+SUMIF(#REF!,$B122,#REF!)</f>
        <v>0</v>
      </c>
      <c r="T122" s="715">
        <f ca="1">SUMIF('[2]7UnivActwithConsUnit'!$B:$B,$B122,'[2]7UnivActwithConsUnit'!V:V)+SUMIF('[2]8CollegeAct'!$B:$B,$B122,'[2]8CollegeAct'!V:V)+SUMIF(#REF!,$B122,#REF!)</f>
        <v>0</v>
      </c>
      <c r="U122" s="154">
        <f ca="1">SUMIF('[2]7UnivActwithConsUnit'!$B:$B,$B122,'[2]7UnivActwithConsUnit'!W:W)+SUMIF('[2]8CollegeAct'!$B:$B,$B122,'[2]8CollegeAct'!W:W)+SUMIF(#REF!,$B122,#REF!)</f>
        <v>0</v>
      </c>
      <c r="V122" s="154">
        <f ca="1">SUMIF('[2]7UnivActwithConsUnit'!$B:$B,$B122,'[2]7UnivActwithConsUnit'!X:X)+SUMIF('[2]8CollegeAct'!$B:$B,$B122,'[2]8CollegeAct'!X:X)+SUMIF(#REF!,$B122,#REF!)</f>
        <v>0</v>
      </c>
      <c r="W122" s="154">
        <f ca="1">SUMIF('[2]7UnivActwithConsUnit'!$B:$B,$B122,'[2]7UnivActwithConsUnit'!Y:Y)+SUMIF('[2]8CollegeAct'!$B:$B,$B122,'[2]8CollegeAct'!Y:Y)+SUMIF(#REF!,$B122,#REF!)</f>
        <v>0</v>
      </c>
      <c r="X122" s="154">
        <f ca="1">SUMIF('[2]7UnivActwithConsUnit'!$B:$B,$B122,'[2]7UnivActwithConsUnit'!Z:Z)+SUMIF('[2]8CollegeAct'!$B:$B,$B122,'[2]8CollegeAct'!Z:Z)+SUMIF(#REF!,$B122,#REF!)</f>
        <v>0</v>
      </c>
      <c r="Y122" s="154">
        <f ca="1">SUMIF('[2]7UnivActwithConsUnit'!$B:$B,$B122,'[2]7UnivActwithConsUnit'!AA:AA)+SUMIF('[2]8CollegeAct'!$B:$B,$B122,'[2]8CollegeAct'!AA:AA)+SUMIF(#REF!,$B122,#REF!)</f>
        <v>0</v>
      </c>
      <c r="Z122" s="155">
        <f t="shared" ref="Z122:AA122" ca="1" si="86">B122+E122+H122+K122+N122+Q122+T122+W122</f>
        <v>133</v>
      </c>
      <c r="AA122" s="155">
        <f t="shared" ca="1" si="86"/>
        <v>427</v>
      </c>
      <c r="AB122" s="155">
        <f t="shared" ref="AB122" ca="1" si="87">Z122+AA122</f>
        <v>560</v>
      </c>
    </row>
    <row r="123" spans="1:28">
      <c r="A123" s="541" t="s">
        <v>831</v>
      </c>
      <c r="B123" s="515">
        <v>0</v>
      </c>
      <c r="C123" s="515">
        <v>0</v>
      </c>
      <c r="D123" s="515">
        <v>0</v>
      </c>
      <c r="E123" s="515">
        <v>0</v>
      </c>
      <c r="F123" s="515">
        <v>0</v>
      </c>
      <c r="G123" s="515">
        <v>0</v>
      </c>
      <c r="H123" s="515">
        <v>0</v>
      </c>
      <c r="I123" s="515">
        <v>26</v>
      </c>
      <c r="J123" s="515">
        <v>26</v>
      </c>
      <c r="K123" s="549">
        <v>127</v>
      </c>
      <c r="L123" s="515">
        <v>392</v>
      </c>
      <c r="M123" s="515">
        <v>519</v>
      </c>
      <c r="N123" s="515">
        <v>0</v>
      </c>
      <c r="O123" s="515">
        <v>0</v>
      </c>
      <c r="P123" s="515">
        <v>0</v>
      </c>
      <c r="Q123" s="515">
        <v>0</v>
      </c>
      <c r="R123" s="515">
        <v>0</v>
      </c>
      <c r="S123" s="515">
        <v>0</v>
      </c>
      <c r="T123" s="549">
        <v>0</v>
      </c>
      <c r="U123" s="515">
        <v>0</v>
      </c>
      <c r="V123" s="515">
        <v>0</v>
      </c>
      <c r="W123" s="515">
        <v>0</v>
      </c>
      <c r="X123" s="515">
        <v>0</v>
      </c>
      <c r="Y123" s="515">
        <v>0</v>
      </c>
      <c r="Z123" s="515">
        <v>127</v>
      </c>
      <c r="AA123" s="515">
        <v>418</v>
      </c>
      <c r="AB123" s="515">
        <v>545</v>
      </c>
    </row>
    <row r="124" spans="1:28">
      <c r="A124" s="541" t="s">
        <v>830</v>
      </c>
      <c r="B124" s="543">
        <v>0</v>
      </c>
      <c r="C124" s="543">
        <v>0</v>
      </c>
      <c r="D124" s="543">
        <v>0</v>
      </c>
      <c r="E124" s="543">
        <v>0</v>
      </c>
      <c r="F124" s="543">
        <v>0</v>
      </c>
      <c r="G124" s="543">
        <v>0</v>
      </c>
      <c r="H124" s="543">
        <v>4</v>
      </c>
      <c r="I124" s="543">
        <v>33</v>
      </c>
      <c r="J124" s="543">
        <v>37</v>
      </c>
      <c r="K124" s="714">
        <v>112</v>
      </c>
      <c r="L124" s="543">
        <v>403</v>
      </c>
      <c r="M124" s="543">
        <v>515</v>
      </c>
      <c r="N124" s="543">
        <v>0</v>
      </c>
      <c r="O124" s="543">
        <v>0</v>
      </c>
      <c r="P124" s="543">
        <v>0</v>
      </c>
      <c r="Q124" s="543">
        <v>0</v>
      </c>
      <c r="R124" s="543">
        <v>0</v>
      </c>
      <c r="S124" s="543">
        <v>0</v>
      </c>
      <c r="T124" s="714">
        <v>0</v>
      </c>
      <c r="U124" s="543">
        <v>0</v>
      </c>
      <c r="V124" s="543">
        <v>0</v>
      </c>
      <c r="W124" s="543">
        <v>0</v>
      </c>
      <c r="X124" s="543">
        <v>0</v>
      </c>
      <c r="Y124" s="543">
        <v>0</v>
      </c>
      <c r="Z124" s="200">
        <f t="shared" ref="Z124:AB124" si="88">B124+E124+H124+K124+N124+Q124+T124+W124</f>
        <v>116</v>
      </c>
      <c r="AA124" s="200">
        <f t="shared" si="88"/>
        <v>436</v>
      </c>
      <c r="AB124" s="200">
        <f t="shared" si="88"/>
        <v>552</v>
      </c>
    </row>
    <row r="125" spans="1:28">
      <c r="A125" s="541" t="s">
        <v>829</v>
      </c>
      <c r="B125" s="544">
        <v>0</v>
      </c>
      <c r="C125" s="544">
        <v>0</v>
      </c>
      <c r="D125" s="265">
        <v>0</v>
      </c>
      <c r="E125" s="544">
        <v>0</v>
      </c>
      <c r="F125" s="544">
        <v>0</v>
      </c>
      <c r="G125" s="265">
        <v>0</v>
      </c>
      <c r="H125" s="545">
        <v>4</v>
      </c>
      <c r="I125" s="545">
        <v>33</v>
      </c>
      <c r="J125" s="209">
        <v>37</v>
      </c>
      <c r="K125" s="717">
        <v>112</v>
      </c>
      <c r="L125" s="545">
        <v>403</v>
      </c>
      <c r="M125" s="209">
        <v>515</v>
      </c>
      <c r="N125" s="544">
        <v>0</v>
      </c>
      <c r="O125" s="544">
        <v>0</v>
      </c>
      <c r="P125" s="265">
        <v>0</v>
      </c>
      <c r="Q125" s="544">
        <v>0</v>
      </c>
      <c r="R125" s="544">
        <v>0</v>
      </c>
      <c r="S125" s="265">
        <v>0</v>
      </c>
      <c r="T125" s="716">
        <v>0</v>
      </c>
      <c r="U125" s="544">
        <v>0</v>
      </c>
      <c r="V125" s="265">
        <v>0</v>
      </c>
      <c r="W125" s="544">
        <v>0</v>
      </c>
      <c r="X125" s="544">
        <v>0</v>
      </c>
      <c r="Y125" s="265">
        <v>0</v>
      </c>
      <c r="Z125" s="209">
        <v>116</v>
      </c>
      <c r="AA125" s="209">
        <v>436</v>
      </c>
      <c r="AB125" s="209">
        <v>552</v>
      </c>
    </row>
    <row r="126" spans="1:28">
      <c r="A126" s="514" t="s">
        <v>828</v>
      </c>
      <c r="B126" s="515">
        <v>0</v>
      </c>
      <c r="C126" s="515">
        <v>0</v>
      </c>
      <c r="D126" s="515">
        <v>0</v>
      </c>
      <c r="E126" s="515">
        <v>0</v>
      </c>
      <c r="F126" s="515">
        <v>0</v>
      </c>
      <c r="G126" s="515">
        <v>0</v>
      </c>
      <c r="H126" s="515">
        <v>4</v>
      </c>
      <c r="I126" s="515">
        <v>17</v>
      </c>
      <c r="J126" s="515">
        <v>21</v>
      </c>
      <c r="K126" s="549">
        <v>146</v>
      </c>
      <c r="L126" s="515">
        <v>334</v>
      </c>
      <c r="M126" s="515">
        <v>480</v>
      </c>
      <c r="N126" s="515">
        <v>0</v>
      </c>
      <c r="O126" s="515">
        <v>0</v>
      </c>
      <c r="P126" s="515">
        <v>0</v>
      </c>
      <c r="Q126" s="515">
        <v>0</v>
      </c>
      <c r="R126" s="515">
        <v>0</v>
      </c>
      <c r="S126" s="515">
        <v>0</v>
      </c>
      <c r="T126" s="549">
        <v>0</v>
      </c>
      <c r="U126" s="515">
        <v>0</v>
      </c>
      <c r="V126" s="515">
        <v>0</v>
      </c>
      <c r="W126" s="515">
        <v>0</v>
      </c>
      <c r="X126" s="515">
        <v>0</v>
      </c>
      <c r="Y126" s="515">
        <v>0</v>
      </c>
      <c r="Z126" s="515">
        <f t="shared" ref="Z126:AB126" si="89">B126+E126+H126+K126+N126+Q126+T126+W126</f>
        <v>150</v>
      </c>
      <c r="AA126" s="515">
        <f t="shared" si="89"/>
        <v>351</v>
      </c>
      <c r="AB126" s="515">
        <f t="shared" si="89"/>
        <v>501</v>
      </c>
    </row>
    <row r="127" spans="1:28" ht="15">
      <c r="A127" s="579" t="s">
        <v>33</v>
      </c>
      <c r="B127" s="551"/>
      <c r="C127" s="551"/>
      <c r="D127" s="551"/>
      <c r="E127" s="551"/>
      <c r="F127" s="551"/>
      <c r="G127" s="551"/>
      <c r="H127" s="551"/>
      <c r="I127" s="551"/>
      <c r="J127" s="552"/>
      <c r="K127" s="551"/>
      <c r="L127" s="551"/>
      <c r="M127" s="551"/>
      <c r="N127" s="551"/>
      <c r="O127" s="551"/>
      <c r="P127" s="551"/>
      <c r="Q127" s="551"/>
      <c r="R127" s="551"/>
      <c r="S127" s="552"/>
      <c r="T127" s="551"/>
      <c r="U127" s="551"/>
      <c r="V127" s="551"/>
      <c r="W127" s="551"/>
      <c r="X127" s="551"/>
      <c r="Y127" s="551"/>
      <c r="Z127" s="551"/>
      <c r="AA127" s="551"/>
      <c r="AB127" s="552"/>
    </row>
    <row r="128" spans="1:28">
      <c r="A128" s="541" t="s">
        <v>832</v>
      </c>
      <c r="B128" s="154">
        <f ca="1">SUMIF('[2]7UnivActwithConsUnit'!$B:$B,$B128,'[2]7UnivActwithConsUnit'!D:D)+SUMIF('[2]8CollegeAct'!$B:$B,$B128,'[2]8CollegeAct'!D:D)+SUMIF(#REF!,$B128,#REF!)</f>
        <v>3006</v>
      </c>
      <c r="C128" s="154">
        <f ca="1">SUMIF('[2]7UnivActwithConsUnit'!$B:$B,$B128,'[2]7UnivActwithConsUnit'!E:E)+SUMIF('[2]8CollegeAct'!$B:$B,$B128,'[2]8CollegeAct'!E:E)+SUMIF(#REF!,$B128,#REF!)</f>
        <v>2441</v>
      </c>
      <c r="D128" s="154">
        <f ca="1">SUMIF('[2]7UnivActwithConsUnit'!$B:$B,$B128,'[2]7UnivActwithConsUnit'!F:F)+SUMIF('[2]8CollegeAct'!$B:$B,$B128,'[2]8CollegeAct'!F:F)+SUMIF(#REF!,$B128,#REF!)</f>
        <v>5447</v>
      </c>
      <c r="E128" s="154">
        <f ca="1">SUMIF('[2]7UnivActwithConsUnit'!$B:$B,$B128,'[2]7UnivActwithConsUnit'!G:G)+SUMIF('[2]8CollegeAct'!$B:$B,$B128,'[2]8CollegeAct'!G:G)+SUMIF(#REF!,$B128,#REF!)</f>
        <v>427</v>
      </c>
      <c r="F128" s="154">
        <f ca="1">SUMIF('[2]7UnivActwithConsUnit'!$B:$B,$B128,'[2]7UnivActwithConsUnit'!H:H)+SUMIF('[2]8CollegeAct'!$B:$B,$B128,'[2]8CollegeAct'!H:H)+SUMIF(#REF!,$B128,#REF!)</f>
        <v>449</v>
      </c>
      <c r="G128" s="154">
        <f ca="1">SUMIF('[2]7UnivActwithConsUnit'!$B:$B,$B128,'[2]7UnivActwithConsUnit'!I:I)+SUMIF('[2]8CollegeAct'!$B:$B,$B128,'[2]8CollegeAct'!I:I)+SUMIF(#REF!,$B128,#REF!)</f>
        <v>876</v>
      </c>
      <c r="H128" s="154">
        <f ca="1">SUMIF('[2]7UnivActwithConsUnit'!$B:$B,$B128,'[2]7UnivActwithConsUnit'!J:J)+SUMIF('[2]10CollegeEst'!$B:$B,$B128,'[2]10CollegeEst'!B:B)+SUMIF(#REF!,$B128,#REF!)</f>
        <v>125638</v>
      </c>
      <c r="I128" s="154">
        <f ca="1">SUMIF('[2]7UnivActwithConsUnit'!$B:$B,$B128,'[2]7UnivActwithConsUnit'!K:K)+SUMIF('[2]10CollegeEst'!$B:$B,$B128,'[2]10CollegeEst'!C:C)+SUMIF(#REF!,$B128,#REF!)</f>
        <v>159465</v>
      </c>
      <c r="J128" s="154">
        <f ca="1">SUMIF('[2]7UnivActwithConsUnit'!$B:$B,$B128,'[2]7UnivActwithConsUnit'!L:L)+SUMIF('[2]10CollegeEst'!$B:$B,$B128,'[2]10CollegeEst'!D:D)+SUMIF(#REF!,$B128,#REF!)</f>
        <v>285103</v>
      </c>
      <c r="K128" s="715">
        <f ca="1">SUMIF('[2]7UnivActwithConsUnit'!$B:$B,$B128,'[2]7UnivActwithConsUnit'!M:M)+SUMIF('[2]10CollegeEst'!$B:$B,$B128,'[2]10CollegeEst'!E:E)+SUMIF(#REF!,$B128,#REF!)</f>
        <v>908857</v>
      </c>
      <c r="L128" s="154">
        <f ca="1">SUMIF('[2]7UnivActwithConsUnit'!$B:$B,$B128,'[2]7UnivActwithConsUnit'!N:N)+SUMIF('[2]10CollegeEst'!$B:$B,$B128,'[2]10CollegeEst'!F:F)+SUMIF(#REF!,$B128,#REF!)</f>
        <v>802319</v>
      </c>
      <c r="M128" s="154">
        <f ca="1">SUMIF('[2]7UnivActwithConsUnit'!$B:$B,$B128,'[2]7UnivActwithConsUnit'!O:O)+SUMIF('[2]10CollegeEst'!$B:$B,$B128,'[2]10CollegeEst'!G:G)+SUMIF(#REF!,$B128,#REF!)</f>
        <v>1711176</v>
      </c>
      <c r="N128" s="154">
        <f ca="1">SUMIF('[2]7UnivActwithConsUnit'!$B:$B,$B128,'[2]7UnivActwithConsUnit'!P:P)+SUMIF('[2]8CollegeAct'!$B:$B,$B128,'[2]8CollegeAct'!P:P)+SUMIF(#REF!,$B128,#REF!)</f>
        <v>18338</v>
      </c>
      <c r="O128" s="154">
        <f ca="1">SUMIF('[2]7UnivActwithConsUnit'!$B:$B,$B128,'[2]7UnivActwithConsUnit'!Q:Q)+SUMIF('[2]8CollegeAct'!$B:$B,$B128,'[2]8CollegeAct'!Q:Q)+SUMIF(#REF!,$B128,#REF!)</f>
        <v>20012</v>
      </c>
      <c r="P128" s="154">
        <f ca="1">SUMIF('[2]7UnivActwithConsUnit'!$B:$B,$B128,'[2]7UnivActwithConsUnit'!R:R)+SUMIF('[2]8CollegeAct'!$B:$B,$B128,'[2]8CollegeAct'!R:R)+SUMIF(#REF!,$B128,#REF!)</f>
        <v>38350</v>
      </c>
      <c r="Q128" s="154">
        <f ca="1">SUMIF('[2]7UnivActwithConsUnit'!$B:$B,$B128,'[2]7UnivActwithConsUnit'!S:S)+SUMIF('[2]8CollegeAct'!$B:$B,$B128,'[2]8CollegeAct'!S:S)+SUMIF(#REF!,$B128,#REF!)</f>
        <v>75946</v>
      </c>
      <c r="R128" s="154">
        <f ca="1">SUMIF('[2]7UnivActwithConsUnit'!$B:$B,$B128,'[2]7UnivActwithConsUnit'!T:T)+SUMIF('[2]8CollegeAct'!$B:$B,$B128,'[2]8CollegeAct'!T:T)+SUMIF(#REF!,$B128,#REF!)</f>
        <v>43555</v>
      </c>
      <c r="S128" s="154">
        <f ca="1">SUMIF('[2]7UnivActwithConsUnit'!$B:$B,$B128,'[2]7UnivActwithConsUnit'!U:U)+SUMIF('[2]8CollegeAct'!$B:$B,$B128,'[2]8CollegeAct'!U:U)+SUMIF(#REF!,$B128,#REF!)</f>
        <v>119501</v>
      </c>
      <c r="T128" s="715">
        <f ca="1">SUMIF('[2]7UnivActwithConsUnit'!$B:$B,$B128,'[2]7UnivActwithConsUnit'!V:V)+SUMIF('[2]8CollegeAct'!$B:$B,$B128,'[2]8CollegeAct'!V:V)+SUMIF(#REF!,$B128,#REF!)</f>
        <v>1866</v>
      </c>
      <c r="U128" s="154">
        <f ca="1">SUMIF('[2]7UnivActwithConsUnit'!$B:$B,$B128,'[2]7UnivActwithConsUnit'!W:W)+SUMIF('[2]8CollegeAct'!$B:$B,$B128,'[2]8CollegeAct'!W:W)+SUMIF(#REF!,$B128,#REF!)</f>
        <v>1011</v>
      </c>
      <c r="V128" s="154">
        <f ca="1">SUMIF('[2]7UnivActwithConsUnit'!$B:$B,$B128,'[2]7UnivActwithConsUnit'!X:X)+SUMIF('[2]8CollegeAct'!$B:$B,$B128,'[2]8CollegeAct'!X:X)+SUMIF(#REF!,$B128,#REF!)</f>
        <v>2877</v>
      </c>
      <c r="W128" s="154">
        <f ca="1">SUMIF('[2]7UnivActwithConsUnit'!$B:$B,$B128,'[2]7UnivActwithConsUnit'!Y:Y)+SUMIF('[2]8CollegeAct'!$B:$B,$B128,'[2]8CollegeAct'!Y:Y)+SUMIF(#REF!,$B128,#REF!)</f>
        <v>10498</v>
      </c>
      <c r="X128" s="154">
        <f ca="1">SUMIF('[2]7UnivActwithConsUnit'!$B:$B,$B128,'[2]7UnivActwithConsUnit'!Z:Z)+SUMIF('[2]8CollegeAct'!$B:$B,$B128,'[2]8CollegeAct'!Z:Z)+SUMIF(#REF!,$B128,#REF!)</f>
        <v>8326</v>
      </c>
      <c r="Y128" s="154">
        <f ca="1">SUMIF('[2]7UnivActwithConsUnit'!$B:$B,$B128,'[2]7UnivActwithConsUnit'!AA:AA)+SUMIF('[2]8CollegeAct'!$B:$B,$B128,'[2]8CollegeAct'!AA:AA)+SUMIF(#REF!,$B128,#REF!)</f>
        <v>18824</v>
      </c>
      <c r="Z128" s="155">
        <f t="shared" ref="Z128:AA128" ca="1" si="90">B128+E128+H128+K128+N128+Q128+T128+W128</f>
        <v>1144576</v>
      </c>
      <c r="AA128" s="155">
        <f t="shared" ca="1" si="90"/>
        <v>1037578</v>
      </c>
      <c r="AB128" s="155">
        <f t="shared" ref="AB128" ca="1" si="91">Z128+AA128</f>
        <v>2182154</v>
      </c>
    </row>
    <row r="129" spans="1:28">
      <c r="A129" s="541" t="s">
        <v>831</v>
      </c>
      <c r="B129" s="515">
        <v>2383</v>
      </c>
      <c r="C129" s="515">
        <v>1710</v>
      </c>
      <c r="D129" s="515">
        <v>4093</v>
      </c>
      <c r="E129" s="515">
        <v>264</v>
      </c>
      <c r="F129" s="515">
        <v>379</v>
      </c>
      <c r="G129" s="515">
        <v>643</v>
      </c>
      <c r="H129" s="515">
        <v>100896</v>
      </c>
      <c r="I129" s="515">
        <v>121265</v>
      </c>
      <c r="J129" s="515">
        <v>222161</v>
      </c>
      <c r="K129" s="549">
        <v>817593</v>
      </c>
      <c r="L129" s="515">
        <v>703775</v>
      </c>
      <c r="M129" s="515">
        <v>1521368</v>
      </c>
      <c r="N129" s="515">
        <v>20714</v>
      </c>
      <c r="O129" s="515">
        <v>21793</v>
      </c>
      <c r="P129" s="515">
        <v>42507</v>
      </c>
      <c r="Q129" s="515">
        <v>76043</v>
      </c>
      <c r="R129" s="515">
        <v>45751</v>
      </c>
      <c r="S129" s="515">
        <v>121794</v>
      </c>
      <c r="T129" s="549">
        <v>1545</v>
      </c>
      <c r="U129" s="515">
        <v>847</v>
      </c>
      <c r="V129" s="515">
        <v>2392</v>
      </c>
      <c r="W129" s="515">
        <v>8300</v>
      </c>
      <c r="X129" s="515">
        <v>6086</v>
      </c>
      <c r="Y129" s="515">
        <v>14386</v>
      </c>
      <c r="Z129" s="515">
        <v>1027738</v>
      </c>
      <c r="AA129" s="515">
        <v>901606</v>
      </c>
      <c r="AB129" s="515">
        <v>1929344</v>
      </c>
    </row>
    <row r="130" spans="1:28">
      <c r="A130" s="541" t="s">
        <v>830</v>
      </c>
      <c r="B130" s="543">
        <v>2427</v>
      </c>
      <c r="C130" s="543">
        <v>1558</v>
      </c>
      <c r="D130" s="543">
        <v>3985</v>
      </c>
      <c r="E130" s="543">
        <v>299</v>
      </c>
      <c r="F130" s="543">
        <v>466</v>
      </c>
      <c r="G130" s="543">
        <v>765</v>
      </c>
      <c r="H130" s="543">
        <v>95922.90634232352</v>
      </c>
      <c r="I130" s="543">
        <v>110113.11616381344</v>
      </c>
      <c r="J130" s="543">
        <v>206036.02250613697</v>
      </c>
      <c r="K130" s="714">
        <v>790446.54182277003</v>
      </c>
      <c r="L130" s="543">
        <v>656610.29455067066</v>
      </c>
      <c r="M130" s="543">
        <v>1447056.8363734407</v>
      </c>
      <c r="N130" s="543">
        <v>27998</v>
      </c>
      <c r="O130" s="543">
        <v>31271</v>
      </c>
      <c r="P130" s="543">
        <v>59269</v>
      </c>
      <c r="Q130" s="543">
        <v>98060</v>
      </c>
      <c r="R130" s="543">
        <v>55851</v>
      </c>
      <c r="S130" s="543">
        <v>153911</v>
      </c>
      <c r="T130" s="714">
        <v>2147</v>
      </c>
      <c r="U130" s="543">
        <v>2332</v>
      </c>
      <c r="V130" s="543">
        <v>4479</v>
      </c>
      <c r="W130" s="543">
        <v>6118</v>
      </c>
      <c r="X130" s="543">
        <v>3859</v>
      </c>
      <c r="Y130" s="543">
        <v>9977</v>
      </c>
      <c r="Z130" s="200">
        <f t="shared" ref="Z130:AB130" si="92">B130+E130+H130+K130+N130+Q130+T130+W130</f>
        <v>1023418.4481650935</v>
      </c>
      <c r="AA130" s="200">
        <f t="shared" si="92"/>
        <v>862060.41071448405</v>
      </c>
      <c r="AB130" s="200">
        <f t="shared" si="92"/>
        <v>1885478.8588795776</v>
      </c>
    </row>
    <row r="131" spans="1:28">
      <c r="A131" s="541" t="s">
        <v>829</v>
      </c>
      <c r="B131" s="544">
        <v>1988</v>
      </c>
      <c r="C131" s="544">
        <v>1284</v>
      </c>
      <c r="D131" s="265">
        <v>3272</v>
      </c>
      <c r="E131" s="544">
        <v>336</v>
      </c>
      <c r="F131" s="544">
        <v>547</v>
      </c>
      <c r="G131" s="265">
        <v>883</v>
      </c>
      <c r="H131" s="544">
        <v>89227</v>
      </c>
      <c r="I131" s="544">
        <v>100343</v>
      </c>
      <c r="J131" s="265">
        <v>189570</v>
      </c>
      <c r="K131" s="716">
        <v>764823</v>
      </c>
      <c r="L131" s="544">
        <v>612641</v>
      </c>
      <c r="M131" s="265">
        <v>1377464</v>
      </c>
      <c r="N131" s="544">
        <v>24900</v>
      </c>
      <c r="O131" s="544">
        <v>26964</v>
      </c>
      <c r="P131" s="265">
        <v>51864</v>
      </c>
      <c r="Q131" s="544">
        <v>90798</v>
      </c>
      <c r="R131" s="544">
        <v>49312</v>
      </c>
      <c r="S131" s="265">
        <v>140110</v>
      </c>
      <c r="T131" s="716">
        <v>1306</v>
      </c>
      <c r="U131" s="544">
        <v>889</v>
      </c>
      <c r="V131" s="265">
        <v>2195</v>
      </c>
      <c r="W131" s="544">
        <v>4732</v>
      </c>
      <c r="X131" s="544">
        <v>3163</v>
      </c>
      <c r="Y131" s="265">
        <v>7895</v>
      </c>
      <c r="Z131" s="265">
        <v>978110</v>
      </c>
      <c r="AA131" s="265">
        <v>795143</v>
      </c>
      <c r="AB131" s="265">
        <f t="shared" ref="AB131" si="93">SUM(Z131+AA131)</f>
        <v>1773253</v>
      </c>
    </row>
    <row r="132" spans="1:28">
      <c r="A132" s="514" t="s">
        <v>828</v>
      </c>
      <c r="B132" s="515">
        <v>2243</v>
      </c>
      <c r="C132" s="515">
        <v>1585</v>
      </c>
      <c r="D132" s="515">
        <v>3828</v>
      </c>
      <c r="E132" s="515">
        <v>681</v>
      </c>
      <c r="F132" s="515">
        <v>771</v>
      </c>
      <c r="G132" s="515">
        <v>1452</v>
      </c>
      <c r="H132" s="515">
        <v>97825</v>
      </c>
      <c r="I132" s="515">
        <v>104560</v>
      </c>
      <c r="J132" s="515">
        <v>202385</v>
      </c>
      <c r="K132" s="549">
        <v>713835</v>
      </c>
      <c r="L132" s="515">
        <v>522383</v>
      </c>
      <c r="M132" s="515">
        <v>1236218</v>
      </c>
      <c r="N132" s="515">
        <v>39642</v>
      </c>
      <c r="O132" s="515">
        <v>46019</v>
      </c>
      <c r="P132" s="515">
        <v>85661</v>
      </c>
      <c r="Q132" s="515">
        <v>119986</v>
      </c>
      <c r="R132" s="515">
        <v>60392</v>
      </c>
      <c r="S132" s="515">
        <v>180378</v>
      </c>
      <c r="T132" s="549">
        <v>4980</v>
      </c>
      <c r="U132" s="515">
        <v>3695</v>
      </c>
      <c r="V132" s="515">
        <v>8675</v>
      </c>
      <c r="W132" s="515">
        <v>3930</v>
      </c>
      <c r="X132" s="515">
        <v>2655</v>
      </c>
      <c r="Y132" s="515">
        <v>6585</v>
      </c>
      <c r="Z132" s="515">
        <f t="shared" ref="Z132:AB132" si="94">B132+E132+H132+K132+N132+Q132+T132+W132</f>
        <v>983122</v>
      </c>
      <c r="AA132" s="515">
        <f t="shared" si="94"/>
        <v>742060</v>
      </c>
      <c r="AB132" s="515">
        <f t="shared" si="94"/>
        <v>1725182</v>
      </c>
    </row>
    <row r="133" spans="1:28" ht="15">
      <c r="A133" s="579" t="s">
        <v>34</v>
      </c>
      <c r="B133" s="551"/>
      <c r="C133" s="551"/>
      <c r="D133" s="551"/>
      <c r="E133" s="551"/>
      <c r="F133" s="551"/>
      <c r="G133" s="551"/>
      <c r="H133" s="551"/>
      <c r="I133" s="551"/>
      <c r="J133" s="552"/>
      <c r="K133" s="551"/>
      <c r="L133" s="551"/>
      <c r="M133" s="551"/>
      <c r="N133" s="551"/>
      <c r="O133" s="551"/>
      <c r="P133" s="551"/>
      <c r="Q133" s="551"/>
      <c r="R133" s="551"/>
      <c r="S133" s="552"/>
      <c r="T133" s="551"/>
      <c r="U133" s="551"/>
      <c r="V133" s="551"/>
      <c r="W133" s="551"/>
      <c r="X133" s="551"/>
      <c r="Y133" s="551"/>
      <c r="Z133" s="551"/>
      <c r="AA133" s="551"/>
      <c r="AB133" s="552"/>
    </row>
    <row r="134" spans="1:28">
      <c r="A134" s="541" t="s">
        <v>832</v>
      </c>
      <c r="B134" s="154">
        <f ca="1">SUMIF('[2]7UnivActwithConsUnit'!$B:$B,$B134,'[2]7UnivActwithConsUnit'!D:D)+SUMIF('[2]8CollegeAct'!$B:$B,$B134,'[2]8CollegeAct'!D:D)+SUMIF(#REF!,$B134,#REF!)</f>
        <v>7122</v>
      </c>
      <c r="C134" s="154">
        <f ca="1">SUMIF('[2]7UnivActwithConsUnit'!$B:$B,$B134,'[2]7UnivActwithConsUnit'!E:E)+SUMIF('[2]8CollegeAct'!$B:$B,$B134,'[2]8CollegeAct'!E:E)+SUMIF(#REF!,$B134,#REF!)</f>
        <v>4861</v>
      </c>
      <c r="D134" s="154">
        <f ca="1">SUMIF('[2]7UnivActwithConsUnit'!$B:$B,$B134,'[2]7UnivActwithConsUnit'!F:F)+SUMIF('[2]8CollegeAct'!$B:$B,$B134,'[2]8CollegeAct'!F:F)+SUMIF(#REF!,$B134,#REF!)</f>
        <v>11983</v>
      </c>
      <c r="E134" s="154">
        <f ca="1">SUMIF('[2]7UnivActwithConsUnit'!$B:$B,$B134,'[2]7UnivActwithConsUnit'!G:G)+SUMIF('[2]8CollegeAct'!$B:$B,$B134,'[2]8CollegeAct'!G:G)+SUMIF(#REF!,$B134,#REF!)</f>
        <v>760</v>
      </c>
      <c r="F134" s="154">
        <f ca="1">SUMIF('[2]7UnivActwithConsUnit'!$B:$B,$B134,'[2]7UnivActwithConsUnit'!H:H)+SUMIF('[2]8CollegeAct'!$B:$B,$B134,'[2]8CollegeAct'!H:H)+SUMIF(#REF!,$B134,#REF!)</f>
        <v>716</v>
      </c>
      <c r="G134" s="154">
        <f ca="1">SUMIF('[2]7UnivActwithConsUnit'!$B:$B,$B134,'[2]7UnivActwithConsUnit'!I:I)+SUMIF('[2]8CollegeAct'!$B:$B,$B134,'[2]8CollegeAct'!I:I)+SUMIF(#REF!,$B134,#REF!)</f>
        <v>1476</v>
      </c>
      <c r="H134" s="154">
        <f ca="1">SUMIF('[2]7UnivActwithConsUnit'!$B:$B,$B134,'[2]7UnivActwithConsUnit'!J:J)+SUMIF('[2]10CollegeEst'!$B:$B,$B134,'[2]10CollegeEst'!B:B)+SUMIF(#REF!,$B134,#REF!)</f>
        <v>225266</v>
      </c>
      <c r="I134" s="154">
        <f ca="1">SUMIF('[2]7UnivActwithConsUnit'!$B:$B,$B134,'[2]7UnivActwithConsUnit'!K:K)+SUMIF('[2]10CollegeEst'!$B:$B,$B134,'[2]10CollegeEst'!C:C)+SUMIF(#REF!,$B134,#REF!)</f>
        <v>253236</v>
      </c>
      <c r="J134" s="154">
        <f ca="1">SUMIF('[2]7UnivActwithConsUnit'!$B:$B,$B134,'[2]7UnivActwithConsUnit'!L:L)+SUMIF('[2]10CollegeEst'!$B:$B,$B134,'[2]10CollegeEst'!D:D)+SUMIF(#REF!,$B134,#REF!)</f>
        <v>478502</v>
      </c>
      <c r="K134" s="715">
        <f ca="1">SUMIF('[2]7UnivActwithConsUnit'!$B:$B,$B134,'[2]7UnivActwithConsUnit'!M:M)+SUMIF('[2]10CollegeEst'!$B:$B,$B134,'[2]10CollegeEst'!E:E)+SUMIF(#REF!,$B134,#REF!)</f>
        <v>1866422</v>
      </c>
      <c r="L134" s="154">
        <f ca="1">SUMIF('[2]7UnivActwithConsUnit'!$B:$B,$B134,'[2]7UnivActwithConsUnit'!N:N)+SUMIF('[2]10CollegeEst'!$B:$B,$B134,'[2]10CollegeEst'!F:F)+SUMIF(#REF!,$B134,#REF!)</f>
        <v>1526553</v>
      </c>
      <c r="M134" s="154">
        <f ca="1">SUMIF('[2]7UnivActwithConsUnit'!$B:$B,$B134,'[2]7UnivActwithConsUnit'!O:O)+SUMIF('[2]10CollegeEst'!$B:$B,$B134,'[2]10CollegeEst'!G:G)+SUMIF(#REF!,$B134,#REF!)</f>
        <v>3392975</v>
      </c>
      <c r="N134" s="154">
        <f ca="1">SUMIF('[2]7UnivActwithConsUnit'!$B:$B,$B134,'[2]7UnivActwithConsUnit'!P:P)+SUMIF('[2]8CollegeAct'!$B:$B,$B134,'[2]8CollegeAct'!P:P)+SUMIF(#REF!,$B134,#REF!)</f>
        <v>13295</v>
      </c>
      <c r="O134" s="154">
        <f ca="1">SUMIF('[2]7UnivActwithConsUnit'!$B:$B,$B134,'[2]7UnivActwithConsUnit'!Q:Q)+SUMIF('[2]8CollegeAct'!$B:$B,$B134,'[2]8CollegeAct'!Q:Q)+SUMIF(#REF!,$B134,#REF!)</f>
        <v>10337</v>
      </c>
      <c r="P134" s="154">
        <f ca="1">SUMIF('[2]7UnivActwithConsUnit'!$B:$B,$B134,'[2]7UnivActwithConsUnit'!R:R)+SUMIF('[2]8CollegeAct'!$B:$B,$B134,'[2]8CollegeAct'!R:R)+SUMIF(#REF!,$B134,#REF!)</f>
        <v>23632</v>
      </c>
      <c r="Q134" s="154">
        <f ca="1">SUMIF('[2]7UnivActwithConsUnit'!$B:$B,$B134,'[2]7UnivActwithConsUnit'!S:S)+SUMIF('[2]8CollegeAct'!$B:$B,$B134,'[2]8CollegeAct'!S:S)+SUMIF(#REF!,$B134,#REF!)</f>
        <v>183077</v>
      </c>
      <c r="R134" s="154">
        <f ca="1">SUMIF('[2]7UnivActwithConsUnit'!$B:$B,$B134,'[2]7UnivActwithConsUnit'!T:T)+SUMIF('[2]8CollegeAct'!$B:$B,$B134,'[2]8CollegeAct'!T:T)+SUMIF(#REF!,$B134,#REF!)</f>
        <v>140057</v>
      </c>
      <c r="S134" s="154">
        <f ca="1">SUMIF('[2]7UnivActwithConsUnit'!$B:$B,$B134,'[2]7UnivActwithConsUnit'!U:U)+SUMIF('[2]8CollegeAct'!$B:$B,$B134,'[2]8CollegeAct'!U:U)+SUMIF(#REF!,$B134,#REF!)</f>
        <v>323134</v>
      </c>
      <c r="T134" s="715">
        <f ca="1">SUMIF('[2]7UnivActwithConsUnit'!$B:$B,$B134,'[2]7UnivActwithConsUnit'!V:V)+SUMIF('[2]8CollegeAct'!$B:$B,$B134,'[2]8CollegeAct'!V:V)+SUMIF(#REF!,$B134,#REF!)</f>
        <v>9835</v>
      </c>
      <c r="U134" s="154">
        <f ca="1">SUMIF('[2]7UnivActwithConsUnit'!$B:$B,$B134,'[2]7UnivActwithConsUnit'!W:W)+SUMIF('[2]8CollegeAct'!$B:$B,$B134,'[2]8CollegeAct'!W:W)+SUMIF(#REF!,$B134,#REF!)</f>
        <v>8013</v>
      </c>
      <c r="V134" s="154">
        <f ca="1">SUMIF('[2]7UnivActwithConsUnit'!$B:$B,$B134,'[2]7UnivActwithConsUnit'!X:X)+SUMIF('[2]8CollegeAct'!$B:$B,$B134,'[2]8CollegeAct'!X:X)+SUMIF(#REF!,$B134,#REF!)</f>
        <v>17848</v>
      </c>
      <c r="W134" s="154">
        <f ca="1">SUMIF('[2]7UnivActwithConsUnit'!$B:$B,$B134,'[2]7UnivActwithConsUnit'!Y:Y)+SUMIF('[2]8CollegeAct'!$B:$B,$B134,'[2]8CollegeAct'!Y:Y)+SUMIF(#REF!,$B134,#REF!)</f>
        <v>8085</v>
      </c>
      <c r="X134" s="154">
        <f ca="1">SUMIF('[2]7UnivActwithConsUnit'!$B:$B,$B134,'[2]7UnivActwithConsUnit'!Z:Z)+SUMIF('[2]8CollegeAct'!$B:$B,$B134,'[2]8CollegeAct'!Z:Z)+SUMIF(#REF!,$B134,#REF!)</f>
        <v>7837</v>
      </c>
      <c r="Y134" s="154">
        <f ca="1">SUMIF('[2]7UnivActwithConsUnit'!$B:$B,$B134,'[2]7UnivActwithConsUnit'!AA:AA)+SUMIF('[2]8CollegeAct'!$B:$B,$B134,'[2]8CollegeAct'!AA:AA)+SUMIF(#REF!,$B134,#REF!)</f>
        <v>15922</v>
      </c>
      <c r="Z134" s="155">
        <f t="shared" ref="Z134:AA134" ca="1" si="95">B134+E134+H134+K134+N134+Q134+T134+W134</f>
        <v>2313862</v>
      </c>
      <c r="AA134" s="155">
        <f t="shared" ca="1" si="95"/>
        <v>1951610</v>
      </c>
      <c r="AB134" s="155">
        <f t="shared" ref="AB134" ca="1" si="96">Z134+AA134</f>
        <v>4265472</v>
      </c>
    </row>
    <row r="135" spans="1:28">
      <c r="A135" s="541" t="s">
        <v>831</v>
      </c>
      <c r="B135" s="515">
        <v>4923</v>
      </c>
      <c r="C135" s="515">
        <v>3873</v>
      </c>
      <c r="D135" s="515">
        <v>8796</v>
      </c>
      <c r="E135" s="515">
        <v>1007</v>
      </c>
      <c r="F135" s="515">
        <v>1165</v>
      </c>
      <c r="G135" s="515">
        <v>2172</v>
      </c>
      <c r="H135" s="515">
        <v>218561</v>
      </c>
      <c r="I135" s="515">
        <v>242682</v>
      </c>
      <c r="J135" s="515">
        <v>461243</v>
      </c>
      <c r="K135" s="549">
        <v>1855670</v>
      </c>
      <c r="L135" s="515">
        <v>1496019</v>
      </c>
      <c r="M135" s="515">
        <v>3351689</v>
      </c>
      <c r="N135" s="515">
        <v>11414</v>
      </c>
      <c r="O135" s="515">
        <v>8570</v>
      </c>
      <c r="P135" s="515">
        <v>19984</v>
      </c>
      <c r="Q135" s="515">
        <v>215778</v>
      </c>
      <c r="R135" s="515">
        <v>139431</v>
      </c>
      <c r="S135" s="515">
        <v>355209</v>
      </c>
      <c r="T135" s="549">
        <v>10018</v>
      </c>
      <c r="U135" s="515">
        <v>7692</v>
      </c>
      <c r="V135" s="515">
        <v>17710</v>
      </c>
      <c r="W135" s="515">
        <v>7053</v>
      </c>
      <c r="X135" s="515">
        <v>6470</v>
      </c>
      <c r="Y135" s="515">
        <v>13523</v>
      </c>
      <c r="Z135" s="515">
        <v>2324424</v>
      </c>
      <c r="AA135" s="515">
        <v>1905902</v>
      </c>
      <c r="AB135" s="515">
        <v>4230326</v>
      </c>
    </row>
    <row r="136" spans="1:28">
      <c r="A136" s="541" t="s">
        <v>830</v>
      </c>
      <c r="B136" s="543">
        <v>5365</v>
      </c>
      <c r="C136" s="543">
        <v>3841</v>
      </c>
      <c r="D136" s="543">
        <v>9206</v>
      </c>
      <c r="E136" s="543">
        <v>1176</v>
      </c>
      <c r="F136" s="543">
        <v>1245</v>
      </c>
      <c r="G136" s="543">
        <v>2421</v>
      </c>
      <c r="H136" s="543">
        <v>214429.55704424754</v>
      </c>
      <c r="I136" s="543">
        <v>231353.06880900724</v>
      </c>
      <c r="J136" s="543">
        <v>445782.62585325481</v>
      </c>
      <c r="K136" s="714">
        <v>1831960.386085392</v>
      </c>
      <c r="L136" s="543">
        <v>1482950.6642717505</v>
      </c>
      <c r="M136" s="543">
        <v>3314911.0503571425</v>
      </c>
      <c r="N136" s="543">
        <v>11566</v>
      </c>
      <c r="O136" s="543">
        <v>8164</v>
      </c>
      <c r="P136" s="543">
        <v>19730</v>
      </c>
      <c r="Q136" s="543">
        <v>194153</v>
      </c>
      <c r="R136" s="543">
        <v>121758</v>
      </c>
      <c r="S136" s="543">
        <v>315911</v>
      </c>
      <c r="T136" s="714">
        <v>6352</v>
      </c>
      <c r="U136" s="543">
        <v>5499</v>
      </c>
      <c r="V136" s="543">
        <v>11851</v>
      </c>
      <c r="W136" s="543">
        <v>6076</v>
      </c>
      <c r="X136" s="543">
        <v>5868</v>
      </c>
      <c r="Y136" s="543">
        <v>11944</v>
      </c>
      <c r="Z136" s="200">
        <f t="shared" ref="Z136:AB136" si="97">B136+E136+H136+K136+N136+Q136+T136+W136</f>
        <v>2271077.9431296396</v>
      </c>
      <c r="AA136" s="200">
        <f t="shared" si="97"/>
        <v>1860678.7330807578</v>
      </c>
      <c r="AB136" s="200">
        <f t="shared" si="97"/>
        <v>4131756.6762103974</v>
      </c>
    </row>
    <row r="137" spans="1:28">
      <c r="A137" s="541" t="s">
        <v>829</v>
      </c>
      <c r="B137" s="544">
        <v>4382</v>
      </c>
      <c r="C137" s="544">
        <v>3146</v>
      </c>
      <c r="D137" s="265">
        <v>7528</v>
      </c>
      <c r="E137" s="544">
        <v>1300</v>
      </c>
      <c r="F137" s="544">
        <v>1360</v>
      </c>
      <c r="G137" s="265">
        <v>2660</v>
      </c>
      <c r="H137" s="544">
        <v>217511</v>
      </c>
      <c r="I137" s="544">
        <v>216114</v>
      </c>
      <c r="J137" s="265">
        <v>433625</v>
      </c>
      <c r="K137" s="716">
        <v>1773334</v>
      </c>
      <c r="L137" s="544">
        <v>1416728</v>
      </c>
      <c r="M137" s="265">
        <v>3190062</v>
      </c>
      <c r="N137" s="544">
        <v>14406</v>
      </c>
      <c r="O137" s="544">
        <v>9093</v>
      </c>
      <c r="P137" s="265">
        <v>23499</v>
      </c>
      <c r="Q137" s="544">
        <v>214775</v>
      </c>
      <c r="R137" s="544">
        <v>118586</v>
      </c>
      <c r="S137" s="265">
        <v>333361</v>
      </c>
      <c r="T137" s="716">
        <v>8501</v>
      </c>
      <c r="U137" s="544">
        <v>6151</v>
      </c>
      <c r="V137" s="265">
        <v>14652</v>
      </c>
      <c r="W137" s="544">
        <v>5555</v>
      </c>
      <c r="X137" s="544">
        <v>5367</v>
      </c>
      <c r="Y137" s="265">
        <v>10922</v>
      </c>
      <c r="Z137" s="265">
        <v>2239764</v>
      </c>
      <c r="AA137" s="265">
        <v>1776545</v>
      </c>
      <c r="AB137" s="265">
        <f t="shared" ref="AB137" si="98">SUM(Z137+AA137)</f>
        <v>4016309</v>
      </c>
    </row>
    <row r="138" spans="1:28">
      <c r="A138" s="514" t="s">
        <v>828</v>
      </c>
      <c r="B138" s="515">
        <v>5757</v>
      </c>
      <c r="C138" s="515">
        <v>3472</v>
      </c>
      <c r="D138" s="515">
        <v>9229</v>
      </c>
      <c r="E138" s="515">
        <v>1487</v>
      </c>
      <c r="F138" s="515">
        <v>1413</v>
      </c>
      <c r="G138" s="515">
        <v>2900</v>
      </c>
      <c r="H138" s="515">
        <v>206709</v>
      </c>
      <c r="I138" s="515">
        <v>199916</v>
      </c>
      <c r="J138" s="515">
        <v>406625</v>
      </c>
      <c r="K138" s="549">
        <v>1776819</v>
      </c>
      <c r="L138" s="515">
        <v>1391288</v>
      </c>
      <c r="M138" s="515">
        <v>3168107</v>
      </c>
      <c r="N138" s="515">
        <v>15914</v>
      </c>
      <c r="O138" s="515">
        <v>9312</v>
      </c>
      <c r="P138" s="515">
        <v>25226</v>
      </c>
      <c r="Q138" s="515">
        <v>232018</v>
      </c>
      <c r="R138" s="515">
        <v>125937</v>
      </c>
      <c r="S138" s="515">
        <v>357955</v>
      </c>
      <c r="T138" s="549">
        <v>3983</v>
      </c>
      <c r="U138" s="515">
        <v>3297</v>
      </c>
      <c r="V138" s="515">
        <v>7280</v>
      </c>
      <c r="W138" s="515">
        <v>5133</v>
      </c>
      <c r="X138" s="515">
        <v>4857</v>
      </c>
      <c r="Y138" s="515">
        <v>9990</v>
      </c>
      <c r="Z138" s="515">
        <f t="shared" ref="Z138:AB138" si="99">B138+E138+H138+K138+N138+Q138+T138+W138</f>
        <v>2247820</v>
      </c>
      <c r="AA138" s="515">
        <f t="shared" si="99"/>
        <v>1739492</v>
      </c>
      <c r="AB138" s="515">
        <f t="shared" si="99"/>
        <v>3987312</v>
      </c>
    </row>
    <row r="139" spans="1:28" ht="15">
      <c r="A139" s="579" t="s">
        <v>35</v>
      </c>
      <c r="B139" s="551"/>
      <c r="C139" s="551"/>
      <c r="D139" s="551"/>
      <c r="E139" s="551"/>
      <c r="F139" s="551"/>
      <c r="G139" s="551"/>
      <c r="H139" s="551"/>
      <c r="I139" s="551"/>
      <c r="J139" s="552"/>
      <c r="K139" s="551"/>
      <c r="L139" s="551"/>
      <c r="M139" s="551"/>
      <c r="N139" s="551"/>
      <c r="O139" s="551"/>
      <c r="P139" s="551"/>
      <c r="Q139" s="551"/>
      <c r="R139" s="551"/>
      <c r="S139" s="552"/>
      <c r="T139" s="551"/>
      <c r="U139" s="551"/>
      <c r="V139" s="551"/>
      <c r="W139" s="551"/>
      <c r="X139" s="551"/>
      <c r="Y139" s="551"/>
      <c r="Z139" s="551"/>
      <c r="AA139" s="551"/>
      <c r="AB139" s="552"/>
    </row>
    <row r="140" spans="1:28">
      <c r="A140" s="541" t="s">
        <v>832</v>
      </c>
      <c r="B140" s="154">
        <f ca="1">SUMIF('[2]7UnivActwithConsUnit'!$B:$B,$B140,'[2]7UnivActwithConsUnit'!D:D)+SUMIF('[2]8CollegeAct'!$B:$B,$B140,'[2]8CollegeAct'!D:D)+SUMIF(#REF!,$B140,#REF!)</f>
        <v>538</v>
      </c>
      <c r="C140" s="154">
        <f ca="1">SUMIF('[2]7UnivActwithConsUnit'!$B:$B,$B140,'[2]7UnivActwithConsUnit'!E:E)+SUMIF('[2]8CollegeAct'!$B:$B,$B140,'[2]8CollegeAct'!E:E)+SUMIF(#REF!,$B140,#REF!)</f>
        <v>507</v>
      </c>
      <c r="D140" s="154">
        <f ca="1">SUMIF('[2]7UnivActwithConsUnit'!$B:$B,$B140,'[2]7UnivActwithConsUnit'!F:F)+SUMIF('[2]8CollegeAct'!$B:$B,$B140,'[2]8CollegeAct'!F:F)+SUMIF(#REF!,$B140,#REF!)</f>
        <v>1045</v>
      </c>
      <c r="E140" s="154">
        <f ca="1">SUMIF('[2]7UnivActwithConsUnit'!$B:$B,$B140,'[2]7UnivActwithConsUnit'!G:G)+SUMIF('[2]8CollegeAct'!$B:$B,$B140,'[2]8CollegeAct'!G:G)+SUMIF(#REF!,$B140,#REF!)</f>
        <v>2</v>
      </c>
      <c r="F140" s="154">
        <f ca="1">SUMIF('[2]7UnivActwithConsUnit'!$B:$B,$B140,'[2]7UnivActwithConsUnit'!H:H)+SUMIF('[2]8CollegeAct'!$B:$B,$B140,'[2]8CollegeAct'!H:H)+SUMIF(#REF!,$B140,#REF!)</f>
        <v>10</v>
      </c>
      <c r="G140" s="154">
        <f ca="1">SUMIF('[2]7UnivActwithConsUnit'!$B:$B,$B140,'[2]7UnivActwithConsUnit'!I:I)+SUMIF('[2]8CollegeAct'!$B:$B,$B140,'[2]8CollegeAct'!I:I)+SUMIF(#REF!,$B140,#REF!)</f>
        <v>12</v>
      </c>
      <c r="H140" s="154">
        <f ca="1">SUMIF('[2]7UnivActwithConsUnit'!$B:$B,$B140,'[2]7UnivActwithConsUnit'!J:J)+SUMIF('[2]10CollegeEst'!$B:$B,$B140,'[2]10CollegeEst'!B:B)+SUMIF(#REF!,$B140,#REF!)</f>
        <v>4689</v>
      </c>
      <c r="I140" s="154">
        <f ca="1">SUMIF('[2]7UnivActwithConsUnit'!$B:$B,$B140,'[2]7UnivActwithConsUnit'!K:K)+SUMIF('[2]10CollegeEst'!$B:$B,$B140,'[2]10CollegeEst'!C:C)+SUMIF(#REF!,$B140,#REF!)</f>
        <v>5087</v>
      </c>
      <c r="J140" s="154">
        <f ca="1">SUMIF('[2]7UnivActwithConsUnit'!$B:$B,$B140,'[2]7UnivActwithConsUnit'!L:L)+SUMIF('[2]10CollegeEst'!$B:$B,$B140,'[2]10CollegeEst'!D:D)+SUMIF(#REF!,$B140,#REF!)</f>
        <v>9776</v>
      </c>
      <c r="K140" s="715">
        <f ca="1">SUMIF('[2]7UnivActwithConsUnit'!$B:$B,$B140,'[2]7UnivActwithConsUnit'!M:M)+SUMIF('[2]10CollegeEst'!$B:$B,$B140,'[2]10CollegeEst'!E:E)+SUMIF(#REF!,$B140,#REF!)</f>
        <v>54042</v>
      </c>
      <c r="L140" s="154">
        <f ca="1">SUMIF('[2]7UnivActwithConsUnit'!$B:$B,$B140,'[2]7UnivActwithConsUnit'!N:N)+SUMIF('[2]10CollegeEst'!$B:$B,$B140,'[2]10CollegeEst'!F:F)+SUMIF(#REF!,$B140,#REF!)</f>
        <v>55248</v>
      </c>
      <c r="M140" s="154">
        <f ca="1">SUMIF('[2]7UnivActwithConsUnit'!$B:$B,$B140,'[2]7UnivActwithConsUnit'!O:O)+SUMIF('[2]10CollegeEst'!$B:$B,$B140,'[2]10CollegeEst'!G:G)+SUMIF(#REF!,$B140,#REF!)</f>
        <v>109290</v>
      </c>
      <c r="N140" s="154">
        <f ca="1">SUMIF('[2]7UnivActwithConsUnit'!$B:$B,$B140,'[2]7UnivActwithConsUnit'!P:P)+SUMIF('[2]8CollegeAct'!$B:$B,$B140,'[2]8CollegeAct'!P:P)+SUMIF(#REF!,$B140,#REF!)</f>
        <v>187</v>
      </c>
      <c r="O140" s="154">
        <f ca="1">SUMIF('[2]7UnivActwithConsUnit'!$B:$B,$B140,'[2]7UnivActwithConsUnit'!Q:Q)+SUMIF('[2]8CollegeAct'!$B:$B,$B140,'[2]8CollegeAct'!Q:Q)+SUMIF(#REF!,$B140,#REF!)</f>
        <v>90</v>
      </c>
      <c r="P140" s="154">
        <f ca="1">SUMIF('[2]7UnivActwithConsUnit'!$B:$B,$B140,'[2]7UnivActwithConsUnit'!R:R)+SUMIF('[2]8CollegeAct'!$B:$B,$B140,'[2]8CollegeAct'!R:R)+SUMIF(#REF!,$B140,#REF!)</f>
        <v>277</v>
      </c>
      <c r="Q140" s="154">
        <f ca="1">SUMIF('[2]7UnivActwithConsUnit'!$B:$B,$B140,'[2]7UnivActwithConsUnit'!S:S)+SUMIF('[2]8CollegeAct'!$B:$B,$B140,'[2]8CollegeAct'!S:S)+SUMIF(#REF!,$B140,#REF!)</f>
        <v>1383</v>
      </c>
      <c r="R140" s="154">
        <f ca="1">SUMIF('[2]7UnivActwithConsUnit'!$B:$B,$B140,'[2]7UnivActwithConsUnit'!T:T)+SUMIF('[2]8CollegeAct'!$B:$B,$B140,'[2]8CollegeAct'!T:T)+SUMIF(#REF!,$B140,#REF!)</f>
        <v>2573</v>
      </c>
      <c r="S140" s="154">
        <f ca="1">SUMIF('[2]7UnivActwithConsUnit'!$B:$B,$B140,'[2]7UnivActwithConsUnit'!U:U)+SUMIF('[2]8CollegeAct'!$B:$B,$B140,'[2]8CollegeAct'!U:U)+SUMIF(#REF!,$B140,#REF!)</f>
        <v>3956</v>
      </c>
      <c r="T140" s="715">
        <f ca="1">SUMIF('[2]7UnivActwithConsUnit'!$B:$B,$B140,'[2]7UnivActwithConsUnit'!V:V)+SUMIF('[2]8CollegeAct'!$B:$B,$B140,'[2]8CollegeAct'!V:V)+SUMIF(#REF!,$B140,#REF!)</f>
        <v>77</v>
      </c>
      <c r="U140" s="154">
        <f ca="1">SUMIF('[2]7UnivActwithConsUnit'!$B:$B,$B140,'[2]7UnivActwithConsUnit'!W:W)+SUMIF('[2]8CollegeAct'!$B:$B,$B140,'[2]8CollegeAct'!W:W)+SUMIF(#REF!,$B140,#REF!)</f>
        <v>105</v>
      </c>
      <c r="V140" s="154">
        <f ca="1">SUMIF('[2]7UnivActwithConsUnit'!$B:$B,$B140,'[2]7UnivActwithConsUnit'!X:X)+SUMIF('[2]8CollegeAct'!$B:$B,$B140,'[2]8CollegeAct'!X:X)+SUMIF(#REF!,$B140,#REF!)</f>
        <v>182</v>
      </c>
      <c r="W140" s="154">
        <f ca="1">SUMIF('[2]7UnivActwithConsUnit'!$B:$B,$B140,'[2]7UnivActwithConsUnit'!Y:Y)+SUMIF('[2]8CollegeAct'!$B:$B,$B140,'[2]8CollegeAct'!Y:Y)+SUMIF(#REF!,$B140,#REF!)</f>
        <v>0</v>
      </c>
      <c r="X140" s="154">
        <f ca="1">SUMIF('[2]7UnivActwithConsUnit'!$B:$B,$B140,'[2]7UnivActwithConsUnit'!Z:Z)+SUMIF('[2]8CollegeAct'!$B:$B,$B140,'[2]8CollegeAct'!Z:Z)+SUMIF(#REF!,$B140,#REF!)</f>
        <v>0</v>
      </c>
      <c r="Y140" s="154">
        <f ca="1">SUMIF('[2]7UnivActwithConsUnit'!$B:$B,$B140,'[2]7UnivActwithConsUnit'!AA:AA)+SUMIF('[2]8CollegeAct'!$B:$B,$B140,'[2]8CollegeAct'!AA:AA)+SUMIF(#REF!,$B140,#REF!)</f>
        <v>0</v>
      </c>
      <c r="Z140" s="155">
        <f t="shared" ref="Z140:AA140" ca="1" si="100">B140+E140+H140+K140+N140+Q140+T140+W140</f>
        <v>60918</v>
      </c>
      <c r="AA140" s="155">
        <f t="shared" ca="1" si="100"/>
        <v>63620</v>
      </c>
      <c r="AB140" s="155">
        <f t="shared" ref="AB140" ca="1" si="101">Z140+AA140</f>
        <v>124538</v>
      </c>
    </row>
    <row r="141" spans="1:28">
      <c r="A141" s="541" t="s">
        <v>831</v>
      </c>
      <c r="B141" s="515">
        <v>601</v>
      </c>
      <c r="C141" s="515">
        <v>487</v>
      </c>
      <c r="D141" s="515">
        <v>1088</v>
      </c>
      <c r="E141" s="515">
        <v>1</v>
      </c>
      <c r="F141" s="515">
        <v>10</v>
      </c>
      <c r="G141" s="515">
        <v>11</v>
      </c>
      <c r="H141" s="515">
        <v>4143</v>
      </c>
      <c r="I141" s="515">
        <v>4296</v>
      </c>
      <c r="J141" s="515">
        <v>8439</v>
      </c>
      <c r="K141" s="549">
        <v>48415</v>
      </c>
      <c r="L141" s="515">
        <v>48928</v>
      </c>
      <c r="M141" s="515">
        <v>97343</v>
      </c>
      <c r="N141" s="515">
        <v>137</v>
      </c>
      <c r="O141" s="515">
        <v>93</v>
      </c>
      <c r="P141" s="515">
        <v>230</v>
      </c>
      <c r="Q141" s="515">
        <v>1288</v>
      </c>
      <c r="R141" s="515">
        <v>1788</v>
      </c>
      <c r="S141" s="515">
        <v>3076</v>
      </c>
      <c r="T141" s="549">
        <v>94</v>
      </c>
      <c r="U141" s="515">
        <v>96</v>
      </c>
      <c r="V141" s="515">
        <v>190</v>
      </c>
      <c r="W141" s="515">
        <v>0</v>
      </c>
      <c r="X141" s="515">
        <v>0</v>
      </c>
      <c r="Y141" s="515">
        <v>0</v>
      </c>
      <c r="Z141" s="515">
        <v>54679</v>
      </c>
      <c r="AA141" s="515">
        <v>55698</v>
      </c>
      <c r="AB141" s="515">
        <v>110377</v>
      </c>
    </row>
    <row r="142" spans="1:28">
      <c r="A142" s="541" t="s">
        <v>830</v>
      </c>
      <c r="B142" s="543">
        <v>332</v>
      </c>
      <c r="C142" s="543">
        <v>314</v>
      </c>
      <c r="D142" s="543">
        <v>646</v>
      </c>
      <c r="E142" s="543">
        <v>0</v>
      </c>
      <c r="F142" s="543">
        <v>7</v>
      </c>
      <c r="G142" s="543">
        <v>7</v>
      </c>
      <c r="H142" s="543">
        <v>4467.0058442846948</v>
      </c>
      <c r="I142" s="543">
        <v>3667.6823511592738</v>
      </c>
      <c r="J142" s="543">
        <v>8134.6881954439687</v>
      </c>
      <c r="K142" s="714">
        <v>45380.869593728305</v>
      </c>
      <c r="L142" s="543">
        <v>48526.413332074699</v>
      </c>
      <c r="M142" s="543">
        <v>93907.282925803011</v>
      </c>
      <c r="N142" s="543">
        <v>127</v>
      </c>
      <c r="O142" s="543">
        <v>54</v>
      </c>
      <c r="P142" s="543">
        <v>181</v>
      </c>
      <c r="Q142" s="543">
        <v>964</v>
      </c>
      <c r="R142" s="543">
        <v>810</v>
      </c>
      <c r="S142" s="543">
        <v>1774</v>
      </c>
      <c r="T142" s="714">
        <v>0</v>
      </c>
      <c r="U142" s="543">
        <v>30</v>
      </c>
      <c r="V142" s="543">
        <v>30</v>
      </c>
      <c r="W142" s="543">
        <v>0</v>
      </c>
      <c r="X142" s="543">
        <v>0</v>
      </c>
      <c r="Y142" s="543">
        <v>0</v>
      </c>
      <c r="Z142" s="200">
        <f t="shared" ref="Z142:AB142" si="102">B142+E142+H142+K142+N142+Q142+T142+W142</f>
        <v>51270.875438012998</v>
      </c>
      <c r="AA142" s="200">
        <f t="shared" si="102"/>
        <v>53409.095683233973</v>
      </c>
      <c r="AB142" s="200">
        <f t="shared" si="102"/>
        <v>104679.97112124698</v>
      </c>
    </row>
    <row r="143" spans="1:28">
      <c r="A143" s="541" t="s">
        <v>829</v>
      </c>
      <c r="B143" s="544">
        <v>392</v>
      </c>
      <c r="C143" s="544">
        <v>334</v>
      </c>
      <c r="D143" s="265">
        <v>726</v>
      </c>
      <c r="E143" s="544">
        <v>0</v>
      </c>
      <c r="F143" s="544">
        <v>3</v>
      </c>
      <c r="G143" s="265">
        <v>3</v>
      </c>
      <c r="H143" s="544">
        <v>4361</v>
      </c>
      <c r="I143" s="544">
        <v>4085</v>
      </c>
      <c r="J143" s="265">
        <v>8446</v>
      </c>
      <c r="K143" s="716">
        <v>44119</v>
      </c>
      <c r="L143" s="544">
        <v>45645</v>
      </c>
      <c r="M143" s="265">
        <v>89764</v>
      </c>
      <c r="N143" s="544">
        <v>163</v>
      </c>
      <c r="O143" s="544">
        <v>76</v>
      </c>
      <c r="P143" s="265">
        <v>239</v>
      </c>
      <c r="Q143" s="544">
        <v>1031</v>
      </c>
      <c r="R143" s="544">
        <v>783</v>
      </c>
      <c r="S143" s="265">
        <v>1814</v>
      </c>
      <c r="T143" s="716">
        <v>0</v>
      </c>
      <c r="U143" s="544">
        <v>70</v>
      </c>
      <c r="V143" s="265">
        <v>70</v>
      </c>
      <c r="W143" s="544">
        <v>0</v>
      </c>
      <c r="X143" s="544">
        <v>0</v>
      </c>
      <c r="Y143" s="265">
        <v>0</v>
      </c>
      <c r="Z143" s="265">
        <v>50066</v>
      </c>
      <c r="AA143" s="265">
        <v>50996</v>
      </c>
      <c r="AB143" s="265">
        <f t="shared" ref="AB143" si="103">SUM(Z143+AA143)</f>
        <v>101062</v>
      </c>
    </row>
    <row r="144" spans="1:28">
      <c r="A144" s="514" t="s">
        <v>828</v>
      </c>
      <c r="B144" s="515">
        <v>315</v>
      </c>
      <c r="C144" s="515">
        <v>303</v>
      </c>
      <c r="D144" s="515">
        <v>618</v>
      </c>
      <c r="E144" s="515">
        <v>1</v>
      </c>
      <c r="F144" s="515">
        <v>13</v>
      </c>
      <c r="G144" s="515">
        <v>14</v>
      </c>
      <c r="H144" s="515">
        <v>3958</v>
      </c>
      <c r="I144" s="515">
        <v>3541</v>
      </c>
      <c r="J144" s="515">
        <v>7499</v>
      </c>
      <c r="K144" s="549">
        <v>45194</v>
      </c>
      <c r="L144" s="515">
        <v>44616</v>
      </c>
      <c r="M144" s="515">
        <v>89810</v>
      </c>
      <c r="N144" s="515">
        <v>233</v>
      </c>
      <c r="O144" s="515">
        <v>113</v>
      </c>
      <c r="P144" s="515">
        <v>346</v>
      </c>
      <c r="Q144" s="515">
        <v>693</v>
      </c>
      <c r="R144" s="515">
        <v>229</v>
      </c>
      <c r="S144" s="515">
        <v>922</v>
      </c>
      <c r="T144" s="549">
        <v>45</v>
      </c>
      <c r="U144" s="515">
        <v>86</v>
      </c>
      <c r="V144" s="515">
        <v>131</v>
      </c>
      <c r="W144" s="515">
        <v>0</v>
      </c>
      <c r="X144" s="515">
        <v>0</v>
      </c>
      <c r="Y144" s="515">
        <v>0</v>
      </c>
      <c r="Z144" s="515">
        <f t="shared" ref="Z144:AB144" si="104">B144+E144+H144+K144+N144+Q144+T144+W144</f>
        <v>50439</v>
      </c>
      <c r="AA144" s="515">
        <f t="shared" si="104"/>
        <v>48901</v>
      </c>
      <c r="AB144" s="515">
        <f t="shared" si="104"/>
        <v>99340</v>
      </c>
    </row>
    <row r="145" spans="1:28" ht="15">
      <c r="A145" s="579" t="s">
        <v>36</v>
      </c>
      <c r="B145" s="551"/>
      <c r="C145" s="551"/>
      <c r="D145" s="551"/>
      <c r="E145" s="551"/>
      <c r="F145" s="551"/>
      <c r="G145" s="551"/>
      <c r="H145" s="551"/>
      <c r="I145" s="551"/>
      <c r="J145" s="552"/>
      <c r="K145" s="551"/>
      <c r="L145" s="551"/>
      <c r="M145" s="551"/>
      <c r="N145" s="551"/>
      <c r="O145" s="551"/>
      <c r="P145" s="551"/>
      <c r="Q145" s="551"/>
      <c r="R145" s="551"/>
      <c r="S145" s="552"/>
      <c r="T145" s="551"/>
      <c r="U145" s="551"/>
      <c r="V145" s="551"/>
      <c r="W145" s="551"/>
      <c r="X145" s="551"/>
      <c r="Y145" s="551"/>
      <c r="Z145" s="551"/>
      <c r="AA145" s="551"/>
      <c r="AB145" s="552"/>
    </row>
    <row r="146" spans="1:28">
      <c r="A146" s="541" t="s">
        <v>832</v>
      </c>
      <c r="B146" s="154">
        <f ca="1">SUMIF('[2]7UnivActwithConsUnit'!$B:$B,$B146,'[2]7UnivActwithConsUnit'!D:D)+SUMIF('[2]8CollegeAct'!$B:$B,$B146,'[2]8CollegeAct'!D:D)+SUMIF(#REF!,$B146,#REF!)</f>
        <v>492</v>
      </c>
      <c r="C146" s="154">
        <f ca="1">SUMIF('[2]7UnivActwithConsUnit'!$B:$B,$B146,'[2]7UnivActwithConsUnit'!E:E)+SUMIF('[2]8CollegeAct'!$B:$B,$B146,'[2]8CollegeAct'!E:E)+SUMIF(#REF!,$B146,#REF!)</f>
        <v>378</v>
      </c>
      <c r="D146" s="154">
        <f ca="1">SUMIF('[2]7UnivActwithConsUnit'!$B:$B,$B146,'[2]7UnivActwithConsUnit'!F:F)+SUMIF('[2]8CollegeAct'!$B:$B,$B146,'[2]8CollegeAct'!F:F)+SUMIF(#REF!,$B146,#REF!)</f>
        <v>870</v>
      </c>
      <c r="E146" s="154">
        <f ca="1">SUMIF('[2]7UnivActwithConsUnit'!$B:$B,$B146,'[2]7UnivActwithConsUnit'!G:G)+SUMIF('[2]8CollegeAct'!$B:$B,$B146,'[2]8CollegeAct'!G:G)+SUMIF(#REF!,$B146,#REF!)</f>
        <v>10</v>
      </c>
      <c r="F146" s="154">
        <f ca="1">SUMIF('[2]7UnivActwithConsUnit'!$B:$B,$B146,'[2]7UnivActwithConsUnit'!H:H)+SUMIF('[2]8CollegeAct'!$B:$B,$B146,'[2]8CollegeAct'!H:H)+SUMIF(#REF!,$B146,#REF!)</f>
        <v>23</v>
      </c>
      <c r="G146" s="154">
        <f ca="1">SUMIF('[2]7UnivActwithConsUnit'!$B:$B,$B146,'[2]7UnivActwithConsUnit'!I:I)+SUMIF('[2]8CollegeAct'!$B:$B,$B146,'[2]8CollegeAct'!I:I)+SUMIF(#REF!,$B146,#REF!)</f>
        <v>33</v>
      </c>
      <c r="H146" s="154">
        <f ca="1">SUMIF('[2]7UnivActwithConsUnit'!$B:$B,$B146,'[2]7UnivActwithConsUnit'!J:J)+SUMIF('[2]10CollegeEst'!$B:$B,$B146,'[2]10CollegeEst'!B:B)+SUMIF(#REF!,$B146,#REF!)</f>
        <v>4146</v>
      </c>
      <c r="I146" s="154">
        <f ca="1">SUMIF('[2]7UnivActwithConsUnit'!$B:$B,$B146,'[2]7UnivActwithConsUnit'!K:K)+SUMIF('[2]10CollegeEst'!$B:$B,$B146,'[2]10CollegeEst'!C:C)+SUMIF(#REF!,$B146,#REF!)</f>
        <v>6139</v>
      </c>
      <c r="J146" s="154">
        <f ca="1">SUMIF('[2]7UnivActwithConsUnit'!$B:$B,$B146,'[2]7UnivActwithConsUnit'!L:L)+SUMIF('[2]10CollegeEst'!$B:$B,$B146,'[2]10CollegeEst'!D:D)+SUMIF(#REF!,$B146,#REF!)</f>
        <v>10285</v>
      </c>
      <c r="K146" s="715">
        <f ca="1">SUMIF('[2]7UnivActwithConsUnit'!$B:$B,$B146,'[2]7UnivActwithConsUnit'!M:M)+SUMIF('[2]10CollegeEst'!$B:$B,$B146,'[2]10CollegeEst'!E:E)+SUMIF(#REF!,$B146,#REF!)</f>
        <v>33881</v>
      </c>
      <c r="L146" s="154">
        <f ca="1">SUMIF('[2]7UnivActwithConsUnit'!$B:$B,$B146,'[2]7UnivActwithConsUnit'!N:N)+SUMIF('[2]10CollegeEst'!$B:$B,$B146,'[2]10CollegeEst'!F:F)+SUMIF(#REF!,$B146,#REF!)</f>
        <v>39321</v>
      </c>
      <c r="M146" s="154">
        <f ca="1">SUMIF('[2]7UnivActwithConsUnit'!$B:$B,$B146,'[2]7UnivActwithConsUnit'!O:O)+SUMIF('[2]10CollegeEst'!$B:$B,$B146,'[2]10CollegeEst'!G:G)+SUMIF(#REF!,$B146,#REF!)</f>
        <v>73202</v>
      </c>
      <c r="N146" s="154">
        <f ca="1">SUMIF('[2]7UnivActwithConsUnit'!$B:$B,$B146,'[2]7UnivActwithConsUnit'!P:P)+SUMIF('[2]8CollegeAct'!$B:$B,$B146,'[2]8CollegeAct'!P:P)+SUMIF(#REF!,$B146,#REF!)</f>
        <v>114</v>
      </c>
      <c r="O146" s="154">
        <f ca="1">SUMIF('[2]7UnivActwithConsUnit'!$B:$B,$B146,'[2]7UnivActwithConsUnit'!Q:Q)+SUMIF('[2]8CollegeAct'!$B:$B,$B146,'[2]8CollegeAct'!Q:Q)+SUMIF(#REF!,$B146,#REF!)</f>
        <v>70</v>
      </c>
      <c r="P146" s="154">
        <f ca="1">SUMIF('[2]7UnivActwithConsUnit'!$B:$B,$B146,'[2]7UnivActwithConsUnit'!R:R)+SUMIF('[2]8CollegeAct'!$B:$B,$B146,'[2]8CollegeAct'!R:R)+SUMIF(#REF!,$B146,#REF!)</f>
        <v>184</v>
      </c>
      <c r="Q146" s="154">
        <f ca="1">SUMIF('[2]7UnivActwithConsUnit'!$B:$B,$B146,'[2]7UnivActwithConsUnit'!S:S)+SUMIF('[2]8CollegeAct'!$B:$B,$B146,'[2]8CollegeAct'!S:S)+SUMIF(#REF!,$B146,#REF!)</f>
        <v>1083</v>
      </c>
      <c r="R146" s="154">
        <f ca="1">SUMIF('[2]7UnivActwithConsUnit'!$B:$B,$B146,'[2]7UnivActwithConsUnit'!T:T)+SUMIF('[2]8CollegeAct'!$B:$B,$B146,'[2]8CollegeAct'!T:T)+SUMIF(#REF!,$B146,#REF!)</f>
        <v>1666</v>
      </c>
      <c r="S146" s="154">
        <f ca="1">SUMIF('[2]7UnivActwithConsUnit'!$B:$B,$B146,'[2]7UnivActwithConsUnit'!U:U)+SUMIF('[2]8CollegeAct'!$B:$B,$B146,'[2]8CollegeAct'!U:U)+SUMIF(#REF!,$B146,#REF!)</f>
        <v>2749</v>
      </c>
      <c r="T146" s="715">
        <f ca="1">SUMIF('[2]7UnivActwithConsUnit'!$B:$B,$B146,'[2]7UnivActwithConsUnit'!V:V)+SUMIF('[2]8CollegeAct'!$B:$B,$B146,'[2]8CollegeAct'!V:V)+SUMIF(#REF!,$B146,#REF!)</f>
        <v>48</v>
      </c>
      <c r="U146" s="154">
        <f ca="1">SUMIF('[2]7UnivActwithConsUnit'!$B:$B,$B146,'[2]7UnivActwithConsUnit'!W:W)+SUMIF('[2]8CollegeAct'!$B:$B,$B146,'[2]8CollegeAct'!W:W)+SUMIF(#REF!,$B146,#REF!)</f>
        <v>48</v>
      </c>
      <c r="V146" s="154">
        <f ca="1">SUMIF('[2]7UnivActwithConsUnit'!$B:$B,$B146,'[2]7UnivActwithConsUnit'!X:X)+SUMIF('[2]8CollegeAct'!$B:$B,$B146,'[2]8CollegeAct'!X:X)+SUMIF(#REF!,$B146,#REF!)</f>
        <v>96</v>
      </c>
      <c r="W146" s="154">
        <f ca="1">SUMIF('[2]7UnivActwithConsUnit'!$B:$B,$B146,'[2]7UnivActwithConsUnit'!Y:Y)+SUMIF('[2]8CollegeAct'!$B:$B,$B146,'[2]8CollegeAct'!Y:Y)+SUMIF(#REF!,$B146,#REF!)</f>
        <v>70</v>
      </c>
      <c r="X146" s="154">
        <f ca="1">SUMIF('[2]7UnivActwithConsUnit'!$B:$B,$B146,'[2]7UnivActwithConsUnit'!Z:Z)+SUMIF('[2]8CollegeAct'!$B:$B,$B146,'[2]8CollegeAct'!Z:Z)+SUMIF(#REF!,$B146,#REF!)</f>
        <v>52</v>
      </c>
      <c r="Y146" s="154">
        <f ca="1">SUMIF('[2]7UnivActwithConsUnit'!$B:$B,$B146,'[2]7UnivActwithConsUnit'!AA:AA)+SUMIF('[2]8CollegeAct'!$B:$B,$B146,'[2]8CollegeAct'!AA:AA)+SUMIF(#REF!,$B146,#REF!)</f>
        <v>122</v>
      </c>
      <c r="Z146" s="155">
        <f t="shared" ref="Z146:AA146" ca="1" si="105">B146+E146+H146+K146+N146+Q146+T146+W146</f>
        <v>39844</v>
      </c>
      <c r="AA146" s="155">
        <f t="shared" ca="1" si="105"/>
        <v>47697</v>
      </c>
      <c r="AB146" s="155">
        <f t="shared" ref="AB146" ca="1" si="106">Z146+AA146</f>
        <v>87541</v>
      </c>
    </row>
    <row r="147" spans="1:28">
      <c r="A147" s="541" t="s">
        <v>831</v>
      </c>
      <c r="B147" s="515">
        <v>475</v>
      </c>
      <c r="C147" s="515">
        <v>678</v>
      </c>
      <c r="D147" s="515">
        <v>1153</v>
      </c>
      <c r="E147" s="515">
        <v>29</v>
      </c>
      <c r="F147" s="515">
        <v>46</v>
      </c>
      <c r="G147" s="515">
        <v>75</v>
      </c>
      <c r="H147" s="515">
        <v>3760</v>
      </c>
      <c r="I147" s="515">
        <v>5817</v>
      </c>
      <c r="J147" s="515">
        <v>9577</v>
      </c>
      <c r="K147" s="549">
        <v>33868</v>
      </c>
      <c r="L147" s="515">
        <v>38949</v>
      </c>
      <c r="M147" s="515">
        <v>72817</v>
      </c>
      <c r="N147" s="515">
        <v>118</v>
      </c>
      <c r="O147" s="515">
        <v>85</v>
      </c>
      <c r="P147" s="515">
        <v>203</v>
      </c>
      <c r="Q147" s="515">
        <v>1159</v>
      </c>
      <c r="R147" s="515">
        <v>1853</v>
      </c>
      <c r="S147" s="515">
        <v>3012</v>
      </c>
      <c r="T147" s="549">
        <v>0</v>
      </c>
      <c r="U147" s="515">
        <v>0</v>
      </c>
      <c r="V147" s="515">
        <v>0</v>
      </c>
      <c r="W147" s="515">
        <v>52</v>
      </c>
      <c r="X147" s="515">
        <v>42</v>
      </c>
      <c r="Y147" s="515">
        <v>94</v>
      </c>
      <c r="Z147" s="515">
        <v>39461</v>
      </c>
      <c r="AA147" s="515">
        <v>47470</v>
      </c>
      <c r="AB147" s="515">
        <v>86931</v>
      </c>
    </row>
    <row r="148" spans="1:28">
      <c r="A148" s="541" t="s">
        <v>830</v>
      </c>
      <c r="B148" s="543">
        <v>466</v>
      </c>
      <c r="C148" s="543">
        <v>513</v>
      </c>
      <c r="D148" s="543">
        <v>979</v>
      </c>
      <c r="E148" s="543">
        <v>29</v>
      </c>
      <c r="F148" s="543">
        <v>57</v>
      </c>
      <c r="G148" s="543">
        <v>86</v>
      </c>
      <c r="H148" s="543">
        <v>4534.6169960883171</v>
      </c>
      <c r="I148" s="543">
        <v>4906.526674096649</v>
      </c>
      <c r="J148" s="543">
        <v>9441.143670184967</v>
      </c>
      <c r="K148" s="714">
        <v>34233.096490820324</v>
      </c>
      <c r="L148" s="543">
        <v>36155.56319698006</v>
      </c>
      <c r="M148" s="543">
        <v>70388.659687800377</v>
      </c>
      <c r="N148" s="543">
        <v>122</v>
      </c>
      <c r="O148" s="543">
        <v>112</v>
      </c>
      <c r="P148" s="543">
        <v>234</v>
      </c>
      <c r="Q148" s="543">
        <v>890</v>
      </c>
      <c r="R148" s="543">
        <v>1482</v>
      </c>
      <c r="S148" s="543">
        <v>2372</v>
      </c>
      <c r="T148" s="714">
        <v>113</v>
      </c>
      <c r="U148" s="543">
        <v>141</v>
      </c>
      <c r="V148" s="543">
        <v>254</v>
      </c>
      <c r="W148" s="543">
        <v>40</v>
      </c>
      <c r="X148" s="543">
        <v>27</v>
      </c>
      <c r="Y148" s="543">
        <v>67</v>
      </c>
      <c r="Z148" s="200">
        <f t="shared" ref="Z148:AB148" si="107">B148+E148+H148+K148+N148+Q148+T148+W148</f>
        <v>40427.713486908644</v>
      </c>
      <c r="AA148" s="200">
        <f t="shared" si="107"/>
        <v>43394.089871076707</v>
      </c>
      <c r="AB148" s="200">
        <f t="shared" si="107"/>
        <v>83821.803357985336</v>
      </c>
    </row>
    <row r="149" spans="1:28">
      <c r="A149" s="541" t="s">
        <v>829</v>
      </c>
      <c r="B149" s="544">
        <v>471</v>
      </c>
      <c r="C149" s="544">
        <v>492</v>
      </c>
      <c r="D149" s="265">
        <v>963</v>
      </c>
      <c r="E149" s="544">
        <v>108</v>
      </c>
      <c r="F149" s="544">
        <v>137</v>
      </c>
      <c r="G149" s="265">
        <v>245</v>
      </c>
      <c r="H149" s="544">
        <v>3649</v>
      </c>
      <c r="I149" s="544">
        <v>5436</v>
      </c>
      <c r="J149" s="265">
        <v>9085</v>
      </c>
      <c r="K149" s="716">
        <v>33487</v>
      </c>
      <c r="L149" s="544">
        <v>33924</v>
      </c>
      <c r="M149" s="265">
        <v>67411</v>
      </c>
      <c r="N149" s="544">
        <v>119</v>
      </c>
      <c r="O149" s="544">
        <v>109</v>
      </c>
      <c r="P149" s="265">
        <v>228</v>
      </c>
      <c r="Q149" s="544">
        <v>833</v>
      </c>
      <c r="R149" s="544">
        <v>1215</v>
      </c>
      <c r="S149" s="265">
        <v>2048</v>
      </c>
      <c r="T149" s="716">
        <v>193</v>
      </c>
      <c r="U149" s="544">
        <v>81</v>
      </c>
      <c r="V149" s="265">
        <v>274</v>
      </c>
      <c r="W149" s="544">
        <v>21</v>
      </c>
      <c r="X149" s="544">
        <v>17</v>
      </c>
      <c r="Y149" s="265">
        <v>38</v>
      </c>
      <c r="Z149" s="265">
        <v>38881</v>
      </c>
      <c r="AA149" s="265">
        <v>41411</v>
      </c>
      <c r="AB149" s="265">
        <f t="shared" ref="AB149" si="108">SUM(Z149+AA149)</f>
        <v>80292</v>
      </c>
    </row>
    <row r="150" spans="1:28">
      <c r="A150" s="514" t="s">
        <v>828</v>
      </c>
      <c r="B150" s="515">
        <v>382</v>
      </c>
      <c r="C150" s="515">
        <v>428</v>
      </c>
      <c r="D150" s="515">
        <v>810</v>
      </c>
      <c r="E150" s="515">
        <v>61</v>
      </c>
      <c r="F150" s="515">
        <v>142</v>
      </c>
      <c r="G150" s="515">
        <v>203</v>
      </c>
      <c r="H150" s="515">
        <v>3683</v>
      </c>
      <c r="I150" s="515">
        <v>5333</v>
      </c>
      <c r="J150" s="515">
        <v>9016</v>
      </c>
      <c r="K150" s="549">
        <v>29772</v>
      </c>
      <c r="L150" s="515">
        <v>30082</v>
      </c>
      <c r="M150" s="515">
        <v>59854</v>
      </c>
      <c r="N150" s="515">
        <v>109</v>
      </c>
      <c r="O150" s="515">
        <v>84</v>
      </c>
      <c r="P150" s="515">
        <v>193</v>
      </c>
      <c r="Q150" s="515">
        <v>496</v>
      </c>
      <c r="R150" s="515">
        <v>816</v>
      </c>
      <c r="S150" s="515">
        <v>1312</v>
      </c>
      <c r="T150" s="549">
        <v>88</v>
      </c>
      <c r="U150" s="515">
        <v>78</v>
      </c>
      <c r="V150" s="515">
        <v>166</v>
      </c>
      <c r="W150" s="515">
        <v>8</v>
      </c>
      <c r="X150" s="515">
        <v>5</v>
      </c>
      <c r="Y150" s="515">
        <v>13</v>
      </c>
      <c r="Z150" s="515">
        <f t="shared" ref="Z150:AB150" si="109">B150+E150+H150+K150+N150+Q150+T150+W150</f>
        <v>34599</v>
      </c>
      <c r="AA150" s="515">
        <f t="shared" si="109"/>
        <v>36968</v>
      </c>
      <c r="AB150" s="515">
        <f t="shared" si="109"/>
        <v>71567</v>
      </c>
    </row>
    <row r="151" spans="1:28" ht="15">
      <c r="A151" s="579" t="s">
        <v>37</v>
      </c>
      <c r="B151" s="551"/>
      <c r="C151" s="551"/>
      <c r="D151" s="551"/>
      <c r="E151" s="551"/>
      <c r="F151" s="551"/>
      <c r="G151" s="551"/>
      <c r="H151" s="551"/>
      <c r="I151" s="551"/>
      <c r="J151" s="552"/>
      <c r="K151" s="551"/>
      <c r="L151" s="551"/>
      <c r="M151" s="551"/>
      <c r="N151" s="551"/>
      <c r="O151" s="551"/>
      <c r="P151" s="551"/>
      <c r="Q151" s="551"/>
      <c r="R151" s="551"/>
      <c r="S151" s="552"/>
      <c r="T151" s="551"/>
      <c r="U151" s="551"/>
      <c r="V151" s="551"/>
      <c r="W151" s="551"/>
      <c r="X151" s="551"/>
      <c r="Y151" s="551"/>
      <c r="Z151" s="551"/>
      <c r="AA151" s="551"/>
      <c r="AB151" s="552"/>
    </row>
    <row r="152" spans="1:28">
      <c r="A152" s="541" t="s">
        <v>832</v>
      </c>
      <c r="B152" s="154">
        <f ca="1">SUMIF('[2]7UnivActwithConsUnit'!$B:$B,$B152,'[2]7UnivActwithConsUnit'!D:D)+SUMIF('[2]8CollegeAct'!$B:$B,$B152,'[2]8CollegeAct'!D:D)+SUMIF(#REF!,$B152,#REF!)</f>
        <v>479</v>
      </c>
      <c r="C152" s="154">
        <f ca="1">SUMIF('[2]7UnivActwithConsUnit'!$B:$B,$B152,'[2]7UnivActwithConsUnit'!E:E)+SUMIF('[2]8CollegeAct'!$B:$B,$B152,'[2]8CollegeAct'!E:E)+SUMIF(#REF!,$B152,#REF!)</f>
        <v>388</v>
      </c>
      <c r="D152" s="154">
        <f ca="1">SUMIF('[2]7UnivActwithConsUnit'!$B:$B,$B152,'[2]7UnivActwithConsUnit'!F:F)+SUMIF('[2]8CollegeAct'!$B:$B,$B152,'[2]8CollegeAct'!F:F)+SUMIF(#REF!,$B152,#REF!)</f>
        <v>867</v>
      </c>
      <c r="E152" s="154">
        <f ca="1">SUMIF('[2]7UnivActwithConsUnit'!$B:$B,$B152,'[2]7UnivActwithConsUnit'!G:G)+SUMIF('[2]8CollegeAct'!$B:$B,$B152,'[2]8CollegeAct'!G:G)+SUMIF(#REF!,$B152,#REF!)</f>
        <v>75</v>
      </c>
      <c r="F152" s="154">
        <f ca="1">SUMIF('[2]7UnivActwithConsUnit'!$B:$B,$B152,'[2]7UnivActwithConsUnit'!H:H)+SUMIF('[2]8CollegeAct'!$B:$B,$B152,'[2]8CollegeAct'!H:H)+SUMIF(#REF!,$B152,#REF!)</f>
        <v>77</v>
      </c>
      <c r="G152" s="154">
        <f ca="1">SUMIF('[2]7UnivActwithConsUnit'!$B:$B,$B152,'[2]7UnivActwithConsUnit'!I:I)+SUMIF('[2]8CollegeAct'!$B:$B,$B152,'[2]8CollegeAct'!I:I)+SUMIF(#REF!,$B152,#REF!)</f>
        <v>152</v>
      </c>
      <c r="H152" s="154">
        <f ca="1">SUMIF('[2]7UnivActwithConsUnit'!$B:$B,$B152,'[2]7UnivActwithConsUnit'!J:J)+SUMIF('[2]10CollegeEst'!$B:$B,$B152,'[2]10CollegeEst'!B:B)+SUMIF(#REF!,$B152,#REF!)</f>
        <v>1982</v>
      </c>
      <c r="I152" s="154">
        <f ca="1">SUMIF('[2]7UnivActwithConsUnit'!$B:$B,$B152,'[2]7UnivActwithConsUnit'!K:K)+SUMIF('[2]10CollegeEst'!$B:$B,$B152,'[2]10CollegeEst'!C:C)+SUMIF(#REF!,$B152,#REF!)</f>
        <v>2239</v>
      </c>
      <c r="J152" s="154">
        <f ca="1">SUMIF('[2]7UnivActwithConsUnit'!$B:$B,$B152,'[2]7UnivActwithConsUnit'!L:L)+SUMIF('[2]10CollegeEst'!$B:$B,$B152,'[2]10CollegeEst'!D:D)+SUMIF(#REF!,$B152,#REF!)</f>
        <v>4221</v>
      </c>
      <c r="K152" s="715">
        <f ca="1">SUMIF('[2]7UnivActwithConsUnit'!$B:$B,$B152,'[2]7UnivActwithConsUnit'!M:M)+SUMIF('[2]10CollegeEst'!$B:$B,$B152,'[2]10CollegeEst'!E:E)+SUMIF(#REF!,$B152,#REF!)</f>
        <v>13503</v>
      </c>
      <c r="L152" s="154">
        <f ca="1">SUMIF('[2]7UnivActwithConsUnit'!$B:$B,$B152,'[2]7UnivActwithConsUnit'!N:N)+SUMIF('[2]10CollegeEst'!$B:$B,$B152,'[2]10CollegeEst'!F:F)+SUMIF(#REF!,$B152,#REF!)</f>
        <v>11793</v>
      </c>
      <c r="M152" s="154">
        <f ca="1">SUMIF('[2]7UnivActwithConsUnit'!$B:$B,$B152,'[2]7UnivActwithConsUnit'!O:O)+SUMIF('[2]10CollegeEst'!$B:$B,$B152,'[2]10CollegeEst'!G:G)+SUMIF(#REF!,$B152,#REF!)</f>
        <v>25296</v>
      </c>
      <c r="N152" s="154">
        <f ca="1">SUMIF('[2]7UnivActwithConsUnit'!$B:$B,$B152,'[2]7UnivActwithConsUnit'!P:P)+SUMIF('[2]8CollegeAct'!$B:$B,$B152,'[2]8CollegeAct'!P:P)+SUMIF(#REF!,$B152,#REF!)</f>
        <v>90</v>
      </c>
      <c r="O152" s="154">
        <f ca="1">SUMIF('[2]7UnivActwithConsUnit'!$B:$B,$B152,'[2]7UnivActwithConsUnit'!Q:Q)+SUMIF('[2]8CollegeAct'!$B:$B,$B152,'[2]8CollegeAct'!Q:Q)+SUMIF(#REF!,$B152,#REF!)</f>
        <v>113</v>
      </c>
      <c r="P152" s="154">
        <f ca="1">SUMIF('[2]7UnivActwithConsUnit'!$B:$B,$B152,'[2]7UnivActwithConsUnit'!R:R)+SUMIF('[2]8CollegeAct'!$B:$B,$B152,'[2]8CollegeAct'!R:R)+SUMIF(#REF!,$B152,#REF!)</f>
        <v>203</v>
      </c>
      <c r="Q152" s="154">
        <f ca="1">SUMIF('[2]7UnivActwithConsUnit'!$B:$B,$B152,'[2]7UnivActwithConsUnit'!S:S)+SUMIF('[2]8CollegeAct'!$B:$B,$B152,'[2]8CollegeAct'!S:S)+SUMIF(#REF!,$B152,#REF!)</f>
        <v>676</v>
      </c>
      <c r="R152" s="154">
        <f ca="1">SUMIF('[2]7UnivActwithConsUnit'!$B:$B,$B152,'[2]7UnivActwithConsUnit'!T:T)+SUMIF('[2]8CollegeAct'!$B:$B,$B152,'[2]8CollegeAct'!T:T)+SUMIF(#REF!,$B152,#REF!)</f>
        <v>1285</v>
      </c>
      <c r="S152" s="154">
        <f ca="1">SUMIF('[2]7UnivActwithConsUnit'!$B:$B,$B152,'[2]7UnivActwithConsUnit'!U:U)+SUMIF('[2]8CollegeAct'!$B:$B,$B152,'[2]8CollegeAct'!U:U)+SUMIF(#REF!,$B152,#REF!)</f>
        <v>1961</v>
      </c>
      <c r="T152" s="715">
        <f ca="1">SUMIF('[2]7UnivActwithConsUnit'!$B:$B,$B152,'[2]7UnivActwithConsUnit'!V:V)+SUMIF('[2]8CollegeAct'!$B:$B,$B152,'[2]8CollegeAct'!V:V)+SUMIF(#REF!,$B152,#REF!)</f>
        <v>304</v>
      </c>
      <c r="U152" s="154">
        <f ca="1">SUMIF('[2]7UnivActwithConsUnit'!$B:$B,$B152,'[2]7UnivActwithConsUnit'!W:W)+SUMIF('[2]8CollegeAct'!$B:$B,$B152,'[2]8CollegeAct'!W:W)+SUMIF(#REF!,$B152,#REF!)</f>
        <v>159</v>
      </c>
      <c r="V152" s="154">
        <f ca="1">SUMIF('[2]7UnivActwithConsUnit'!$B:$B,$B152,'[2]7UnivActwithConsUnit'!X:X)+SUMIF('[2]8CollegeAct'!$B:$B,$B152,'[2]8CollegeAct'!X:X)+SUMIF(#REF!,$B152,#REF!)</f>
        <v>463</v>
      </c>
      <c r="W152" s="154">
        <f ca="1">SUMIF('[2]7UnivActwithConsUnit'!$B:$B,$B152,'[2]7UnivActwithConsUnit'!Y:Y)+SUMIF('[2]8CollegeAct'!$B:$B,$B152,'[2]8CollegeAct'!Y:Y)+SUMIF(#REF!,$B152,#REF!)</f>
        <v>47</v>
      </c>
      <c r="X152" s="154">
        <f ca="1">SUMIF('[2]7UnivActwithConsUnit'!$B:$B,$B152,'[2]7UnivActwithConsUnit'!Z:Z)+SUMIF('[2]8CollegeAct'!$B:$B,$B152,'[2]8CollegeAct'!Z:Z)+SUMIF(#REF!,$B152,#REF!)</f>
        <v>26</v>
      </c>
      <c r="Y152" s="154">
        <f ca="1">SUMIF('[2]7UnivActwithConsUnit'!$B:$B,$B152,'[2]7UnivActwithConsUnit'!AA:AA)+SUMIF('[2]8CollegeAct'!$B:$B,$B152,'[2]8CollegeAct'!AA:AA)+SUMIF(#REF!,$B152,#REF!)</f>
        <v>73</v>
      </c>
      <c r="Z152" s="155">
        <f t="shared" ref="Z152:AA152" ca="1" si="110">B152+E152+H152+K152+N152+Q152+T152+W152</f>
        <v>17156</v>
      </c>
      <c r="AA152" s="155">
        <f t="shared" ca="1" si="110"/>
        <v>16080</v>
      </c>
      <c r="AB152" s="155">
        <f t="shared" ref="AB152" ca="1" si="111">Z152+AA152</f>
        <v>33236</v>
      </c>
    </row>
    <row r="153" spans="1:28">
      <c r="A153" s="541" t="s">
        <v>831</v>
      </c>
      <c r="B153" s="515">
        <v>415</v>
      </c>
      <c r="C153" s="515">
        <v>368</v>
      </c>
      <c r="D153" s="515">
        <v>783</v>
      </c>
      <c r="E153" s="515">
        <v>77</v>
      </c>
      <c r="F153" s="515">
        <v>112</v>
      </c>
      <c r="G153" s="515">
        <v>189</v>
      </c>
      <c r="H153" s="515">
        <v>1919</v>
      </c>
      <c r="I153" s="515">
        <v>2096</v>
      </c>
      <c r="J153" s="515">
        <v>4015</v>
      </c>
      <c r="K153" s="549">
        <v>13095</v>
      </c>
      <c r="L153" s="515">
        <v>11475</v>
      </c>
      <c r="M153" s="515">
        <v>24570</v>
      </c>
      <c r="N153" s="515">
        <v>215</v>
      </c>
      <c r="O153" s="515">
        <v>255</v>
      </c>
      <c r="P153" s="515">
        <v>470</v>
      </c>
      <c r="Q153" s="515">
        <v>780</v>
      </c>
      <c r="R153" s="515">
        <v>1465</v>
      </c>
      <c r="S153" s="515">
        <v>2245</v>
      </c>
      <c r="T153" s="549">
        <v>285</v>
      </c>
      <c r="U153" s="515">
        <v>171</v>
      </c>
      <c r="V153" s="515">
        <v>456</v>
      </c>
      <c r="W153" s="515">
        <v>66</v>
      </c>
      <c r="X153" s="515">
        <v>44</v>
      </c>
      <c r="Y153" s="515">
        <v>110</v>
      </c>
      <c r="Z153" s="515">
        <v>16852</v>
      </c>
      <c r="AA153" s="515">
        <v>15986</v>
      </c>
      <c r="AB153" s="515">
        <v>32838</v>
      </c>
    </row>
    <row r="154" spans="1:28">
      <c r="A154" s="541" t="s">
        <v>830</v>
      </c>
      <c r="B154" s="543">
        <v>347</v>
      </c>
      <c r="C154" s="543">
        <v>296</v>
      </c>
      <c r="D154" s="543">
        <v>643</v>
      </c>
      <c r="E154" s="543">
        <v>71</v>
      </c>
      <c r="F154" s="543">
        <v>75</v>
      </c>
      <c r="G154" s="543">
        <v>146</v>
      </c>
      <c r="H154" s="543">
        <v>2206</v>
      </c>
      <c r="I154" s="543">
        <v>1852</v>
      </c>
      <c r="J154" s="543">
        <v>4058</v>
      </c>
      <c r="K154" s="714">
        <v>12348</v>
      </c>
      <c r="L154" s="543">
        <v>10079</v>
      </c>
      <c r="M154" s="543">
        <v>22427</v>
      </c>
      <c r="N154" s="543">
        <v>20</v>
      </c>
      <c r="O154" s="543">
        <v>12</v>
      </c>
      <c r="P154" s="543">
        <v>32</v>
      </c>
      <c r="Q154" s="543">
        <v>613</v>
      </c>
      <c r="R154" s="543">
        <v>1140</v>
      </c>
      <c r="S154" s="543">
        <v>1753</v>
      </c>
      <c r="T154" s="714">
        <v>190</v>
      </c>
      <c r="U154" s="543">
        <v>143</v>
      </c>
      <c r="V154" s="543">
        <v>333</v>
      </c>
      <c r="W154" s="543">
        <v>66</v>
      </c>
      <c r="X154" s="543">
        <v>37</v>
      </c>
      <c r="Y154" s="543">
        <v>103</v>
      </c>
      <c r="Z154" s="200">
        <f t="shared" ref="Z154:AB154" si="112">B154+E154+H154+K154+N154+Q154+T154+W154</f>
        <v>15861</v>
      </c>
      <c r="AA154" s="200">
        <f t="shared" si="112"/>
        <v>13634</v>
      </c>
      <c r="AB154" s="200">
        <f t="shared" si="112"/>
        <v>29495</v>
      </c>
    </row>
    <row r="155" spans="1:28">
      <c r="A155" s="541" t="s">
        <v>829</v>
      </c>
      <c r="B155" s="544">
        <v>362</v>
      </c>
      <c r="C155" s="544">
        <v>256</v>
      </c>
      <c r="D155" s="265">
        <v>618</v>
      </c>
      <c r="E155" s="544">
        <v>82</v>
      </c>
      <c r="F155" s="544">
        <v>95</v>
      </c>
      <c r="G155" s="265">
        <v>177</v>
      </c>
      <c r="H155" s="544">
        <v>2011</v>
      </c>
      <c r="I155" s="544">
        <v>2140</v>
      </c>
      <c r="J155" s="265">
        <v>4151</v>
      </c>
      <c r="K155" s="716">
        <v>12961</v>
      </c>
      <c r="L155" s="544">
        <v>11584</v>
      </c>
      <c r="M155" s="265">
        <v>24545</v>
      </c>
      <c r="N155" s="544">
        <v>43</v>
      </c>
      <c r="O155" s="544">
        <v>13</v>
      </c>
      <c r="P155" s="265">
        <v>56</v>
      </c>
      <c r="Q155" s="544">
        <v>763</v>
      </c>
      <c r="R155" s="544">
        <v>1317</v>
      </c>
      <c r="S155" s="265">
        <v>2080</v>
      </c>
      <c r="T155" s="716">
        <v>0</v>
      </c>
      <c r="U155" s="544">
        <v>0</v>
      </c>
      <c r="V155" s="265">
        <v>0</v>
      </c>
      <c r="W155" s="544">
        <v>56</v>
      </c>
      <c r="X155" s="544">
        <v>36</v>
      </c>
      <c r="Y155" s="265">
        <v>92</v>
      </c>
      <c r="Z155" s="265">
        <v>16278</v>
      </c>
      <c r="AA155" s="265">
        <v>15441</v>
      </c>
      <c r="AB155" s="265">
        <f t="shared" ref="AB155" si="113">SUM(Z155+AA155)</f>
        <v>31719</v>
      </c>
    </row>
    <row r="156" spans="1:28">
      <c r="A156" s="514" t="s">
        <v>828</v>
      </c>
      <c r="B156" s="515">
        <v>287</v>
      </c>
      <c r="C156" s="515">
        <v>268</v>
      </c>
      <c r="D156" s="515">
        <v>555</v>
      </c>
      <c r="E156" s="515">
        <v>48</v>
      </c>
      <c r="F156" s="515">
        <v>76</v>
      </c>
      <c r="G156" s="515">
        <v>124</v>
      </c>
      <c r="H156" s="515">
        <v>1807</v>
      </c>
      <c r="I156" s="515">
        <v>1844</v>
      </c>
      <c r="J156" s="515">
        <v>3651</v>
      </c>
      <c r="K156" s="549">
        <v>12151</v>
      </c>
      <c r="L156" s="515">
        <v>11044</v>
      </c>
      <c r="M156" s="515">
        <v>23195</v>
      </c>
      <c r="N156" s="515">
        <v>23</v>
      </c>
      <c r="O156" s="515">
        <v>11</v>
      </c>
      <c r="P156" s="515">
        <v>34</v>
      </c>
      <c r="Q156" s="515">
        <v>1979</v>
      </c>
      <c r="R156" s="515">
        <v>1836</v>
      </c>
      <c r="S156" s="515">
        <v>3815</v>
      </c>
      <c r="T156" s="549">
        <v>7</v>
      </c>
      <c r="U156" s="515">
        <v>20</v>
      </c>
      <c r="V156" s="515">
        <v>27</v>
      </c>
      <c r="W156" s="515">
        <v>40</v>
      </c>
      <c r="X156" s="515">
        <v>22</v>
      </c>
      <c r="Y156" s="515">
        <v>62</v>
      </c>
      <c r="Z156" s="515">
        <f t="shared" ref="Z156:AB156" si="114">B156+E156+H156+K156+N156+Q156+T156+W156</f>
        <v>16342</v>
      </c>
      <c r="AA156" s="515">
        <f t="shared" si="114"/>
        <v>15121</v>
      </c>
      <c r="AB156" s="515">
        <f t="shared" si="114"/>
        <v>31463</v>
      </c>
    </row>
    <row r="157" spans="1:28" ht="15">
      <c r="A157" s="579" t="s">
        <v>38</v>
      </c>
      <c r="B157" s="551"/>
      <c r="C157" s="551"/>
      <c r="D157" s="551"/>
      <c r="E157" s="551"/>
      <c r="F157" s="551"/>
      <c r="G157" s="551"/>
      <c r="H157" s="551"/>
      <c r="I157" s="551"/>
      <c r="J157" s="552"/>
      <c r="K157" s="551"/>
      <c r="L157" s="551"/>
      <c r="M157" s="551"/>
      <c r="N157" s="551"/>
      <c r="O157" s="551"/>
      <c r="P157" s="551"/>
      <c r="Q157" s="551"/>
      <c r="R157" s="551"/>
      <c r="S157" s="552"/>
      <c r="T157" s="551"/>
      <c r="U157" s="551"/>
      <c r="V157" s="551"/>
      <c r="W157" s="551"/>
      <c r="X157" s="551"/>
      <c r="Y157" s="551"/>
      <c r="Z157" s="551"/>
      <c r="AA157" s="551"/>
      <c r="AB157" s="552"/>
    </row>
    <row r="158" spans="1:28">
      <c r="A158" s="541" t="s">
        <v>832</v>
      </c>
      <c r="B158" s="154">
        <f ca="1">SUMIF('[2]7UnivActwithConsUnit'!$B:$B,$B158,'[2]7UnivActwithConsUnit'!D:D)+SUMIF('[2]8CollegeAct'!$B:$B,$B158,'[2]8CollegeAct'!D:D)+SUMIF(#REF!,$B158,#REF!)</f>
        <v>270</v>
      </c>
      <c r="C158" s="154">
        <f ca="1">SUMIF('[2]7UnivActwithConsUnit'!$B:$B,$B158,'[2]7UnivActwithConsUnit'!E:E)+SUMIF('[2]8CollegeAct'!$B:$B,$B158,'[2]8CollegeAct'!E:E)+SUMIF(#REF!,$B158,#REF!)</f>
        <v>307</v>
      </c>
      <c r="D158" s="154">
        <f ca="1">SUMIF('[2]7UnivActwithConsUnit'!$B:$B,$B158,'[2]7UnivActwithConsUnit'!F:F)+SUMIF('[2]8CollegeAct'!$B:$B,$B158,'[2]8CollegeAct'!F:F)+SUMIF(#REF!,$B158,#REF!)</f>
        <v>577</v>
      </c>
      <c r="E158" s="154">
        <f ca="1">SUMIF('[2]7UnivActwithConsUnit'!$B:$B,$B158,'[2]7UnivActwithConsUnit'!G:G)+SUMIF('[2]8CollegeAct'!$B:$B,$B158,'[2]8CollegeAct'!G:G)+SUMIF(#REF!,$B158,#REF!)</f>
        <v>10</v>
      </c>
      <c r="F158" s="154">
        <f ca="1">SUMIF('[2]7UnivActwithConsUnit'!$B:$B,$B158,'[2]7UnivActwithConsUnit'!H:H)+SUMIF('[2]8CollegeAct'!$B:$B,$B158,'[2]8CollegeAct'!H:H)+SUMIF(#REF!,$B158,#REF!)</f>
        <v>28</v>
      </c>
      <c r="G158" s="154">
        <f ca="1">SUMIF('[2]7UnivActwithConsUnit'!$B:$B,$B158,'[2]7UnivActwithConsUnit'!I:I)+SUMIF('[2]8CollegeAct'!$B:$B,$B158,'[2]8CollegeAct'!I:I)+SUMIF(#REF!,$B158,#REF!)</f>
        <v>38</v>
      </c>
      <c r="H158" s="154">
        <f ca="1">SUMIF('[2]7UnivActwithConsUnit'!$B:$B,$B158,'[2]7UnivActwithConsUnit'!J:J)+SUMIF('[2]10CollegeEst'!$B:$B,$B158,'[2]10CollegeEst'!B:B)+SUMIF(#REF!,$B158,#REF!)</f>
        <v>2063</v>
      </c>
      <c r="I158" s="154">
        <f ca="1">SUMIF('[2]7UnivActwithConsUnit'!$B:$B,$B158,'[2]7UnivActwithConsUnit'!K:K)+SUMIF('[2]10CollegeEst'!$B:$B,$B158,'[2]10CollegeEst'!C:C)+SUMIF(#REF!,$B158,#REF!)</f>
        <v>3503</v>
      </c>
      <c r="J158" s="154">
        <f ca="1">SUMIF('[2]7UnivActwithConsUnit'!$B:$B,$B158,'[2]7UnivActwithConsUnit'!L:L)+SUMIF('[2]10CollegeEst'!$B:$B,$B158,'[2]10CollegeEst'!D:D)+SUMIF(#REF!,$B158,#REF!)</f>
        <v>5566</v>
      </c>
      <c r="K158" s="715">
        <f ca="1">SUMIF('[2]7UnivActwithConsUnit'!$B:$B,$B158,'[2]7UnivActwithConsUnit'!M:M)+SUMIF('[2]10CollegeEst'!$B:$B,$B158,'[2]10CollegeEst'!E:E)+SUMIF(#REF!,$B158,#REF!)</f>
        <v>16982</v>
      </c>
      <c r="L158" s="154">
        <f ca="1">SUMIF('[2]7UnivActwithConsUnit'!$B:$B,$B158,'[2]7UnivActwithConsUnit'!N:N)+SUMIF('[2]10CollegeEst'!$B:$B,$B158,'[2]10CollegeEst'!F:F)+SUMIF(#REF!,$B158,#REF!)</f>
        <v>19252</v>
      </c>
      <c r="M158" s="154">
        <f ca="1">SUMIF('[2]7UnivActwithConsUnit'!$B:$B,$B158,'[2]7UnivActwithConsUnit'!O:O)+SUMIF('[2]10CollegeEst'!$B:$B,$B158,'[2]10CollegeEst'!G:G)+SUMIF(#REF!,$B158,#REF!)</f>
        <v>36234</v>
      </c>
      <c r="N158" s="154">
        <f ca="1">SUMIF('[2]7UnivActwithConsUnit'!$B:$B,$B158,'[2]7UnivActwithConsUnit'!P:P)+SUMIF('[2]8CollegeAct'!$B:$B,$B158,'[2]8CollegeAct'!P:P)+SUMIF(#REF!,$B158,#REF!)</f>
        <v>65</v>
      </c>
      <c r="O158" s="154">
        <f ca="1">SUMIF('[2]7UnivActwithConsUnit'!$B:$B,$B158,'[2]7UnivActwithConsUnit'!Q:Q)+SUMIF('[2]8CollegeAct'!$B:$B,$B158,'[2]8CollegeAct'!Q:Q)+SUMIF(#REF!,$B158,#REF!)</f>
        <v>168</v>
      </c>
      <c r="P158" s="154">
        <f ca="1">SUMIF('[2]7UnivActwithConsUnit'!$B:$B,$B158,'[2]7UnivActwithConsUnit'!R:R)+SUMIF('[2]8CollegeAct'!$B:$B,$B158,'[2]8CollegeAct'!R:R)+SUMIF(#REF!,$B158,#REF!)</f>
        <v>233</v>
      </c>
      <c r="Q158" s="154">
        <f ca="1">SUMIF('[2]7UnivActwithConsUnit'!$B:$B,$B158,'[2]7UnivActwithConsUnit'!S:S)+SUMIF('[2]8CollegeAct'!$B:$B,$B158,'[2]8CollegeAct'!S:S)+SUMIF(#REF!,$B158,#REF!)</f>
        <v>842</v>
      </c>
      <c r="R158" s="154">
        <f ca="1">SUMIF('[2]7UnivActwithConsUnit'!$B:$B,$B158,'[2]7UnivActwithConsUnit'!T:T)+SUMIF('[2]8CollegeAct'!$B:$B,$B158,'[2]8CollegeAct'!T:T)+SUMIF(#REF!,$B158,#REF!)</f>
        <v>1027</v>
      </c>
      <c r="S158" s="154">
        <f ca="1">SUMIF('[2]7UnivActwithConsUnit'!$B:$B,$B158,'[2]7UnivActwithConsUnit'!U:U)+SUMIF('[2]8CollegeAct'!$B:$B,$B158,'[2]8CollegeAct'!U:U)+SUMIF(#REF!,$B158,#REF!)</f>
        <v>1869</v>
      </c>
      <c r="T158" s="715">
        <f ca="1">SUMIF('[2]7UnivActwithConsUnit'!$B:$B,$B158,'[2]7UnivActwithConsUnit'!V:V)+SUMIF('[2]8CollegeAct'!$B:$B,$B158,'[2]8CollegeAct'!V:V)+SUMIF(#REF!,$B158,#REF!)</f>
        <v>17</v>
      </c>
      <c r="U158" s="154">
        <f ca="1">SUMIF('[2]7UnivActwithConsUnit'!$B:$B,$B158,'[2]7UnivActwithConsUnit'!W:W)+SUMIF('[2]8CollegeAct'!$B:$B,$B158,'[2]8CollegeAct'!W:W)+SUMIF(#REF!,$B158,#REF!)</f>
        <v>21</v>
      </c>
      <c r="V158" s="154">
        <f ca="1">SUMIF('[2]7UnivActwithConsUnit'!$B:$B,$B158,'[2]7UnivActwithConsUnit'!X:X)+SUMIF('[2]8CollegeAct'!$B:$B,$B158,'[2]8CollegeAct'!X:X)+SUMIF(#REF!,$B158,#REF!)</f>
        <v>38</v>
      </c>
      <c r="W158" s="154">
        <f ca="1">SUMIF('[2]7UnivActwithConsUnit'!$B:$B,$B158,'[2]7UnivActwithConsUnit'!Y:Y)+SUMIF('[2]8CollegeAct'!$B:$B,$B158,'[2]8CollegeAct'!Y:Y)+SUMIF(#REF!,$B158,#REF!)</f>
        <v>6</v>
      </c>
      <c r="X158" s="154">
        <f ca="1">SUMIF('[2]7UnivActwithConsUnit'!$B:$B,$B158,'[2]7UnivActwithConsUnit'!Z:Z)+SUMIF('[2]8CollegeAct'!$B:$B,$B158,'[2]8CollegeAct'!Z:Z)+SUMIF(#REF!,$B158,#REF!)</f>
        <v>0</v>
      </c>
      <c r="Y158" s="154">
        <f ca="1">SUMIF('[2]7UnivActwithConsUnit'!$B:$B,$B158,'[2]7UnivActwithConsUnit'!AA:AA)+SUMIF('[2]8CollegeAct'!$B:$B,$B158,'[2]8CollegeAct'!AA:AA)+SUMIF(#REF!,$B158,#REF!)</f>
        <v>6</v>
      </c>
      <c r="Z158" s="155">
        <f t="shared" ref="Z158:AA158" ca="1" si="115">B158+E158+H158+K158+N158+Q158+T158+W158</f>
        <v>20255</v>
      </c>
      <c r="AA158" s="155">
        <f t="shared" ca="1" si="115"/>
        <v>24306</v>
      </c>
      <c r="AB158" s="155">
        <f t="shared" ref="AB158" ca="1" si="116">Z158+AA158</f>
        <v>44561</v>
      </c>
    </row>
    <row r="159" spans="1:28">
      <c r="A159" s="541" t="s">
        <v>831</v>
      </c>
      <c r="B159" s="515">
        <v>235</v>
      </c>
      <c r="C159" s="515">
        <v>257</v>
      </c>
      <c r="D159" s="515">
        <v>492</v>
      </c>
      <c r="E159" s="515">
        <v>6</v>
      </c>
      <c r="F159" s="515">
        <v>12</v>
      </c>
      <c r="G159" s="515">
        <v>18</v>
      </c>
      <c r="H159" s="515">
        <v>2886</v>
      </c>
      <c r="I159" s="515">
        <v>3412</v>
      </c>
      <c r="J159" s="515">
        <v>6298</v>
      </c>
      <c r="K159" s="549">
        <v>17428</v>
      </c>
      <c r="L159" s="515">
        <v>18485</v>
      </c>
      <c r="M159" s="515">
        <v>35913</v>
      </c>
      <c r="N159" s="515">
        <v>86</v>
      </c>
      <c r="O159" s="515">
        <v>150</v>
      </c>
      <c r="P159" s="515">
        <v>236</v>
      </c>
      <c r="Q159" s="515">
        <v>1262</v>
      </c>
      <c r="R159" s="515">
        <v>1100</v>
      </c>
      <c r="S159" s="515">
        <v>2362</v>
      </c>
      <c r="T159" s="549">
        <v>69</v>
      </c>
      <c r="U159" s="515">
        <v>59</v>
      </c>
      <c r="V159" s="515">
        <v>128</v>
      </c>
      <c r="W159" s="515">
        <v>15</v>
      </c>
      <c r="X159" s="515">
        <v>0</v>
      </c>
      <c r="Y159" s="515">
        <v>15</v>
      </c>
      <c r="Z159" s="515">
        <v>21987</v>
      </c>
      <c r="AA159" s="515">
        <v>23475</v>
      </c>
      <c r="AB159" s="515">
        <v>45462</v>
      </c>
    </row>
    <row r="160" spans="1:28">
      <c r="A160" s="541" t="s">
        <v>830</v>
      </c>
      <c r="B160" s="543">
        <v>222</v>
      </c>
      <c r="C160" s="543">
        <v>201</v>
      </c>
      <c r="D160" s="543">
        <v>423</v>
      </c>
      <c r="E160" s="543">
        <v>11</v>
      </c>
      <c r="F160" s="543">
        <v>23</v>
      </c>
      <c r="G160" s="543">
        <v>34</v>
      </c>
      <c r="H160" s="543">
        <v>3538</v>
      </c>
      <c r="I160" s="543">
        <v>2564</v>
      </c>
      <c r="J160" s="543">
        <v>6102</v>
      </c>
      <c r="K160" s="714">
        <v>17197</v>
      </c>
      <c r="L160" s="543">
        <v>17467</v>
      </c>
      <c r="M160" s="543">
        <v>34664</v>
      </c>
      <c r="N160" s="543">
        <v>39</v>
      </c>
      <c r="O160" s="543">
        <v>79</v>
      </c>
      <c r="P160" s="543">
        <v>118</v>
      </c>
      <c r="Q160" s="543">
        <v>1041</v>
      </c>
      <c r="R160" s="543">
        <v>1060</v>
      </c>
      <c r="S160" s="543">
        <v>2101</v>
      </c>
      <c r="T160" s="714">
        <v>55</v>
      </c>
      <c r="U160" s="543">
        <v>45</v>
      </c>
      <c r="V160" s="543">
        <v>100</v>
      </c>
      <c r="W160" s="543">
        <v>15</v>
      </c>
      <c r="X160" s="543">
        <v>0</v>
      </c>
      <c r="Y160" s="543">
        <v>15</v>
      </c>
      <c r="Z160" s="200">
        <f t="shared" ref="Z160:AB160" si="117">B160+E160+H160+K160+N160+Q160+T160+W160</f>
        <v>22118</v>
      </c>
      <c r="AA160" s="200">
        <f t="shared" si="117"/>
        <v>21439</v>
      </c>
      <c r="AB160" s="200">
        <f t="shared" si="117"/>
        <v>43557</v>
      </c>
    </row>
    <row r="161" spans="1:28">
      <c r="A161" s="541" t="s">
        <v>829</v>
      </c>
      <c r="B161" s="544">
        <v>94</v>
      </c>
      <c r="C161" s="544">
        <v>138</v>
      </c>
      <c r="D161" s="265">
        <v>232</v>
      </c>
      <c r="E161" s="544">
        <v>1</v>
      </c>
      <c r="F161" s="544">
        <v>9</v>
      </c>
      <c r="G161" s="265">
        <v>10</v>
      </c>
      <c r="H161" s="544">
        <v>2968</v>
      </c>
      <c r="I161" s="544">
        <v>2824</v>
      </c>
      <c r="J161" s="265">
        <v>5792</v>
      </c>
      <c r="K161" s="716">
        <v>15980</v>
      </c>
      <c r="L161" s="544">
        <v>16339</v>
      </c>
      <c r="M161" s="265">
        <v>32319</v>
      </c>
      <c r="N161" s="544">
        <v>47</v>
      </c>
      <c r="O161" s="544">
        <v>101</v>
      </c>
      <c r="P161" s="265">
        <v>148</v>
      </c>
      <c r="Q161" s="544">
        <v>1044</v>
      </c>
      <c r="R161" s="544">
        <v>1124</v>
      </c>
      <c r="S161" s="265">
        <v>2168</v>
      </c>
      <c r="T161" s="716">
        <v>43</v>
      </c>
      <c r="U161" s="544">
        <v>35</v>
      </c>
      <c r="V161" s="265">
        <v>78</v>
      </c>
      <c r="W161" s="544">
        <v>15</v>
      </c>
      <c r="X161" s="544">
        <v>0</v>
      </c>
      <c r="Y161" s="265">
        <v>15</v>
      </c>
      <c r="Z161" s="265">
        <v>20192</v>
      </c>
      <c r="AA161" s="265">
        <v>20570</v>
      </c>
      <c r="AB161" s="265">
        <f t="shared" ref="AB161" si="118">SUM(Z161+AA161)</f>
        <v>40762</v>
      </c>
    </row>
    <row r="162" spans="1:28">
      <c r="A162" s="514" t="s">
        <v>828</v>
      </c>
      <c r="B162" s="515">
        <v>87</v>
      </c>
      <c r="C162" s="515">
        <v>74</v>
      </c>
      <c r="D162" s="515">
        <v>161</v>
      </c>
      <c r="E162" s="515">
        <v>0</v>
      </c>
      <c r="F162" s="515">
        <v>0</v>
      </c>
      <c r="G162" s="515">
        <v>0</v>
      </c>
      <c r="H162" s="515">
        <v>2526</v>
      </c>
      <c r="I162" s="515">
        <v>3292</v>
      </c>
      <c r="J162" s="515">
        <v>5818</v>
      </c>
      <c r="K162" s="549">
        <v>14446</v>
      </c>
      <c r="L162" s="515">
        <v>14795</v>
      </c>
      <c r="M162" s="515">
        <v>29241</v>
      </c>
      <c r="N162" s="515">
        <v>27</v>
      </c>
      <c r="O162" s="515">
        <v>74</v>
      </c>
      <c r="P162" s="515">
        <v>101</v>
      </c>
      <c r="Q162" s="515">
        <v>792</v>
      </c>
      <c r="R162" s="515">
        <v>768</v>
      </c>
      <c r="S162" s="515">
        <v>1560</v>
      </c>
      <c r="T162" s="549">
        <v>0</v>
      </c>
      <c r="U162" s="515">
        <v>0</v>
      </c>
      <c r="V162" s="515">
        <v>0</v>
      </c>
      <c r="W162" s="515">
        <v>11</v>
      </c>
      <c r="X162" s="515">
        <v>0</v>
      </c>
      <c r="Y162" s="515">
        <v>11</v>
      </c>
      <c r="Z162" s="515">
        <f t="shared" ref="Z162:AB162" si="119">B162+E162+H162+K162+N162+Q162+T162+W162</f>
        <v>17889</v>
      </c>
      <c r="AA162" s="515">
        <f t="shared" si="119"/>
        <v>19003</v>
      </c>
      <c r="AB162" s="515">
        <f t="shared" si="119"/>
        <v>36892</v>
      </c>
    </row>
    <row r="163" spans="1:28" ht="15">
      <c r="A163" s="579" t="s">
        <v>39</v>
      </c>
      <c r="B163" s="551"/>
      <c r="C163" s="551"/>
      <c r="D163" s="551"/>
      <c r="E163" s="551"/>
      <c r="F163" s="551"/>
      <c r="G163" s="551"/>
      <c r="H163" s="551"/>
      <c r="I163" s="551"/>
      <c r="J163" s="552"/>
      <c r="K163" s="551"/>
      <c r="L163" s="551"/>
      <c r="M163" s="551"/>
      <c r="N163" s="551"/>
      <c r="O163" s="551"/>
      <c r="P163" s="551"/>
      <c r="Q163" s="551"/>
      <c r="R163" s="551"/>
      <c r="S163" s="552"/>
      <c r="T163" s="551"/>
      <c r="U163" s="551"/>
      <c r="V163" s="551"/>
      <c r="W163" s="551"/>
      <c r="X163" s="551"/>
      <c r="Y163" s="551"/>
      <c r="Z163" s="551"/>
      <c r="AA163" s="551"/>
      <c r="AB163" s="552"/>
    </row>
    <row r="164" spans="1:28">
      <c r="A164" s="541" t="s">
        <v>832</v>
      </c>
      <c r="B164" s="154">
        <f ca="1">SUMIF('[2]7UnivActwithConsUnit'!$B:$B,$B164,'[2]7UnivActwithConsUnit'!D:D)+SUMIF('[2]8CollegeAct'!$B:$B,$B164,'[2]8CollegeAct'!D:D)+SUMIF(#REF!,$B164,#REF!)</f>
        <v>1923</v>
      </c>
      <c r="C164" s="154">
        <f ca="1">SUMIF('[2]7UnivActwithConsUnit'!$B:$B,$B164,'[2]7UnivActwithConsUnit'!E:E)+SUMIF('[2]8CollegeAct'!$B:$B,$B164,'[2]8CollegeAct'!E:E)+SUMIF(#REF!,$B164,#REF!)</f>
        <v>1423</v>
      </c>
      <c r="D164" s="154">
        <f ca="1">SUMIF('[2]7UnivActwithConsUnit'!$B:$B,$B164,'[2]7UnivActwithConsUnit'!F:F)+SUMIF('[2]8CollegeAct'!$B:$B,$B164,'[2]8CollegeAct'!F:F)+SUMIF(#REF!,$B164,#REF!)</f>
        <v>3346</v>
      </c>
      <c r="E164" s="154">
        <f ca="1">SUMIF('[2]7UnivActwithConsUnit'!$B:$B,$B164,'[2]7UnivActwithConsUnit'!G:G)+SUMIF('[2]8CollegeAct'!$B:$B,$B164,'[2]8CollegeAct'!G:G)+SUMIF(#REF!,$B164,#REF!)</f>
        <v>419</v>
      </c>
      <c r="F164" s="154">
        <f ca="1">SUMIF('[2]7UnivActwithConsUnit'!$B:$B,$B164,'[2]7UnivActwithConsUnit'!H:H)+SUMIF('[2]8CollegeAct'!$B:$B,$B164,'[2]8CollegeAct'!H:H)+SUMIF(#REF!,$B164,#REF!)</f>
        <v>584</v>
      </c>
      <c r="G164" s="154">
        <f ca="1">SUMIF('[2]7UnivActwithConsUnit'!$B:$B,$B164,'[2]7UnivActwithConsUnit'!I:I)+SUMIF('[2]8CollegeAct'!$B:$B,$B164,'[2]8CollegeAct'!I:I)+SUMIF(#REF!,$B164,#REF!)</f>
        <v>1003</v>
      </c>
      <c r="H164" s="154">
        <f ca="1">SUMIF('[2]7UnivActwithConsUnit'!$B:$B,$B164,'[2]7UnivActwithConsUnit'!J:J)+SUMIF('[2]10CollegeEst'!$B:$B,$B164,'[2]10CollegeEst'!B:B)+SUMIF(#REF!,$B164,#REF!)</f>
        <v>47838</v>
      </c>
      <c r="I164" s="154">
        <f ca="1">SUMIF('[2]7UnivActwithConsUnit'!$B:$B,$B164,'[2]7UnivActwithConsUnit'!K:K)+SUMIF('[2]10CollegeEst'!$B:$B,$B164,'[2]10CollegeEst'!C:C)+SUMIF(#REF!,$B164,#REF!)</f>
        <v>50717</v>
      </c>
      <c r="J164" s="154">
        <f ca="1">SUMIF('[2]7UnivActwithConsUnit'!$B:$B,$B164,'[2]7UnivActwithConsUnit'!L:L)+SUMIF('[2]10CollegeEst'!$B:$B,$B164,'[2]10CollegeEst'!D:D)+SUMIF(#REF!,$B164,#REF!)</f>
        <v>98555</v>
      </c>
      <c r="K164" s="715">
        <f ca="1">SUMIF('[2]7UnivActwithConsUnit'!$B:$B,$B164,'[2]7UnivActwithConsUnit'!M:M)+SUMIF('[2]10CollegeEst'!$B:$B,$B164,'[2]10CollegeEst'!E:E)+SUMIF(#REF!,$B164,#REF!)</f>
        <v>379994</v>
      </c>
      <c r="L164" s="154">
        <f ca="1">SUMIF('[2]7UnivActwithConsUnit'!$B:$B,$B164,'[2]7UnivActwithConsUnit'!N:N)+SUMIF('[2]10CollegeEst'!$B:$B,$B164,'[2]10CollegeEst'!F:F)+SUMIF(#REF!,$B164,#REF!)</f>
        <v>367114</v>
      </c>
      <c r="M164" s="154">
        <f ca="1">SUMIF('[2]7UnivActwithConsUnit'!$B:$B,$B164,'[2]7UnivActwithConsUnit'!O:O)+SUMIF('[2]10CollegeEst'!$B:$B,$B164,'[2]10CollegeEst'!G:G)+SUMIF(#REF!,$B164,#REF!)</f>
        <v>747108</v>
      </c>
      <c r="N164" s="154">
        <f ca="1">SUMIF('[2]7UnivActwithConsUnit'!$B:$B,$B164,'[2]7UnivActwithConsUnit'!P:P)+SUMIF('[2]8CollegeAct'!$B:$B,$B164,'[2]8CollegeAct'!P:P)+SUMIF(#REF!,$B164,#REF!)</f>
        <v>1786</v>
      </c>
      <c r="O164" s="154">
        <f ca="1">SUMIF('[2]7UnivActwithConsUnit'!$B:$B,$B164,'[2]7UnivActwithConsUnit'!Q:Q)+SUMIF('[2]8CollegeAct'!$B:$B,$B164,'[2]8CollegeAct'!Q:Q)+SUMIF(#REF!,$B164,#REF!)</f>
        <v>947</v>
      </c>
      <c r="P164" s="154">
        <f ca="1">SUMIF('[2]7UnivActwithConsUnit'!$B:$B,$B164,'[2]7UnivActwithConsUnit'!R:R)+SUMIF('[2]8CollegeAct'!$B:$B,$B164,'[2]8CollegeAct'!R:R)+SUMIF(#REF!,$B164,#REF!)</f>
        <v>2733</v>
      </c>
      <c r="Q164" s="154">
        <f ca="1">SUMIF('[2]7UnivActwithConsUnit'!$B:$B,$B164,'[2]7UnivActwithConsUnit'!S:S)+SUMIF('[2]8CollegeAct'!$B:$B,$B164,'[2]8CollegeAct'!S:S)+SUMIF(#REF!,$B164,#REF!)</f>
        <v>89412</v>
      </c>
      <c r="R164" s="154">
        <f ca="1">SUMIF('[2]7UnivActwithConsUnit'!$B:$B,$B164,'[2]7UnivActwithConsUnit'!T:T)+SUMIF('[2]8CollegeAct'!$B:$B,$B164,'[2]8CollegeAct'!T:T)+SUMIF(#REF!,$B164,#REF!)</f>
        <v>34712</v>
      </c>
      <c r="S164" s="154">
        <f ca="1">SUMIF('[2]7UnivActwithConsUnit'!$B:$B,$B164,'[2]7UnivActwithConsUnit'!U:U)+SUMIF('[2]8CollegeAct'!$B:$B,$B164,'[2]8CollegeAct'!U:U)+SUMIF(#REF!,$B164,#REF!)</f>
        <v>124124</v>
      </c>
      <c r="T164" s="715">
        <f ca="1">SUMIF('[2]7UnivActwithConsUnit'!$B:$B,$B164,'[2]7UnivActwithConsUnit'!V:V)+SUMIF('[2]8CollegeAct'!$B:$B,$B164,'[2]8CollegeAct'!V:V)+SUMIF(#REF!,$B164,#REF!)</f>
        <v>3402</v>
      </c>
      <c r="U164" s="154">
        <f ca="1">SUMIF('[2]7UnivActwithConsUnit'!$B:$B,$B164,'[2]7UnivActwithConsUnit'!W:W)+SUMIF('[2]8CollegeAct'!$B:$B,$B164,'[2]8CollegeAct'!W:W)+SUMIF(#REF!,$B164,#REF!)</f>
        <v>5748</v>
      </c>
      <c r="V164" s="154">
        <f ca="1">SUMIF('[2]7UnivActwithConsUnit'!$B:$B,$B164,'[2]7UnivActwithConsUnit'!X:X)+SUMIF('[2]8CollegeAct'!$B:$B,$B164,'[2]8CollegeAct'!X:X)+SUMIF(#REF!,$B164,#REF!)</f>
        <v>9150</v>
      </c>
      <c r="W164" s="154">
        <f ca="1">SUMIF('[2]7UnivActwithConsUnit'!$B:$B,$B164,'[2]7UnivActwithConsUnit'!Y:Y)+SUMIF('[2]8CollegeAct'!$B:$B,$B164,'[2]8CollegeAct'!Y:Y)+SUMIF(#REF!,$B164,#REF!)</f>
        <v>4452</v>
      </c>
      <c r="X164" s="154">
        <f ca="1">SUMIF('[2]7UnivActwithConsUnit'!$B:$B,$B164,'[2]7UnivActwithConsUnit'!Z:Z)+SUMIF('[2]8CollegeAct'!$B:$B,$B164,'[2]8CollegeAct'!Z:Z)+SUMIF(#REF!,$B164,#REF!)</f>
        <v>4458</v>
      </c>
      <c r="Y164" s="154">
        <f ca="1">SUMIF('[2]7UnivActwithConsUnit'!$B:$B,$B164,'[2]7UnivActwithConsUnit'!AA:AA)+SUMIF('[2]8CollegeAct'!$B:$B,$B164,'[2]8CollegeAct'!AA:AA)+SUMIF(#REF!,$B164,#REF!)</f>
        <v>8910</v>
      </c>
      <c r="Z164" s="155">
        <f t="shared" ref="Z164:AA164" ca="1" si="120">B164+E164+H164+K164+N164+Q164+T164+W164</f>
        <v>529226</v>
      </c>
      <c r="AA164" s="155">
        <f t="shared" ca="1" si="120"/>
        <v>465703</v>
      </c>
      <c r="AB164" s="155">
        <f t="shared" ref="AB164" ca="1" si="121">Z164+AA164</f>
        <v>994929</v>
      </c>
    </row>
    <row r="165" spans="1:28">
      <c r="A165" s="541" t="s">
        <v>831</v>
      </c>
      <c r="B165" s="515">
        <v>2052</v>
      </c>
      <c r="C165" s="515">
        <v>1670</v>
      </c>
      <c r="D165" s="515">
        <v>3722</v>
      </c>
      <c r="E165" s="515">
        <v>523</v>
      </c>
      <c r="F165" s="515">
        <v>638</v>
      </c>
      <c r="G165" s="515">
        <v>1161</v>
      </c>
      <c r="H165" s="515">
        <v>40536</v>
      </c>
      <c r="I165" s="515">
        <v>42541</v>
      </c>
      <c r="J165" s="515">
        <v>83077</v>
      </c>
      <c r="K165" s="549">
        <v>409140</v>
      </c>
      <c r="L165" s="515">
        <v>371004</v>
      </c>
      <c r="M165" s="515">
        <v>780144</v>
      </c>
      <c r="N165" s="515">
        <v>2403</v>
      </c>
      <c r="O165" s="515">
        <v>1194</v>
      </c>
      <c r="P165" s="515">
        <v>3597</v>
      </c>
      <c r="Q165" s="515">
        <v>95576</v>
      </c>
      <c r="R165" s="515">
        <v>33942</v>
      </c>
      <c r="S165" s="515">
        <v>129518</v>
      </c>
      <c r="T165" s="549">
        <v>4329</v>
      </c>
      <c r="U165" s="515">
        <v>5894</v>
      </c>
      <c r="V165" s="515">
        <v>10223</v>
      </c>
      <c r="W165" s="515">
        <v>3805</v>
      </c>
      <c r="X165" s="515">
        <v>3945</v>
      </c>
      <c r="Y165" s="515">
        <v>7750</v>
      </c>
      <c r="Z165" s="515">
        <v>558364</v>
      </c>
      <c r="AA165" s="515">
        <v>460828</v>
      </c>
      <c r="AB165" s="515">
        <v>1019192</v>
      </c>
    </row>
    <row r="166" spans="1:28">
      <c r="A166" s="541" t="s">
        <v>830</v>
      </c>
      <c r="B166" s="543">
        <v>1671</v>
      </c>
      <c r="C166" s="543">
        <v>1311</v>
      </c>
      <c r="D166" s="543">
        <v>2982</v>
      </c>
      <c r="E166" s="543">
        <v>404</v>
      </c>
      <c r="F166" s="543">
        <v>676</v>
      </c>
      <c r="G166" s="543">
        <v>1080</v>
      </c>
      <c r="H166" s="543">
        <v>37152.977446761455</v>
      </c>
      <c r="I166" s="543">
        <v>36080.310809879593</v>
      </c>
      <c r="J166" s="543">
        <v>73233.288256641055</v>
      </c>
      <c r="K166" s="714">
        <v>407713.06574580353</v>
      </c>
      <c r="L166" s="543">
        <v>385835.24935944739</v>
      </c>
      <c r="M166" s="543">
        <v>793548.31510525092</v>
      </c>
      <c r="N166" s="543">
        <v>2001</v>
      </c>
      <c r="O166" s="543">
        <v>999</v>
      </c>
      <c r="P166" s="543">
        <v>3000</v>
      </c>
      <c r="Q166" s="543">
        <v>93021</v>
      </c>
      <c r="R166" s="543">
        <v>32578</v>
      </c>
      <c r="S166" s="543">
        <v>125599</v>
      </c>
      <c r="T166" s="714">
        <v>4153</v>
      </c>
      <c r="U166" s="543">
        <v>5594</v>
      </c>
      <c r="V166" s="543">
        <v>9747</v>
      </c>
      <c r="W166" s="543">
        <v>3459</v>
      </c>
      <c r="X166" s="543">
        <v>3128</v>
      </c>
      <c r="Y166" s="543">
        <v>6587</v>
      </c>
      <c r="Z166" s="200">
        <f t="shared" ref="Z166:AB166" si="122">B166+E166+H166+K166+N166+Q166+T166+W166</f>
        <v>549575.04319256498</v>
      </c>
      <c r="AA166" s="200">
        <f t="shared" si="122"/>
        <v>466201.56016932696</v>
      </c>
      <c r="AB166" s="200">
        <f t="shared" si="122"/>
        <v>1015776.6033618919</v>
      </c>
    </row>
    <row r="167" spans="1:28">
      <c r="A167" s="541" t="s">
        <v>829</v>
      </c>
      <c r="B167" s="544">
        <v>1388</v>
      </c>
      <c r="C167" s="544">
        <v>1086</v>
      </c>
      <c r="D167" s="265">
        <v>2474</v>
      </c>
      <c r="E167" s="544">
        <v>471</v>
      </c>
      <c r="F167" s="544">
        <v>777</v>
      </c>
      <c r="G167" s="265">
        <v>1248</v>
      </c>
      <c r="H167" s="544">
        <v>32749</v>
      </c>
      <c r="I167" s="544">
        <v>33556</v>
      </c>
      <c r="J167" s="265">
        <v>66305</v>
      </c>
      <c r="K167" s="716">
        <v>400431</v>
      </c>
      <c r="L167" s="544">
        <v>365999</v>
      </c>
      <c r="M167" s="265">
        <v>766430</v>
      </c>
      <c r="N167" s="544">
        <v>997</v>
      </c>
      <c r="O167" s="544">
        <v>434</v>
      </c>
      <c r="P167" s="265">
        <v>1431</v>
      </c>
      <c r="Q167" s="544">
        <v>89862</v>
      </c>
      <c r="R167" s="544">
        <v>29838</v>
      </c>
      <c r="S167" s="265">
        <v>119700</v>
      </c>
      <c r="T167" s="716">
        <v>3773</v>
      </c>
      <c r="U167" s="544">
        <v>5598</v>
      </c>
      <c r="V167" s="265">
        <v>9371</v>
      </c>
      <c r="W167" s="544">
        <v>2835</v>
      </c>
      <c r="X167" s="544">
        <v>2491</v>
      </c>
      <c r="Y167" s="265">
        <v>5326</v>
      </c>
      <c r="Z167" s="265">
        <v>532506</v>
      </c>
      <c r="AA167" s="265">
        <v>439779</v>
      </c>
      <c r="AB167" s="265">
        <f t="shared" ref="AB167" si="123">SUM(Z167+AA167)</f>
        <v>972285</v>
      </c>
    </row>
    <row r="168" spans="1:28">
      <c r="A168" s="514" t="s">
        <v>828</v>
      </c>
      <c r="B168" s="515">
        <v>1348</v>
      </c>
      <c r="C168" s="515">
        <v>1277</v>
      </c>
      <c r="D168" s="515">
        <v>2625</v>
      </c>
      <c r="E168" s="515">
        <v>427</v>
      </c>
      <c r="F168" s="515">
        <v>674</v>
      </c>
      <c r="G168" s="515">
        <v>1101</v>
      </c>
      <c r="H168" s="515">
        <v>30435</v>
      </c>
      <c r="I168" s="515">
        <v>29694</v>
      </c>
      <c r="J168" s="515">
        <v>60129</v>
      </c>
      <c r="K168" s="549">
        <v>382446</v>
      </c>
      <c r="L168" s="515">
        <v>352290</v>
      </c>
      <c r="M168" s="515">
        <v>734736</v>
      </c>
      <c r="N168" s="515">
        <v>944</v>
      </c>
      <c r="O168" s="515">
        <v>440</v>
      </c>
      <c r="P168" s="515">
        <v>1384</v>
      </c>
      <c r="Q168" s="515">
        <v>76692</v>
      </c>
      <c r="R168" s="515">
        <v>24592</v>
      </c>
      <c r="S168" s="515">
        <v>101284</v>
      </c>
      <c r="T168" s="549">
        <v>3972</v>
      </c>
      <c r="U168" s="515">
        <v>5828</v>
      </c>
      <c r="V168" s="515">
        <v>9800</v>
      </c>
      <c r="W168" s="515">
        <v>1839</v>
      </c>
      <c r="X168" s="515">
        <v>1777</v>
      </c>
      <c r="Y168" s="515">
        <v>3616</v>
      </c>
      <c r="Z168" s="515">
        <f t="shared" ref="Z168:AB168" si="124">B168+E168+H168+K168+N168+Q168+T168+W168</f>
        <v>498103</v>
      </c>
      <c r="AA168" s="515">
        <f t="shared" si="124"/>
        <v>416572</v>
      </c>
      <c r="AB168" s="515">
        <f t="shared" si="124"/>
        <v>914675</v>
      </c>
    </row>
    <row r="169" spans="1:28" ht="15">
      <c r="A169" s="579" t="s">
        <v>40</v>
      </c>
      <c r="B169" s="551"/>
      <c r="C169" s="551"/>
      <c r="D169" s="551"/>
      <c r="E169" s="551"/>
      <c r="F169" s="551"/>
      <c r="G169" s="551"/>
      <c r="H169" s="551"/>
      <c r="I169" s="551"/>
      <c r="J169" s="552"/>
      <c r="K169" s="551"/>
      <c r="L169" s="551"/>
      <c r="M169" s="551"/>
      <c r="N169" s="551"/>
      <c r="O169" s="551"/>
      <c r="P169" s="551"/>
      <c r="Q169" s="551"/>
      <c r="R169" s="551"/>
      <c r="S169" s="552"/>
      <c r="T169" s="551"/>
      <c r="U169" s="551"/>
      <c r="V169" s="551"/>
      <c r="W169" s="551"/>
      <c r="X169" s="551"/>
      <c r="Y169" s="551"/>
      <c r="Z169" s="551"/>
      <c r="AA169" s="551"/>
      <c r="AB169" s="552"/>
    </row>
    <row r="170" spans="1:28">
      <c r="A170" s="541" t="s">
        <v>832</v>
      </c>
      <c r="B170" s="154">
        <f ca="1">SUMIF('[2]7UnivActwithConsUnit'!$B:$B,$B170,'[2]7UnivActwithConsUnit'!D:D)+SUMIF('[2]8CollegeAct'!$B:$B,$B170,'[2]8CollegeAct'!D:D)+SUMIF(#REF!,$B170,#REF!)</f>
        <v>291</v>
      </c>
      <c r="C170" s="154">
        <f ca="1">SUMIF('[2]7UnivActwithConsUnit'!$B:$B,$B170,'[2]7UnivActwithConsUnit'!E:E)+SUMIF('[2]8CollegeAct'!$B:$B,$B170,'[2]8CollegeAct'!E:E)+SUMIF(#REF!,$B170,#REF!)</f>
        <v>217</v>
      </c>
      <c r="D170" s="154">
        <f ca="1">SUMIF('[2]7UnivActwithConsUnit'!$B:$B,$B170,'[2]7UnivActwithConsUnit'!F:F)+SUMIF('[2]8CollegeAct'!$B:$B,$B170,'[2]8CollegeAct'!F:F)+SUMIF(#REF!,$B170,#REF!)</f>
        <v>508</v>
      </c>
      <c r="E170" s="154">
        <f ca="1">SUMIF('[2]7UnivActwithConsUnit'!$B:$B,$B170,'[2]7UnivActwithConsUnit'!G:G)+SUMIF('[2]8CollegeAct'!$B:$B,$B170,'[2]8CollegeAct'!G:G)+SUMIF(#REF!,$B170,#REF!)</f>
        <v>21</v>
      </c>
      <c r="F170" s="154">
        <f ca="1">SUMIF('[2]7UnivActwithConsUnit'!$B:$B,$B170,'[2]7UnivActwithConsUnit'!H:H)+SUMIF('[2]8CollegeAct'!$B:$B,$B170,'[2]8CollegeAct'!H:H)+SUMIF(#REF!,$B170,#REF!)</f>
        <v>46</v>
      </c>
      <c r="G170" s="154">
        <f ca="1">SUMIF('[2]7UnivActwithConsUnit'!$B:$B,$B170,'[2]7UnivActwithConsUnit'!I:I)+SUMIF('[2]8CollegeAct'!$B:$B,$B170,'[2]8CollegeAct'!I:I)+SUMIF(#REF!,$B170,#REF!)</f>
        <v>67</v>
      </c>
      <c r="H170" s="154">
        <f ca="1">SUMIF('[2]7UnivActwithConsUnit'!$B:$B,$B170,'[2]7UnivActwithConsUnit'!J:J)+SUMIF('[2]10CollegeEst'!$B:$B,$B170,'[2]10CollegeEst'!B:B)+SUMIF(#REF!,$B170,#REF!)</f>
        <v>11531</v>
      </c>
      <c r="I170" s="154">
        <f ca="1">SUMIF('[2]7UnivActwithConsUnit'!$B:$B,$B170,'[2]7UnivActwithConsUnit'!K:K)+SUMIF('[2]10CollegeEst'!$B:$B,$B170,'[2]10CollegeEst'!C:C)+SUMIF(#REF!,$B170,#REF!)</f>
        <v>11728</v>
      </c>
      <c r="J170" s="154">
        <f ca="1">SUMIF('[2]7UnivActwithConsUnit'!$B:$B,$B170,'[2]7UnivActwithConsUnit'!L:L)+SUMIF('[2]10CollegeEst'!$B:$B,$B170,'[2]10CollegeEst'!D:D)+SUMIF(#REF!,$B170,#REF!)</f>
        <v>23259</v>
      </c>
      <c r="K170" s="715">
        <f ca="1">SUMIF('[2]7UnivActwithConsUnit'!$B:$B,$B170,'[2]7UnivActwithConsUnit'!M:M)+SUMIF('[2]10CollegeEst'!$B:$B,$B170,'[2]10CollegeEst'!E:E)+SUMIF(#REF!,$B170,#REF!)</f>
        <v>22863</v>
      </c>
      <c r="L170" s="154">
        <f ca="1">SUMIF('[2]7UnivActwithConsUnit'!$B:$B,$B170,'[2]7UnivActwithConsUnit'!N:N)+SUMIF('[2]10CollegeEst'!$B:$B,$B170,'[2]10CollegeEst'!F:F)+SUMIF(#REF!,$B170,#REF!)</f>
        <v>28309</v>
      </c>
      <c r="M170" s="154">
        <f ca="1">SUMIF('[2]7UnivActwithConsUnit'!$B:$B,$B170,'[2]7UnivActwithConsUnit'!O:O)+SUMIF('[2]10CollegeEst'!$B:$B,$B170,'[2]10CollegeEst'!G:G)+SUMIF(#REF!,$B170,#REF!)</f>
        <v>51172</v>
      </c>
      <c r="N170" s="154">
        <f ca="1">SUMIF('[2]7UnivActwithConsUnit'!$B:$B,$B170,'[2]7UnivActwithConsUnit'!P:P)+SUMIF('[2]8CollegeAct'!$B:$B,$B170,'[2]8CollegeAct'!P:P)+SUMIF(#REF!,$B170,#REF!)</f>
        <v>52</v>
      </c>
      <c r="O170" s="154">
        <f ca="1">SUMIF('[2]7UnivActwithConsUnit'!$B:$B,$B170,'[2]7UnivActwithConsUnit'!Q:Q)+SUMIF('[2]8CollegeAct'!$B:$B,$B170,'[2]8CollegeAct'!Q:Q)+SUMIF(#REF!,$B170,#REF!)</f>
        <v>54</v>
      </c>
      <c r="P170" s="154">
        <f ca="1">SUMIF('[2]7UnivActwithConsUnit'!$B:$B,$B170,'[2]7UnivActwithConsUnit'!R:R)+SUMIF('[2]8CollegeAct'!$B:$B,$B170,'[2]8CollegeAct'!R:R)+SUMIF(#REF!,$B170,#REF!)</f>
        <v>106</v>
      </c>
      <c r="Q170" s="154">
        <f ca="1">SUMIF('[2]7UnivActwithConsUnit'!$B:$B,$B170,'[2]7UnivActwithConsUnit'!S:S)+SUMIF('[2]8CollegeAct'!$B:$B,$B170,'[2]8CollegeAct'!S:S)+SUMIF(#REF!,$B170,#REF!)</f>
        <v>2866</v>
      </c>
      <c r="R170" s="154">
        <f ca="1">SUMIF('[2]7UnivActwithConsUnit'!$B:$B,$B170,'[2]7UnivActwithConsUnit'!T:T)+SUMIF('[2]8CollegeAct'!$B:$B,$B170,'[2]8CollegeAct'!T:T)+SUMIF(#REF!,$B170,#REF!)</f>
        <v>1122</v>
      </c>
      <c r="S170" s="154">
        <f ca="1">SUMIF('[2]7UnivActwithConsUnit'!$B:$B,$B170,'[2]7UnivActwithConsUnit'!U:U)+SUMIF('[2]8CollegeAct'!$B:$B,$B170,'[2]8CollegeAct'!U:U)+SUMIF(#REF!,$B170,#REF!)</f>
        <v>3988</v>
      </c>
      <c r="T170" s="715">
        <f ca="1">SUMIF('[2]7UnivActwithConsUnit'!$B:$B,$B170,'[2]7UnivActwithConsUnit'!V:V)+SUMIF('[2]8CollegeAct'!$B:$B,$B170,'[2]8CollegeAct'!V:V)+SUMIF(#REF!,$B170,#REF!)</f>
        <v>0</v>
      </c>
      <c r="U170" s="154">
        <f ca="1">SUMIF('[2]7UnivActwithConsUnit'!$B:$B,$B170,'[2]7UnivActwithConsUnit'!W:W)+SUMIF('[2]8CollegeAct'!$B:$B,$B170,'[2]8CollegeAct'!W:W)+SUMIF(#REF!,$B170,#REF!)</f>
        <v>0</v>
      </c>
      <c r="V170" s="154">
        <f ca="1">SUMIF('[2]7UnivActwithConsUnit'!$B:$B,$B170,'[2]7UnivActwithConsUnit'!X:X)+SUMIF('[2]8CollegeAct'!$B:$B,$B170,'[2]8CollegeAct'!X:X)+SUMIF(#REF!,$B170,#REF!)</f>
        <v>0</v>
      </c>
      <c r="W170" s="154">
        <f ca="1">SUMIF('[2]7UnivActwithConsUnit'!$B:$B,$B170,'[2]7UnivActwithConsUnit'!Y:Y)+SUMIF('[2]8CollegeAct'!$B:$B,$B170,'[2]8CollegeAct'!Y:Y)+SUMIF(#REF!,$B170,#REF!)</f>
        <v>532</v>
      </c>
      <c r="X170" s="154">
        <f ca="1">SUMIF('[2]7UnivActwithConsUnit'!$B:$B,$B170,'[2]7UnivActwithConsUnit'!Z:Z)+SUMIF('[2]8CollegeAct'!$B:$B,$B170,'[2]8CollegeAct'!Z:Z)+SUMIF(#REF!,$B170,#REF!)</f>
        <v>492</v>
      </c>
      <c r="Y170" s="154">
        <f ca="1">SUMIF('[2]7UnivActwithConsUnit'!$B:$B,$B170,'[2]7UnivActwithConsUnit'!AA:AA)+SUMIF('[2]8CollegeAct'!$B:$B,$B170,'[2]8CollegeAct'!AA:AA)+SUMIF(#REF!,$B170,#REF!)</f>
        <v>1024</v>
      </c>
      <c r="Z170" s="155">
        <f t="shared" ref="Z170:AA170" ca="1" si="125">B170+E170+H170+K170+N170+Q170+T170+W170</f>
        <v>38156</v>
      </c>
      <c r="AA170" s="155">
        <f t="shared" ca="1" si="125"/>
        <v>41968</v>
      </c>
      <c r="AB170" s="155">
        <f t="shared" ref="AB170" ca="1" si="126">Z170+AA170</f>
        <v>80124</v>
      </c>
    </row>
    <row r="171" spans="1:28">
      <c r="A171" s="541" t="s">
        <v>831</v>
      </c>
      <c r="B171" s="515">
        <v>510</v>
      </c>
      <c r="C171" s="515">
        <v>292</v>
      </c>
      <c r="D171" s="515">
        <v>802</v>
      </c>
      <c r="E171" s="515">
        <v>12</v>
      </c>
      <c r="F171" s="515">
        <v>54</v>
      </c>
      <c r="G171" s="515">
        <v>66</v>
      </c>
      <c r="H171" s="515">
        <v>9375</v>
      </c>
      <c r="I171" s="515">
        <v>10261</v>
      </c>
      <c r="J171" s="515">
        <v>19636</v>
      </c>
      <c r="K171" s="549">
        <v>23585</v>
      </c>
      <c r="L171" s="515">
        <v>28067</v>
      </c>
      <c r="M171" s="515">
        <v>51652</v>
      </c>
      <c r="N171" s="515">
        <v>97</v>
      </c>
      <c r="O171" s="515">
        <v>71</v>
      </c>
      <c r="P171" s="515">
        <v>168</v>
      </c>
      <c r="Q171" s="515">
        <v>2803</v>
      </c>
      <c r="R171" s="515">
        <v>1239</v>
      </c>
      <c r="S171" s="515">
        <v>4042</v>
      </c>
      <c r="T171" s="549">
        <v>7</v>
      </c>
      <c r="U171" s="515">
        <v>6</v>
      </c>
      <c r="V171" s="515">
        <v>13</v>
      </c>
      <c r="W171" s="515">
        <v>505</v>
      </c>
      <c r="X171" s="515">
        <v>458</v>
      </c>
      <c r="Y171" s="515">
        <v>963</v>
      </c>
      <c r="Z171" s="515">
        <v>36894</v>
      </c>
      <c r="AA171" s="515">
        <v>40448</v>
      </c>
      <c r="AB171" s="515">
        <v>77342</v>
      </c>
    </row>
    <row r="172" spans="1:28">
      <c r="A172" s="541" t="s">
        <v>830</v>
      </c>
      <c r="B172" s="543">
        <v>522</v>
      </c>
      <c r="C172" s="543">
        <v>254</v>
      </c>
      <c r="D172" s="543">
        <v>776</v>
      </c>
      <c r="E172" s="543">
        <v>13</v>
      </c>
      <c r="F172" s="543">
        <v>53</v>
      </c>
      <c r="G172" s="543">
        <v>66</v>
      </c>
      <c r="H172" s="543">
        <v>11168.621575920626</v>
      </c>
      <c r="I172" s="543">
        <v>9434.3965023965957</v>
      </c>
      <c r="J172" s="543">
        <v>20603.018078317222</v>
      </c>
      <c r="K172" s="714">
        <v>20536.263168610643</v>
      </c>
      <c r="L172" s="543">
        <v>25219.343273479575</v>
      </c>
      <c r="M172" s="543">
        <v>45755.606442090218</v>
      </c>
      <c r="N172" s="543">
        <v>63</v>
      </c>
      <c r="O172" s="543">
        <v>58</v>
      </c>
      <c r="P172" s="543">
        <v>121</v>
      </c>
      <c r="Q172" s="543">
        <v>3121</v>
      </c>
      <c r="R172" s="543">
        <v>1355</v>
      </c>
      <c r="S172" s="543">
        <v>4476</v>
      </c>
      <c r="T172" s="714">
        <v>14</v>
      </c>
      <c r="U172" s="543">
        <v>12</v>
      </c>
      <c r="V172" s="543">
        <v>26</v>
      </c>
      <c r="W172" s="543">
        <v>656</v>
      </c>
      <c r="X172" s="543">
        <v>581</v>
      </c>
      <c r="Y172" s="543">
        <v>1237</v>
      </c>
      <c r="Z172" s="200">
        <f t="shared" ref="Z172:AB172" si="127">B172+E172+H172+K172+N172+Q172+T172+W172</f>
        <v>36093.884744531271</v>
      </c>
      <c r="AA172" s="200">
        <f t="shared" si="127"/>
        <v>36966.739775876173</v>
      </c>
      <c r="AB172" s="200">
        <f t="shared" si="127"/>
        <v>73060.624520407437</v>
      </c>
    </row>
    <row r="173" spans="1:28">
      <c r="A173" s="541" t="s">
        <v>829</v>
      </c>
      <c r="B173" s="544">
        <v>604</v>
      </c>
      <c r="C173" s="544">
        <v>334</v>
      </c>
      <c r="D173" s="265">
        <v>938</v>
      </c>
      <c r="E173" s="544">
        <v>19</v>
      </c>
      <c r="F173" s="544">
        <v>61</v>
      </c>
      <c r="G173" s="265">
        <v>80</v>
      </c>
      <c r="H173" s="544">
        <v>9331</v>
      </c>
      <c r="I173" s="544">
        <v>7740</v>
      </c>
      <c r="J173" s="265">
        <v>17071</v>
      </c>
      <c r="K173" s="716">
        <v>19615</v>
      </c>
      <c r="L173" s="544">
        <v>23516</v>
      </c>
      <c r="M173" s="265">
        <v>43131</v>
      </c>
      <c r="N173" s="544">
        <v>140</v>
      </c>
      <c r="O173" s="544">
        <v>89</v>
      </c>
      <c r="P173" s="265">
        <v>229</v>
      </c>
      <c r="Q173" s="544">
        <v>3110</v>
      </c>
      <c r="R173" s="544">
        <v>1194</v>
      </c>
      <c r="S173" s="265">
        <v>4304</v>
      </c>
      <c r="T173" s="716">
        <v>13</v>
      </c>
      <c r="U173" s="544">
        <v>6</v>
      </c>
      <c r="V173" s="265">
        <v>19</v>
      </c>
      <c r="W173" s="544">
        <v>614</v>
      </c>
      <c r="X173" s="544">
        <v>532</v>
      </c>
      <c r="Y173" s="265">
        <v>1146</v>
      </c>
      <c r="Z173" s="265">
        <v>33446</v>
      </c>
      <c r="AA173" s="265">
        <v>33472</v>
      </c>
      <c r="AB173" s="265">
        <f t="shared" ref="AB173" si="128">SUM(Z173+AA173)</f>
        <v>66918</v>
      </c>
    </row>
    <row r="174" spans="1:28">
      <c r="A174" s="514" t="s">
        <v>828</v>
      </c>
      <c r="B174" s="515">
        <v>617</v>
      </c>
      <c r="C174" s="515">
        <v>315</v>
      </c>
      <c r="D174" s="515">
        <v>932</v>
      </c>
      <c r="E174" s="515">
        <v>10</v>
      </c>
      <c r="F174" s="515">
        <v>50</v>
      </c>
      <c r="G174" s="515">
        <v>60</v>
      </c>
      <c r="H174" s="515">
        <v>8874</v>
      </c>
      <c r="I174" s="515">
        <v>6234</v>
      </c>
      <c r="J174" s="515">
        <v>15108</v>
      </c>
      <c r="K174" s="549">
        <v>19979</v>
      </c>
      <c r="L174" s="515">
        <v>22806</v>
      </c>
      <c r="M174" s="515">
        <v>42785</v>
      </c>
      <c r="N174" s="515">
        <v>263</v>
      </c>
      <c r="O174" s="515">
        <v>132</v>
      </c>
      <c r="P174" s="515">
        <v>395</v>
      </c>
      <c r="Q174" s="515">
        <v>3501</v>
      </c>
      <c r="R174" s="515">
        <v>1311</v>
      </c>
      <c r="S174" s="515">
        <v>4812</v>
      </c>
      <c r="T174" s="549">
        <v>24</v>
      </c>
      <c r="U174" s="515">
        <v>8</v>
      </c>
      <c r="V174" s="515">
        <v>32</v>
      </c>
      <c r="W174" s="515">
        <v>724</v>
      </c>
      <c r="X174" s="515">
        <v>564</v>
      </c>
      <c r="Y174" s="515">
        <v>1288</v>
      </c>
      <c r="Z174" s="515">
        <f t="shared" ref="Z174:AB174" si="129">B174+E174+H174+K174+N174+Q174+T174+W174</f>
        <v>33992</v>
      </c>
      <c r="AA174" s="515">
        <f t="shared" si="129"/>
        <v>31420</v>
      </c>
      <c r="AB174" s="515">
        <f t="shared" si="129"/>
        <v>65412</v>
      </c>
    </row>
    <row r="175" spans="1:28" ht="15">
      <c r="A175" s="579" t="s">
        <v>41</v>
      </c>
      <c r="B175" s="551"/>
      <c r="C175" s="551"/>
      <c r="D175" s="551"/>
      <c r="E175" s="551"/>
      <c r="F175" s="551"/>
      <c r="G175" s="551"/>
      <c r="H175" s="551"/>
      <c r="I175" s="551"/>
      <c r="J175" s="552"/>
      <c r="K175" s="551"/>
      <c r="L175" s="551"/>
      <c r="M175" s="551"/>
      <c r="N175" s="551"/>
      <c r="O175" s="551"/>
      <c r="P175" s="551"/>
      <c r="Q175" s="551"/>
      <c r="R175" s="551"/>
      <c r="S175" s="552"/>
      <c r="T175" s="551"/>
      <c r="U175" s="551"/>
      <c r="V175" s="551"/>
      <c r="W175" s="551"/>
      <c r="X175" s="551"/>
      <c r="Y175" s="551"/>
      <c r="Z175" s="551"/>
      <c r="AA175" s="551"/>
      <c r="AB175" s="552"/>
    </row>
    <row r="176" spans="1:28">
      <c r="A176" s="541" t="s">
        <v>832</v>
      </c>
      <c r="B176" s="154">
        <f ca="1">SUMIF('[2]7UnivActwithConsUnit'!$B:$B,$B176,'[2]7UnivActwithConsUnit'!D:D)+SUMIF('[2]8CollegeAct'!$B:$B,$B176,'[2]8CollegeAct'!D:D)+SUMIF(#REF!,$B176,#REF!)</f>
        <v>4111</v>
      </c>
      <c r="C176" s="154">
        <f ca="1">SUMIF('[2]7UnivActwithConsUnit'!$B:$B,$B176,'[2]7UnivActwithConsUnit'!E:E)+SUMIF('[2]8CollegeAct'!$B:$B,$B176,'[2]8CollegeAct'!E:E)+SUMIF(#REF!,$B176,#REF!)</f>
        <v>4888</v>
      </c>
      <c r="D176" s="154">
        <f ca="1">SUMIF('[2]7UnivActwithConsUnit'!$B:$B,$B176,'[2]7UnivActwithConsUnit'!F:F)+SUMIF('[2]8CollegeAct'!$B:$B,$B176,'[2]8CollegeAct'!F:F)+SUMIF(#REF!,$B176,#REF!)</f>
        <v>8999</v>
      </c>
      <c r="E176" s="154">
        <f ca="1">SUMIF('[2]7UnivActwithConsUnit'!$B:$B,$B176,'[2]7UnivActwithConsUnit'!G:G)+SUMIF('[2]8CollegeAct'!$B:$B,$B176,'[2]8CollegeAct'!G:G)+SUMIF(#REF!,$B176,#REF!)</f>
        <v>307</v>
      </c>
      <c r="F176" s="154">
        <f ca="1">SUMIF('[2]7UnivActwithConsUnit'!$B:$B,$B176,'[2]7UnivActwithConsUnit'!H:H)+SUMIF('[2]8CollegeAct'!$B:$B,$B176,'[2]8CollegeAct'!H:H)+SUMIF(#REF!,$B176,#REF!)</f>
        <v>315</v>
      </c>
      <c r="G176" s="154">
        <f ca="1">SUMIF('[2]7UnivActwithConsUnit'!$B:$B,$B176,'[2]7UnivActwithConsUnit'!I:I)+SUMIF('[2]8CollegeAct'!$B:$B,$B176,'[2]8CollegeAct'!I:I)+SUMIF(#REF!,$B176,#REF!)</f>
        <v>622</v>
      </c>
      <c r="H176" s="154">
        <f ca="1">SUMIF('[2]7UnivActwithConsUnit'!$B:$B,$B176,'[2]7UnivActwithConsUnit'!J:J)+SUMIF('[2]10CollegeEst'!$B:$B,$B176,'[2]10CollegeEst'!B:B)+SUMIF(#REF!,$B176,#REF!)</f>
        <v>39950</v>
      </c>
      <c r="I176" s="154">
        <f ca="1">SUMIF('[2]7UnivActwithConsUnit'!$B:$B,$B176,'[2]7UnivActwithConsUnit'!K:K)+SUMIF('[2]10CollegeEst'!$B:$B,$B176,'[2]10CollegeEst'!C:C)+SUMIF(#REF!,$B176,#REF!)</f>
        <v>68143</v>
      </c>
      <c r="J176" s="154">
        <f ca="1">SUMIF('[2]7UnivActwithConsUnit'!$B:$B,$B176,'[2]7UnivActwithConsUnit'!L:L)+SUMIF('[2]10CollegeEst'!$B:$B,$B176,'[2]10CollegeEst'!D:D)+SUMIF(#REF!,$B176,#REF!)</f>
        <v>108093</v>
      </c>
      <c r="K176" s="715">
        <f ca="1">SUMIF('[2]7UnivActwithConsUnit'!$B:$B,$B176,'[2]7UnivActwithConsUnit'!M:M)+SUMIF('[2]10CollegeEst'!$B:$B,$B176,'[2]10CollegeEst'!E:E)+SUMIF(#REF!,$B176,#REF!)</f>
        <v>308617</v>
      </c>
      <c r="L176" s="154">
        <f ca="1">SUMIF('[2]7UnivActwithConsUnit'!$B:$B,$B176,'[2]7UnivActwithConsUnit'!N:N)+SUMIF('[2]10CollegeEst'!$B:$B,$B176,'[2]10CollegeEst'!F:F)+SUMIF(#REF!,$B176,#REF!)</f>
        <v>312191</v>
      </c>
      <c r="M176" s="154">
        <f ca="1">SUMIF('[2]7UnivActwithConsUnit'!$B:$B,$B176,'[2]7UnivActwithConsUnit'!O:O)+SUMIF('[2]10CollegeEst'!$B:$B,$B176,'[2]10CollegeEst'!G:G)+SUMIF(#REF!,$B176,#REF!)</f>
        <v>620808</v>
      </c>
      <c r="N176" s="154">
        <f ca="1">SUMIF('[2]7UnivActwithConsUnit'!$B:$B,$B176,'[2]7UnivActwithConsUnit'!P:P)+SUMIF('[2]8CollegeAct'!$B:$B,$B176,'[2]8CollegeAct'!P:P)+SUMIF(#REF!,$B176,#REF!)</f>
        <v>2866</v>
      </c>
      <c r="O176" s="154">
        <f ca="1">SUMIF('[2]7UnivActwithConsUnit'!$B:$B,$B176,'[2]7UnivActwithConsUnit'!Q:Q)+SUMIF('[2]8CollegeAct'!$B:$B,$B176,'[2]8CollegeAct'!Q:Q)+SUMIF(#REF!,$B176,#REF!)</f>
        <v>3692</v>
      </c>
      <c r="P176" s="154">
        <f ca="1">SUMIF('[2]7UnivActwithConsUnit'!$B:$B,$B176,'[2]7UnivActwithConsUnit'!R:R)+SUMIF('[2]8CollegeAct'!$B:$B,$B176,'[2]8CollegeAct'!R:R)+SUMIF(#REF!,$B176,#REF!)</f>
        <v>6558</v>
      </c>
      <c r="Q176" s="154">
        <f ca="1">SUMIF('[2]7UnivActwithConsUnit'!$B:$B,$B176,'[2]7UnivActwithConsUnit'!S:S)+SUMIF('[2]8CollegeAct'!$B:$B,$B176,'[2]8CollegeAct'!S:S)+SUMIF(#REF!,$B176,#REF!)</f>
        <v>62421</v>
      </c>
      <c r="R176" s="154">
        <f ca="1">SUMIF('[2]7UnivActwithConsUnit'!$B:$B,$B176,'[2]7UnivActwithConsUnit'!T:T)+SUMIF('[2]8CollegeAct'!$B:$B,$B176,'[2]8CollegeAct'!T:T)+SUMIF(#REF!,$B176,#REF!)</f>
        <v>46930</v>
      </c>
      <c r="S176" s="154">
        <f ca="1">SUMIF('[2]7UnivActwithConsUnit'!$B:$B,$B176,'[2]7UnivActwithConsUnit'!U:U)+SUMIF('[2]8CollegeAct'!$B:$B,$B176,'[2]8CollegeAct'!U:U)+SUMIF(#REF!,$B176,#REF!)</f>
        <v>109351</v>
      </c>
      <c r="T176" s="715">
        <f ca="1">SUMIF('[2]7UnivActwithConsUnit'!$B:$B,$B176,'[2]7UnivActwithConsUnit'!V:V)+SUMIF('[2]8CollegeAct'!$B:$B,$B176,'[2]8CollegeAct'!V:V)+SUMIF(#REF!,$B176,#REF!)</f>
        <v>600</v>
      </c>
      <c r="U176" s="154">
        <f ca="1">SUMIF('[2]7UnivActwithConsUnit'!$B:$B,$B176,'[2]7UnivActwithConsUnit'!W:W)+SUMIF('[2]8CollegeAct'!$B:$B,$B176,'[2]8CollegeAct'!W:W)+SUMIF(#REF!,$B176,#REF!)</f>
        <v>948</v>
      </c>
      <c r="V176" s="154">
        <f ca="1">SUMIF('[2]7UnivActwithConsUnit'!$B:$B,$B176,'[2]7UnivActwithConsUnit'!X:X)+SUMIF('[2]8CollegeAct'!$B:$B,$B176,'[2]8CollegeAct'!X:X)+SUMIF(#REF!,$B176,#REF!)</f>
        <v>1548</v>
      </c>
      <c r="W176" s="154">
        <f ca="1">SUMIF('[2]7UnivActwithConsUnit'!$B:$B,$B176,'[2]7UnivActwithConsUnit'!Y:Y)+SUMIF('[2]8CollegeAct'!$B:$B,$B176,'[2]8CollegeAct'!Y:Y)+SUMIF(#REF!,$B176,#REF!)</f>
        <v>6459</v>
      </c>
      <c r="X176" s="154">
        <f ca="1">SUMIF('[2]7UnivActwithConsUnit'!$B:$B,$B176,'[2]7UnivActwithConsUnit'!Z:Z)+SUMIF('[2]8CollegeAct'!$B:$B,$B176,'[2]8CollegeAct'!Z:Z)+SUMIF(#REF!,$B176,#REF!)</f>
        <v>7025</v>
      </c>
      <c r="Y176" s="154">
        <f ca="1">SUMIF('[2]7UnivActwithConsUnit'!$B:$B,$B176,'[2]7UnivActwithConsUnit'!AA:AA)+SUMIF('[2]8CollegeAct'!$B:$B,$B176,'[2]8CollegeAct'!AA:AA)+SUMIF(#REF!,$B176,#REF!)</f>
        <v>13484</v>
      </c>
      <c r="Z176" s="155">
        <f t="shared" ref="Z176:AA176" ca="1" si="130">B176+E176+H176+K176+N176+Q176+T176+W176</f>
        <v>425331</v>
      </c>
      <c r="AA176" s="155">
        <f t="shared" ca="1" si="130"/>
        <v>444132</v>
      </c>
      <c r="AB176" s="155">
        <f t="shared" ref="AB176" ca="1" si="131">Z176+AA176</f>
        <v>869463</v>
      </c>
    </row>
    <row r="177" spans="1:28">
      <c r="A177" s="541" t="s">
        <v>831</v>
      </c>
      <c r="B177" s="515">
        <v>4382</v>
      </c>
      <c r="C177" s="515">
        <v>4713</v>
      </c>
      <c r="D177" s="515">
        <v>9095</v>
      </c>
      <c r="E177" s="515">
        <v>369</v>
      </c>
      <c r="F177" s="515">
        <v>367</v>
      </c>
      <c r="G177" s="515">
        <v>736</v>
      </c>
      <c r="H177" s="515">
        <v>36272</v>
      </c>
      <c r="I177" s="515">
        <v>69660</v>
      </c>
      <c r="J177" s="515">
        <v>105932</v>
      </c>
      <c r="K177" s="549">
        <v>320967</v>
      </c>
      <c r="L177" s="515">
        <v>359648</v>
      </c>
      <c r="M177" s="515">
        <v>680615</v>
      </c>
      <c r="N177" s="515">
        <v>2747</v>
      </c>
      <c r="O177" s="515">
        <v>3760</v>
      </c>
      <c r="P177" s="515">
        <v>6507</v>
      </c>
      <c r="Q177" s="515">
        <v>65061</v>
      </c>
      <c r="R177" s="515">
        <v>38109</v>
      </c>
      <c r="S177" s="515">
        <v>103170</v>
      </c>
      <c r="T177" s="549">
        <v>578</v>
      </c>
      <c r="U177" s="515">
        <v>986</v>
      </c>
      <c r="V177" s="515">
        <v>1564</v>
      </c>
      <c r="W177" s="515">
        <v>6354</v>
      </c>
      <c r="X177" s="515">
        <v>5603</v>
      </c>
      <c r="Y177" s="515">
        <v>11957</v>
      </c>
      <c r="Z177" s="515">
        <v>436730</v>
      </c>
      <c r="AA177" s="515">
        <v>482846</v>
      </c>
      <c r="AB177" s="515">
        <v>919576</v>
      </c>
    </row>
    <row r="178" spans="1:28">
      <c r="A178" s="541" t="s">
        <v>830</v>
      </c>
      <c r="B178" s="543">
        <v>3054</v>
      </c>
      <c r="C178" s="543">
        <v>3823</v>
      </c>
      <c r="D178" s="543">
        <v>6877</v>
      </c>
      <c r="E178" s="543">
        <v>389</v>
      </c>
      <c r="F178" s="543">
        <v>513</v>
      </c>
      <c r="G178" s="543">
        <v>902</v>
      </c>
      <c r="H178" s="543">
        <v>39503.826149717264</v>
      </c>
      <c r="I178" s="543">
        <v>78005.528931813053</v>
      </c>
      <c r="J178" s="543">
        <v>117509.3550815303</v>
      </c>
      <c r="K178" s="714">
        <v>345398.71957293572</v>
      </c>
      <c r="L178" s="543">
        <v>343377.93994120578</v>
      </c>
      <c r="M178" s="543">
        <v>688776.6595141415</v>
      </c>
      <c r="N178" s="543">
        <v>3306</v>
      </c>
      <c r="O178" s="543">
        <v>4125</v>
      </c>
      <c r="P178" s="543">
        <v>7431</v>
      </c>
      <c r="Q178" s="543">
        <v>81647</v>
      </c>
      <c r="R178" s="543">
        <v>45198</v>
      </c>
      <c r="S178" s="543">
        <v>126845</v>
      </c>
      <c r="T178" s="714">
        <v>391</v>
      </c>
      <c r="U178" s="543">
        <v>893</v>
      </c>
      <c r="V178" s="543">
        <v>1284</v>
      </c>
      <c r="W178" s="543">
        <v>5416</v>
      </c>
      <c r="X178" s="543">
        <v>4495</v>
      </c>
      <c r="Y178" s="543">
        <v>9911</v>
      </c>
      <c r="Z178" s="200">
        <f t="shared" ref="Z178:AB178" si="132">B178+E178+H178+K178+N178+Q178+T178+W178</f>
        <v>479105.54572265298</v>
      </c>
      <c r="AA178" s="200">
        <f t="shared" si="132"/>
        <v>480430.46887301886</v>
      </c>
      <c r="AB178" s="200">
        <f t="shared" si="132"/>
        <v>959536.01459567179</v>
      </c>
    </row>
    <row r="179" spans="1:28">
      <c r="A179" s="541" t="s">
        <v>829</v>
      </c>
      <c r="B179" s="544">
        <v>3151</v>
      </c>
      <c r="C179" s="544">
        <v>3692</v>
      </c>
      <c r="D179" s="265">
        <v>6843</v>
      </c>
      <c r="E179" s="544">
        <v>509</v>
      </c>
      <c r="F179" s="544">
        <v>714</v>
      </c>
      <c r="G179" s="265">
        <v>1223</v>
      </c>
      <c r="H179" s="544">
        <v>39984</v>
      </c>
      <c r="I179" s="544">
        <v>78711</v>
      </c>
      <c r="J179" s="265">
        <v>118695</v>
      </c>
      <c r="K179" s="716">
        <v>332886</v>
      </c>
      <c r="L179" s="544">
        <v>310573</v>
      </c>
      <c r="M179" s="265">
        <v>643459</v>
      </c>
      <c r="N179" s="544">
        <v>3475</v>
      </c>
      <c r="O179" s="544">
        <v>4173</v>
      </c>
      <c r="P179" s="265">
        <v>7648</v>
      </c>
      <c r="Q179" s="544">
        <v>87672</v>
      </c>
      <c r="R179" s="544">
        <v>41821</v>
      </c>
      <c r="S179" s="265">
        <v>129493</v>
      </c>
      <c r="T179" s="716">
        <v>693</v>
      </c>
      <c r="U179" s="544">
        <v>1185</v>
      </c>
      <c r="V179" s="265">
        <v>1878</v>
      </c>
      <c r="W179" s="544">
        <v>4489</v>
      </c>
      <c r="X179" s="544">
        <v>3822</v>
      </c>
      <c r="Y179" s="265">
        <v>8311</v>
      </c>
      <c r="Z179" s="265">
        <v>472859</v>
      </c>
      <c r="AA179" s="265">
        <v>444691</v>
      </c>
      <c r="AB179" s="265">
        <f t="shared" ref="AB179" si="133">SUM(Z179+AA179)</f>
        <v>917550</v>
      </c>
    </row>
    <row r="180" spans="1:28">
      <c r="A180" s="514" t="s">
        <v>828</v>
      </c>
      <c r="B180" s="515">
        <v>2048</v>
      </c>
      <c r="C180" s="515">
        <v>2632</v>
      </c>
      <c r="D180" s="515">
        <v>4680</v>
      </c>
      <c r="E180" s="515">
        <v>545</v>
      </c>
      <c r="F180" s="515">
        <v>681</v>
      </c>
      <c r="G180" s="515">
        <v>1226</v>
      </c>
      <c r="H180" s="515">
        <v>38125</v>
      </c>
      <c r="I180" s="515">
        <v>75433</v>
      </c>
      <c r="J180" s="515">
        <v>113558</v>
      </c>
      <c r="K180" s="549">
        <v>319105</v>
      </c>
      <c r="L180" s="515">
        <v>292642</v>
      </c>
      <c r="M180" s="515">
        <v>611747</v>
      </c>
      <c r="N180" s="515">
        <v>2969</v>
      </c>
      <c r="O180" s="515">
        <v>4074</v>
      </c>
      <c r="P180" s="515">
        <v>7043</v>
      </c>
      <c r="Q180" s="515">
        <v>90231</v>
      </c>
      <c r="R180" s="515">
        <v>41199</v>
      </c>
      <c r="S180" s="515">
        <v>131430</v>
      </c>
      <c r="T180" s="549">
        <v>846</v>
      </c>
      <c r="U180" s="515">
        <v>1139</v>
      </c>
      <c r="V180" s="515">
        <v>1985</v>
      </c>
      <c r="W180" s="515">
        <v>3687</v>
      </c>
      <c r="X180" s="515">
        <v>3123</v>
      </c>
      <c r="Y180" s="515">
        <v>6810</v>
      </c>
      <c r="Z180" s="515">
        <f t="shared" ref="Z180:AB180" si="134">B180+E180+H180+K180+N180+Q180+T180+W180</f>
        <v>457556</v>
      </c>
      <c r="AA180" s="515">
        <f t="shared" si="134"/>
        <v>420923</v>
      </c>
      <c r="AB180" s="515">
        <f t="shared" si="134"/>
        <v>878479</v>
      </c>
    </row>
    <row r="181" spans="1:28" ht="15">
      <c r="A181" s="579" t="s">
        <v>42</v>
      </c>
      <c r="B181" s="551"/>
      <c r="C181" s="551"/>
      <c r="D181" s="551"/>
      <c r="E181" s="551"/>
      <c r="F181" s="551"/>
      <c r="G181" s="551"/>
      <c r="H181" s="551"/>
      <c r="I181" s="551"/>
      <c r="J181" s="552"/>
      <c r="K181" s="551"/>
      <c r="L181" s="551"/>
      <c r="M181" s="551"/>
      <c r="N181" s="551"/>
      <c r="O181" s="551"/>
      <c r="P181" s="551"/>
      <c r="Q181" s="551"/>
      <c r="R181" s="551"/>
      <c r="S181" s="552"/>
      <c r="T181" s="551"/>
      <c r="U181" s="551"/>
      <c r="V181" s="551"/>
      <c r="W181" s="551"/>
      <c r="X181" s="551"/>
      <c r="Y181" s="551"/>
      <c r="Z181" s="551"/>
      <c r="AA181" s="551"/>
      <c r="AB181" s="552"/>
    </row>
    <row r="182" spans="1:28">
      <c r="A182" s="541" t="s">
        <v>832</v>
      </c>
      <c r="B182" s="154">
        <f ca="1">SUMIF('[2]7UnivActwithConsUnit'!$B:$B,$B182,'[2]7UnivActwithConsUnit'!D:D)+SUMIF('[2]8CollegeAct'!$B:$B,$B182,'[2]8CollegeAct'!D:D)+SUMIF(#REF!,$B182,#REF!)</f>
        <v>5478</v>
      </c>
      <c r="C182" s="154">
        <f ca="1">SUMIF('[2]7UnivActwithConsUnit'!$B:$B,$B182,'[2]7UnivActwithConsUnit'!E:E)+SUMIF('[2]8CollegeAct'!$B:$B,$B182,'[2]8CollegeAct'!E:E)+SUMIF(#REF!,$B182,#REF!)</f>
        <v>5372</v>
      </c>
      <c r="D182" s="154">
        <f ca="1">SUMIF('[2]7UnivActwithConsUnit'!$B:$B,$B182,'[2]7UnivActwithConsUnit'!F:F)+SUMIF('[2]8CollegeAct'!$B:$B,$B182,'[2]8CollegeAct'!F:F)+SUMIF(#REF!,$B182,#REF!)</f>
        <v>10850</v>
      </c>
      <c r="E182" s="154">
        <f ca="1">SUMIF('[2]7UnivActwithConsUnit'!$B:$B,$B182,'[2]7UnivActwithConsUnit'!G:G)+SUMIF('[2]8CollegeAct'!$B:$B,$B182,'[2]8CollegeAct'!G:G)+SUMIF(#REF!,$B182,#REF!)</f>
        <v>261</v>
      </c>
      <c r="F182" s="154">
        <f ca="1">SUMIF('[2]7UnivActwithConsUnit'!$B:$B,$B182,'[2]7UnivActwithConsUnit'!H:H)+SUMIF('[2]8CollegeAct'!$B:$B,$B182,'[2]8CollegeAct'!H:H)+SUMIF(#REF!,$B182,#REF!)</f>
        <v>203</v>
      </c>
      <c r="G182" s="154">
        <f ca="1">SUMIF('[2]7UnivActwithConsUnit'!$B:$B,$B182,'[2]7UnivActwithConsUnit'!I:I)+SUMIF('[2]8CollegeAct'!$B:$B,$B182,'[2]8CollegeAct'!I:I)+SUMIF(#REF!,$B182,#REF!)</f>
        <v>464</v>
      </c>
      <c r="H182" s="154">
        <f ca="1">SUMIF('[2]7UnivActwithConsUnit'!$B:$B,$B182,'[2]7UnivActwithConsUnit'!J:J)+SUMIF('[2]10CollegeEst'!$B:$B,$B182,'[2]10CollegeEst'!B:B)+SUMIF(#REF!,$B182,#REF!)</f>
        <v>115851</v>
      </c>
      <c r="I182" s="154">
        <f ca="1">SUMIF('[2]7UnivActwithConsUnit'!$B:$B,$B182,'[2]7UnivActwithConsUnit'!K:K)+SUMIF('[2]10CollegeEst'!$B:$B,$B182,'[2]10CollegeEst'!C:C)+SUMIF(#REF!,$B182,#REF!)</f>
        <v>130222</v>
      </c>
      <c r="J182" s="154">
        <f ca="1">SUMIF('[2]7UnivActwithConsUnit'!$B:$B,$B182,'[2]7UnivActwithConsUnit'!L:L)+SUMIF('[2]10CollegeEst'!$B:$B,$B182,'[2]10CollegeEst'!D:D)+SUMIF(#REF!,$B182,#REF!)</f>
        <v>246073</v>
      </c>
      <c r="K182" s="715">
        <f ca="1">SUMIF('[2]7UnivActwithConsUnit'!$B:$B,$B182,'[2]7UnivActwithConsUnit'!M:M)+SUMIF('[2]10CollegeEst'!$B:$B,$B182,'[2]10CollegeEst'!E:E)+SUMIF(#REF!,$B182,#REF!)</f>
        <v>907391</v>
      </c>
      <c r="L182" s="154">
        <f ca="1">SUMIF('[2]7UnivActwithConsUnit'!$B:$B,$B182,'[2]7UnivActwithConsUnit'!N:N)+SUMIF('[2]10CollegeEst'!$B:$B,$B182,'[2]10CollegeEst'!F:F)+SUMIF(#REF!,$B182,#REF!)</f>
        <v>853674</v>
      </c>
      <c r="M182" s="154">
        <f ca="1">SUMIF('[2]7UnivActwithConsUnit'!$B:$B,$B182,'[2]7UnivActwithConsUnit'!O:O)+SUMIF('[2]10CollegeEst'!$B:$B,$B182,'[2]10CollegeEst'!G:G)+SUMIF(#REF!,$B182,#REF!)</f>
        <v>1761065</v>
      </c>
      <c r="N182" s="154">
        <f ca="1">SUMIF('[2]7UnivActwithConsUnit'!$B:$B,$B182,'[2]7UnivActwithConsUnit'!P:P)+SUMIF('[2]8CollegeAct'!$B:$B,$B182,'[2]8CollegeAct'!P:P)+SUMIF(#REF!,$B182,#REF!)</f>
        <v>5382</v>
      </c>
      <c r="O182" s="154">
        <f ca="1">SUMIF('[2]7UnivActwithConsUnit'!$B:$B,$B182,'[2]7UnivActwithConsUnit'!Q:Q)+SUMIF('[2]8CollegeAct'!$B:$B,$B182,'[2]8CollegeAct'!Q:Q)+SUMIF(#REF!,$B182,#REF!)</f>
        <v>3845</v>
      </c>
      <c r="P182" s="154">
        <f ca="1">SUMIF('[2]7UnivActwithConsUnit'!$B:$B,$B182,'[2]7UnivActwithConsUnit'!R:R)+SUMIF('[2]8CollegeAct'!$B:$B,$B182,'[2]8CollegeAct'!R:R)+SUMIF(#REF!,$B182,#REF!)</f>
        <v>9227</v>
      </c>
      <c r="Q182" s="154">
        <f ca="1">SUMIF('[2]7UnivActwithConsUnit'!$B:$B,$B182,'[2]7UnivActwithConsUnit'!S:S)+SUMIF('[2]8CollegeAct'!$B:$B,$B182,'[2]8CollegeAct'!S:S)+SUMIF(#REF!,$B182,#REF!)</f>
        <v>80436</v>
      </c>
      <c r="R182" s="154">
        <f ca="1">SUMIF('[2]7UnivActwithConsUnit'!$B:$B,$B182,'[2]7UnivActwithConsUnit'!T:T)+SUMIF('[2]8CollegeAct'!$B:$B,$B182,'[2]8CollegeAct'!T:T)+SUMIF(#REF!,$B182,#REF!)</f>
        <v>30826</v>
      </c>
      <c r="S182" s="154">
        <f ca="1">SUMIF('[2]7UnivActwithConsUnit'!$B:$B,$B182,'[2]7UnivActwithConsUnit'!U:U)+SUMIF('[2]8CollegeAct'!$B:$B,$B182,'[2]8CollegeAct'!U:U)+SUMIF(#REF!,$B182,#REF!)</f>
        <v>111262</v>
      </c>
      <c r="T182" s="715">
        <f ca="1">SUMIF('[2]7UnivActwithConsUnit'!$B:$B,$B182,'[2]7UnivActwithConsUnit'!V:V)+SUMIF('[2]8CollegeAct'!$B:$B,$B182,'[2]8CollegeAct'!V:V)+SUMIF(#REF!,$B182,#REF!)</f>
        <v>6419</v>
      </c>
      <c r="U182" s="154">
        <f ca="1">SUMIF('[2]7UnivActwithConsUnit'!$B:$B,$B182,'[2]7UnivActwithConsUnit'!W:W)+SUMIF('[2]8CollegeAct'!$B:$B,$B182,'[2]8CollegeAct'!W:W)+SUMIF(#REF!,$B182,#REF!)</f>
        <v>6578</v>
      </c>
      <c r="V182" s="154">
        <f ca="1">SUMIF('[2]7UnivActwithConsUnit'!$B:$B,$B182,'[2]7UnivActwithConsUnit'!X:X)+SUMIF('[2]8CollegeAct'!$B:$B,$B182,'[2]8CollegeAct'!X:X)+SUMIF(#REF!,$B182,#REF!)</f>
        <v>12997</v>
      </c>
      <c r="W182" s="154">
        <f ca="1">SUMIF('[2]7UnivActwithConsUnit'!$B:$B,$B182,'[2]7UnivActwithConsUnit'!Y:Y)+SUMIF('[2]8CollegeAct'!$B:$B,$B182,'[2]8CollegeAct'!Y:Y)+SUMIF(#REF!,$B182,#REF!)</f>
        <v>29968</v>
      </c>
      <c r="X182" s="154">
        <f ca="1">SUMIF('[2]7UnivActwithConsUnit'!$B:$B,$B182,'[2]7UnivActwithConsUnit'!Z:Z)+SUMIF('[2]8CollegeAct'!$B:$B,$B182,'[2]8CollegeAct'!Z:Z)+SUMIF(#REF!,$B182,#REF!)</f>
        <v>24611</v>
      </c>
      <c r="Y182" s="154">
        <f ca="1">SUMIF('[2]7UnivActwithConsUnit'!$B:$B,$B182,'[2]7UnivActwithConsUnit'!AA:AA)+SUMIF('[2]8CollegeAct'!$B:$B,$B182,'[2]8CollegeAct'!AA:AA)+SUMIF(#REF!,$B182,#REF!)</f>
        <v>54579</v>
      </c>
      <c r="Z182" s="155">
        <f t="shared" ref="Z182:AA182" ca="1" si="135">B182+E182+H182+K182+N182+Q182+T182+W182</f>
        <v>1151186</v>
      </c>
      <c r="AA182" s="155">
        <f t="shared" ca="1" si="135"/>
        <v>1055331</v>
      </c>
      <c r="AB182" s="155">
        <f t="shared" ref="AB182" ca="1" si="136">Z182+AA182</f>
        <v>2206517</v>
      </c>
    </row>
    <row r="183" spans="1:28">
      <c r="A183" s="541" t="s">
        <v>831</v>
      </c>
      <c r="B183" s="515">
        <v>5296</v>
      </c>
      <c r="C183" s="515">
        <v>5145</v>
      </c>
      <c r="D183" s="515">
        <v>10441</v>
      </c>
      <c r="E183" s="515">
        <v>116</v>
      </c>
      <c r="F183" s="515">
        <v>160</v>
      </c>
      <c r="G183" s="515">
        <v>276</v>
      </c>
      <c r="H183" s="515">
        <v>84372</v>
      </c>
      <c r="I183" s="515">
        <v>106455</v>
      </c>
      <c r="J183" s="515">
        <v>190827</v>
      </c>
      <c r="K183" s="549">
        <v>886191</v>
      </c>
      <c r="L183" s="515">
        <v>843108</v>
      </c>
      <c r="M183" s="515">
        <v>1729299</v>
      </c>
      <c r="N183" s="515">
        <v>7179</v>
      </c>
      <c r="O183" s="515">
        <v>3756</v>
      </c>
      <c r="P183" s="515">
        <v>10935</v>
      </c>
      <c r="Q183" s="515">
        <v>77667</v>
      </c>
      <c r="R183" s="515">
        <v>25025</v>
      </c>
      <c r="S183" s="515">
        <v>102692</v>
      </c>
      <c r="T183" s="549">
        <v>5540</v>
      </c>
      <c r="U183" s="515">
        <v>5983</v>
      </c>
      <c r="V183" s="515">
        <v>11523</v>
      </c>
      <c r="W183" s="515">
        <v>16105</v>
      </c>
      <c r="X183" s="515">
        <v>12315</v>
      </c>
      <c r="Y183" s="515">
        <v>28420</v>
      </c>
      <c r="Z183" s="515">
        <v>1082466</v>
      </c>
      <c r="AA183" s="515">
        <v>1001947</v>
      </c>
      <c r="AB183" s="515">
        <v>2084413</v>
      </c>
    </row>
    <row r="184" spans="1:28">
      <c r="A184" s="541" t="s">
        <v>830</v>
      </c>
      <c r="B184" s="543">
        <v>3925</v>
      </c>
      <c r="C184" s="543">
        <v>4054</v>
      </c>
      <c r="D184" s="543">
        <v>7979</v>
      </c>
      <c r="E184" s="543">
        <v>173</v>
      </c>
      <c r="F184" s="543">
        <v>182</v>
      </c>
      <c r="G184" s="543">
        <v>355</v>
      </c>
      <c r="H184" s="543">
        <v>106170.37170514696</v>
      </c>
      <c r="I184" s="543">
        <v>107050.69007486115</v>
      </c>
      <c r="J184" s="543">
        <v>213221.06178000811</v>
      </c>
      <c r="K184" s="714">
        <v>836893.31903304509</v>
      </c>
      <c r="L184" s="543">
        <v>732446.61857225199</v>
      </c>
      <c r="M184" s="543">
        <v>1569339.9376052972</v>
      </c>
      <c r="N184" s="543">
        <v>7771</v>
      </c>
      <c r="O184" s="543">
        <v>3782</v>
      </c>
      <c r="P184" s="543">
        <v>11553</v>
      </c>
      <c r="Q184" s="543">
        <v>86431</v>
      </c>
      <c r="R184" s="543">
        <v>22570</v>
      </c>
      <c r="S184" s="543">
        <v>109001</v>
      </c>
      <c r="T184" s="714">
        <v>5667</v>
      </c>
      <c r="U184" s="543">
        <v>6016</v>
      </c>
      <c r="V184" s="543">
        <v>11683</v>
      </c>
      <c r="W184" s="543">
        <v>7480</v>
      </c>
      <c r="X184" s="543">
        <v>5592</v>
      </c>
      <c r="Y184" s="543">
        <v>13072</v>
      </c>
      <c r="Z184" s="200">
        <f t="shared" ref="Z184:AB184" si="137">B184+E184+H184+K184+N184+Q184+T184+W184</f>
        <v>1054510.6907381921</v>
      </c>
      <c r="AA184" s="200">
        <f t="shared" si="137"/>
        <v>881693.30864711315</v>
      </c>
      <c r="AB184" s="200">
        <f t="shared" si="137"/>
        <v>1936203.9993853052</v>
      </c>
    </row>
    <row r="185" spans="1:28">
      <c r="A185" s="541" t="s">
        <v>829</v>
      </c>
      <c r="B185" s="544">
        <v>3672</v>
      </c>
      <c r="C185" s="544">
        <v>3338</v>
      </c>
      <c r="D185" s="265">
        <v>7010</v>
      </c>
      <c r="E185" s="544">
        <v>420</v>
      </c>
      <c r="F185" s="544">
        <v>191</v>
      </c>
      <c r="G185" s="265">
        <v>611</v>
      </c>
      <c r="H185" s="544">
        <v>90235</v>
      </c>
      <c r="I185" s="544">
        <v>96472</v>
      </c>
      <c r="J185" s="265">
        <v>186707</v>
      </c>
      <c r="K185" s="716">
        <v>801229</v>
      </c>
      <c r="L185" s="544">
        <v>681003</v>
      </c>
      <c r="M185" s="265">
        <v>1482232</v>
      </c>
      <c r="N185" s="544">
        <v>4725</v>
      </c>
      <c r="O185" s="544">
        <v>2785</v>
      </c>
      <c r="P185" s="265">
        <v>7510</v>
      </c>
      <c r="Q185" s="544">
        <v>81909</v>
      </c>
      <c r="R185" s="544">
        <v>18498</v>
      </c>
      <c r="S185" s="265">
        <v>100407</v>
      </c>
      <c r="T185" s="716">
        <v>6906</v>
      </c>
      <c r="U185" s="544">
        <v>6954</v>
      </c>
      <c r="V185" s="265">
        <v>13860</v>
      </c>
      <c r="W185" s="544">
        <v>5876</v>
      </c>
      <c r="X185" s="544">
        <v>4238</v>
      </c>
      <c r="Y185" s="265">
        <v>10114</v>
      </c>
      <c r="Z185" s="265">
        <v>994972</v>
      </c>
      <c r="AA185" s="265">
        <v>813479</v>
      </c>
      <c r="AB185" s="265">
        <f t="shared" ref="AB185" si="138">SUM(Z185+AA185)</f>
        <v>1808451</v>
      </c>
    </row>
    <row r="186" spans="1:28">
      <c r="A186" s="514" t="s">
        <v>828</v>
      </c>
      <c r="B186" s="515">
        <v>1789</v>
      </c>
      <c r="C186" s="515">
        <v>2345</v>
      </c>
      <c r="D186" s="515">
        <v>4134</v>
      </c>
      <c r="E186" s="515">
        <v>349</v>
      </c>
      <c r="F186" s="515">
        <v>260</v>
      </c>
      <c r="G186" s="515">
        <v>609</v>
      </c>
      <c r="H186" s="515">
        <v>92081</v>
      </c>
      <c r="I186" s="515">
        <v>96571</v>
      </c>
      <c r="J186" s="515">
        <v>188652</v>
      </c>
      <c r="K186" s="549">
        <v>794161</v>
      </c>
      <c r="L186" s="515">
        <v>645604</v>
      </c>
      <c r="M186" s="515">
        <v>1439765</v>
      </c>
      <c r="N186" s="515">
        <v>4378</v>
      </c>
      <c r="O186" s="515">
        <v>3160</v>
      </c>
      <c r="P186" s="515">
        <v>7538</v>
      </c>
      <c r="Q186" s="515">
        <v>91474</v>
      </c>
      <c r="R186" s="515">
        <v>15153</v>
      </c>
      <c r="S186" s="515">
        <v>106627</v>
      </c>
      <c r="T186" s="549">
        <v>2651</v>
      </c>
      <c r="U186" s="515">
        <v>2883</v>
      </c>
      <c r="V186" s="515">
        <v>5534</v>
      </c>
      <c r="W186" s="515">
        <v>5270</v>
      </c>
      <c r="X186" s="515">
        <v>3331</v>
      </c>
      <c r="Y186" s="515">
        <v>8601</v>
      </c>
      <c r="Z186" s="515">
        <f t="shared" ref="Z186:AB186" si="139">B186+E186+H186+K186+N186+Q186+T186+W186</f>
        <v>992153</v>
      </c>
      <c r="AA186" s="515">
        <f t="shared" si="139"/>
        <v>769307</v>
      </c>
      <c r="AB186" s="515">
        <f t="shared" si="139"/>
        <v>1761460</v>
      </c>
    </row>
    <row r="187" spans="1:28" ht="15">
      <c r="A187" s="579" t="s">
        <v>43</v>
      </c>
      <c r="B187" s="551"/>
      <c r="C187" s="551"/>
      <c r="D187" s="551"/>
      <c r="E187" s="551"/>
      <c r="F187" s="551"/>
      <c r="G187" s="551"/>
      <c r="H187" s="551"/>
      <c r="I187" s="551"/>
      <c r="J187" s="552"/>
      <c r="K187" s="551"/>
      <c r="L187" s="551"/>
      <c r="M187" s="551"/>
      <c r="N187" s="551"/>
      <c r="O187" s="551"/>
      <c r="P187" s="551"/>
      <c r="Q187" s="551"/>
      <c r="R187" s="551"/>
      <c r="S187" s="552"/>
      <c r="T187" s="551"/>
      <c r="U187" s="551"/>
      <c r="V187" s="551"/>
      <c r="W187" s="551"/>
      <c r="X187" s="551"/>
      <c r="Y187" s="551"/>
      <c r="Z187" s="551"/>
      <c r="AA187" s="551"/>
      <c r="AB187" s="552"/>
    </row>
    <row r="188" spans="1:28">
      <c r="A188" s="541" t="s">
        <v>832</v>
      </c>
      <c r="B188" s="154">
        <f ca="1">SUMIF('[2]7UnivActwithConsUnit'!$B:$B,$B188,'[2]7UnivActwithConsUnit'!D:D)+SUMIF('[2]8CollegeAct'!$B:$B,$B188,'[2]8CollegeAct'!D:D)+SUMIF(#REF!,$B188,#REF!)</f>
        <v>215</v>
      </c>
      <c r="C188" s="154">
        <f ca="1">SUMIF('[2]7UnivActwithConsUnit'!$B:$B,$B188,'[2]7UnivActwithConsUnit'!E:E)+SUMIF('[2]8CollegeAct'!$B:$B,$B188,'[2]8CollegeAct'!E:E)+SUMIF(#REF!,$B188,#REF!)</f>
        <v>195</v>
      </c>
      <c r="D188" s="154">
        <f ca="1">SUMIF('[2]7UnivActwithConsUnit'!$B:$B,$B188,'[2]7UnivActwithConsUnit'!F:F)+SUMIF('[2]8CollegeAct'!$B:$B,$B188,'[2]8CollegeAct'!F:F)+SUMIF(#REF!,$B188,#REF!)</f>
        <v>410</v>
      </c>
      <c r="E188" s="154">
        <f ca="1">SUMIF('[2]7UnivActwithConsUnit'!$B:$B,$B188,'[2]7UnivActwithConsUnit'!G:G)+SUMIF('[2]8CollegeAct'!$B:$B,$B188,'[2]8CollegeAct'!G:G)+SUMIF(#REF!,$B188,#REF!)</f>
        <v>43</v>
      </c>
      <c r="F188" s="154">
        <f ca="1">SUMIF('[2]7UnivActwithConsUnit'!$B:$B,$B188,'[2]7UnivActwithConsUnit'!H:H)+SUMIF('[2]8CollegeAct'!$B:$B,$B188,'[2]8CollegeAct'!H:H)+SUMIF(#REF!,$B188,#REF!)</f>
        <v>44</v>
      </c>
      <c r="G188" s="154">
        <f ca="1">SUMIF('[2]7UnivActwithConsUnit'!$B:$B,$B188,'[2]7UnivActwithConsUnit'!I:I)+SUMIF('[2]8CollegeAct'!$B:$B,$B188,'[2]8CollegeAct'!I:I)+SUMIF(#REF!,$B188,#REF!)</f>
        <v>87</v>
      </c>
      <c r="H188" s="154">
        <f ca="1">SUMIF('[2]7UnivActwithConsUnit'!$B:$B,$B188,'[2]7UnivActwithConsUnit'!J:J)+SUMIF('[2]10CollegeEst'!$B:$B,$B188,'[2]10CollegeEst'!B:B)+SUMIF(#REF!,$B188,#REF!)</f>
        <v>17445</v>
      </c>
      <c r="I188" s="154">
        <f ca="1">SUMIF('[2]7UnivActwithConsUnit'!$B:$B,$B188,'[2]7UnivActwithConsUnit'!K:K)+SUMIF('[2]10CollegeEst'!$B:$B,$B188,'[2]10CollegeEst'!C:C)+SUMIF(#REF!,$B188,#REF!)</f>
        <v>10667</v>
      </c>
      <c r="J188" s="154">
        <f ca="1">SUMIF('[2]7UnivActwithConsUnit'!$B:$B,$B188,'[2]7UnivActwithConsUnit'!L:L)+SUMIF('[2]10CollegeEst'!$B:$B,$B188,'[2]10CollegeEst'!D:D)+SUMIF(#REF!,$B188,#REF!)</f>
        <v>28112</v>
      </c>
      <c r="K188" s="715">
        <f ca="1">SUMIF('[2]7UnivActwithConsUnit'!$B:$B,$B188,'[2]7UnivActwithConsUnit'!M:M)+SUMIF('[2]10CollegeEst'!$B:$B,$B188,'[2]10CollegeEst'!E:E)+SUMIF(#REF!,$B188,#REF!)</f>
        <v>14134</v>
      </c>
      <c r="L188" s="154">
        <f ca="1">SUMIF('[2]7UnivActwithConsUnit'!$B:$B,$B188,'[2]7UnivActwithConsUnit'!N:N)+SUMIF('[2]10CollegeEst'!$B:$B,$B188,'[2]10CollegeEst'!F:F)+SUMIF(#REF!,$B188,#REF!)</f>
        <v>12730</v>
      </c>
      <c r="M188" s="154">
        <f ca="1">SUMIF('[2]7UnivActwithConsUnit'!$B:$B,$B188,'[2]7UnivActwithConsUnit'!O:O)+SUMIF('[2]10CollegeEst'!$B:$B,$B188,'[2]10CollegeEst'!G:G)+SUMIF(#REF!,$B188,#REF!)</f>
        <v>26864</v>
      </c>
      <c r="N188" s="154">
        <f ca="1">SUMIF('[2]7UnivActwithConsUnit'!$B:$B,$B188,'[2]7UnivActwithConsUnit'!P:P)+SUMIF('[2]8CollegeAct'!$B:$B,$B188,'[2]8CollegeAct'!P:P)+SUMIF(#REF!,$B188,#REF!)</f>
        <v>23</v>
      </c>
      <c r="O188" s="154">
        <f ca="1">SUMIF('[2]7UnivActwithConsUnit'!$B:$B,$B188,'[2]7UnivActwithConsUnit'!Q:Q)+SUMIF('[2]8CollegeAct'!$B:$B,$B188,'[2]8CollegeAct'!Q:Q)+SUMIF(#REF!,$B188,#REF!)</f>
        <v>18</v>
      </c>
      <c r="P188" s="154">
        <f ca="1">SUMIF('[2]7UnivActwithConsUnit'!$B:$B,$B188,'[2]7UnivActwithConsUnit'!R:R)+SUMIF('[2]8CollegeAct'!$B:$B,$B188,'[2]8CollegeAct'!R:R)+SUMIF(#REF!,$B188,#REF!)</f>
        <v>41</v>
      </c>
      <c r="Q188" s="154">
        <f ca="1">SUMIF('[2]7UnivActwithConsUnit'!$B:$B,$B188,'[2]7UnivActwithConsUnit'!S:S)+SUMIF('[2]8CollegeAct'!$B:$B,$B188,'[2]8CollegeAct'!S:S)+SUMIF(#REF!,$B188,#REF!)</f>
        <v>1035</v>
      </c>
      <c r="R188" s="154">
        <f ca="1">SUMIF('[2]7UnivActwithConsUnit'!$B:$B,$B188,'[2]7UnivActwithConsUnit'!T:T)+SUMIF('[2]8CollegeAct'!$B:$B,$B188,'[2]8CollegeAct'!T:T)+SUMIF(#REF!,$B188,#REF!)</f>
        <v>1164</v>
      </c>
      <c r="S188" s="154">
        <f ca="1">SUMIF('[2]7UnivActwithConsUnit'!$B:$B,$B188,'[2]7UnivActwithConsUnit'!U:U)+SUMIF('[2]8CollegeAct'!$B:$B,$B188,'[2]8CollegeAct'!U:U)+SUMIF(#REF!,$B188,#REF!)</f>
        <v>2199</v>
      </c>
      <c r="T188" s="715">
        <f ca="1">SUMIF('[2]7UnivActwithConsUnit'!$B:$B,$B188,'[2]7UnivActwithConsUnit'!V:V)+SUMIF('[2]8CollegeAct'!$B:$B,$B188,'[2]8CollegeAct'!V:V)+SUMIF(#REF!,$B188,#REF!)</f>
        <v>34</v>
      </c>
      <c r="U188" s="154">
        <f ca="1">SUMIF('[2]7UnivActwithConsUnit'!$B:$B,$B188,'[2]7UnivActwithConsUnit'!W:W)+SUMIF('[2]8CollegeAct'!$B:$B,$B188,'[2]8CollegeAct'!W:W)+SUMIF(#REF!,$B188,#REF!)</f>
        <v>6</v>
      </c>
      <c r="V188" s="154">
        <f ca="1">SUMIF('[2]7UnivActwithConsUnit'!$B:$B,$B188,'[2]7UnivActwithConsUnit'!X:X)+SUMIF('[2]8CollegeAct'!$B:$B,$B188,'[2]8CollegeAct'!X:X)+SUMIF(#REF!,$B188,#REF!)</f>
        <v>40</v>
      </c>
      <c r="W188" s="154">
        <f ca="1">SUMIF('[2]7UnivActwithConsUnit'!$B:$B,$B188,'[2]7UnivActwithConsUnit'!Y:Y)+SUMIF('[2]8CollegeAct'!$B:$B,$B188,'[2]8CollegeAct'!Y:Y)+SUMIF(#REF!,$B188,#REF!)</f>
        <v>120</v>
      </c>
      <c r="X188" s="154">
        <f ca="1">SUMIF('[2]7UnivActwithConsUnit'!$B:$B,$B188,'[2]7UnivActwithConsUnit'!Z:Z)+SUMIF('[2]8CollegeAct'!$B:$B,$B188,'[2]8CollegeAct'!Z:Z)+SUMIF(#REF!,$B188,#REF!)</f>
        <v>198</v>
      </c>
      <c r="Y188" s="154">
        <f ca="1">SUMIF('[2]7UnivActwithConsUnit'!$B:$B,$B188,'[2]7UnivActwithConsUnit'!AA:AA)+SUMIF('[2]8CollegeAct'!$B:$B,$B188,'[2]8CollegeAct'!AA:AA)+SUMIF(#REF!,$B188,#REF!)</f>
        <v>318</v>
      </c>
      <c r="Z188" s="155">
        <f t="shared" ref="Z188:AA188" ca="1" si="140">B188+E188+H188+K188+N188+Q188+T188+W188</f>
        <v>33049</v>
      </c>
      <c r="AA188" s="155">
        <f t="shared" ca="1" si="140"/>
        <v>25022</v>
      </c>
      <c r="AB188" s="155">
        <f t="shared" ref="AB188" ca="1" si="141">Z188+AA188</f>
        <v>58071</v>
      </c>
    </row>
    <row r="189" spans="1:28">
      <c r="A189" s="541" t="s">
        <v>831</v>
      </c>
      <c r="B189" s="515">
        <v>211</v>
      </c>
      <c r="C189" s="515">
        <v>188</v>
      </c>
      <c r="D189" s="515">
        <v>399</v>
      </c>
      <c r="E189" s="515">
        <v>37</v>
      </c>
      <c r="F189" s="515">
        <v>42</v>
      </c>
      <c r="G189" s="515">
        <v>79</v>
      </c>
      <c r="H189" s="515">
        <v>8508</v>
      </c>
      <c r="I189" s="515">
        <v>6515</v>
      </c>
      <c r="J189" s="515">
        <v>15023</v>
      </c>
      <c r="K189" s="549">
        <v>11531</v>
      </c>
      <c r="L189" s="515">
        <v>12039</v>
      </c>
      <c r="M189" s="515">
        <v>23570</v>
      </c>
      <c r="N189" s="515">
        <v>22</v>
      </c>
      <c r="O189" s="515">
        <v>34</v>
      </c>
      <c r="P189" s="515">
        <v>56</v>
      </c>
      <c r="Q189" s="515">
        <v>1033</v>
      </c>
      <c r="R189" s="515">
        <v>1070</v>
      </c>
      <c r="S189" s="515">
        <v>2103</v>
      </c>
      <c r="T189" s="549">
        <v>37</v>
      </c>
      <c r="U189" s="515">
        <v>10</v>
      </c>
      <c r="V189" s="515">
        <v>47</v>
      </c>
      <c r="W189" s="515">
        <v>110</v>
      </c>
      <c r="X189" s="515">
        <v>185</v>
      </c>
      <c r="Y189" s="515">
        <v>295</v>
      </c>
      <c r="Z189" s="515">
        <v>21489</v>
      </c>
      <c r="AA189" s="515">
        <v>20083</v>
      </c>
      <c r="AB189" s="515">
        <v>41572</v>
      </c>
    </row>
    <row r="190" spans="1:28">
      <c r="A190" s="541" t="s">
        <v>830</v>
      </c>
      <c r="B190" s="543">
        <v>77</v>
      </c>
      <c r="C190" s="543">
        <v>53</v>
      </c>
      <c r="D190" s="543">
        <v>130</v>
      </c>
      <c r="E190" s="543">
        <v>9</v>
      </c>
      <c r="F190" s="543">
        <v>17</v>
      </c>
      <c r="G190" s="543">
        <v>26</v>
      </c>
      <c r="H190" s="543">
        <v>3759.5255862399313</v>
      </c>
      <c r="I190" s="543">
        <v>3863.1687979276207</v>
      </c>
      <c r="J190" s="543">
        <v>7622.694384167552</v>
      </c>
      <c r="K190" s="714">
        <v>8697.2705217815437</v>
      </c>
      <c r="L190" s="543">
        <v>10304.41023975084</v>
      </c>
      <c r="M190" s="543">
        <v>19001.680761532381</v>
      </c>
      <c r="N190" s="543">
        <v>16</v>
      </c>
      <c r="O190" s="543">
        <v>18</v>
      </c>
      <c r="P190" s="543">
        <v>34</v>
      </c>
      <c r="Q190" s="543">
        <v>906</v>
      </c>
      <c r="R190" s="543">
        <v>966</v>
      </c>
      <c r="S190" s="543">
        <v>1872</v>
      </c>
      <c r="T190" s="714">
        <v>6</v>
      </c>
      <c r="U190" s="543">
        <v>14</v>
      </c>
      <c r="V190" s="543">
        <v>20</v>
      </c>
      <c r="W190" s="543">
        <v>117</v>
      </c>
      <c r="X190" s="543">
        <v>177</v>
      </c>
      <c r="Y190" s="543">
        <v>294</v>
      </c>
      <c r="Z190" s="200">
        <f t="shared" ref="Z190:AB190" si="142">B190+E190+H190+K190+N190+Q190+T190+W190</f>
        <v>13587.796108021475</v>
      </c>
      <c r="AA190" s="200">
        <f t="shared" si="142"/>
        <v>15412.579037678461</v>
      </c>
      <c r="AB190" s="200">
        <f t="shared" si="142"/>
        <v>29000.375145699934</v>
      </c>
    </row>
    <row r="191" spans="1:28">
      <c r="A191" s="541" t="s">
        <v>829</v>
      </c>
      <c r="B191" s="544">
        <v>107</v>
      </c>
      <c r="C191" s="544">
        <v>89</v>
      </c>
      <c r="D191" s="265">
        <v>196</v>
      </c>
      <c r="E191" s="544">
        <v>72</v>
      </c>
      <c r="F191" s="544">
        <v>75</v>
      </c>
      <c r="G191" s="265">
        <v>147</v>
      </c>
      <c r="H191" s="544">
        <v>4319</v>
      </c>
      <c r="I191" s="544">
        <v>4600</v>
      </c>
      <c r="J191" s="265">
        <v>8919</v>
      </c>
      <c r="K191" s="716">
        <v>8171</v>
      </c>
      <c r="L191" s="544">
        <v>9674</v>
      </c>
      <c r="M191" s="265">
        <v>17845</v>
      </c>
      <c r="N191" s="544">
        <v>10</v>
      </c>
      <c r="O191" s="544">
        <v>15</v>
      </c>
      <c r="P191" s="265">
        <v>25</v>
      </c>
      <c r="Q191" s="544">
        <v>854</v>
      </c>
      <c r="R191" s="544">
        <v>741</v>
      </c>
      <c r="S191" s="265">
        <v>1595</v>
      </c>
      <c r="T191" s="716">
        <v>9</v>
      </c>
      <c r="U191" s="544">
        <v>37</v>
      </c>
      <c r="V191" s="265">
        <v>46</v>
      </c>
      <c r="W191" s="544">
        <v>153</v>
      </c>
      <c r="X191" s="544">
        <v>184</v>
      </c>
      <c r="Y191" s="265">
        <v>337</v>
      </c>
      <c r="Z191" s="265">
        <v>13695</v>
      </c>
      <c r="AA191" s="265">
        <v>15415</v>
      </c>
      <c r="AB191" s="265">
        <f t="shared" ref="AB191" si="143">SUM(Z191+AA191)</f>
        <v>29110</v>
      </c>
    </row>
    <row r="192" spans="1:28">
      <c r="A192" s="514" t="s">
        <v>828</v>
      </c>
      <c r="B192" s="515">
        <v>27</v>
      </c>
      <c r="C192" s="515">
        <v>31</v>
      </c>
      <c r="D192" s="515">
        <v>58</v>
      </c>
      <c r="E192" s="515">
        <v>68</v>
      </c>
      <c r="F192" s="515">
        <v>74</v>
      </c>
      <c r="G192" s="515">
        <v>142</v>
      </c>
      <c r="H192" s="515">
        <v>5219</v>
      </c>
      <c r="I192" s="515">
        <v>5209</v>
      </c>
      <c r="J192" s="515">
        <v>10428</v>
      </c>
      <c r="K192" s="549">
        <v>8546</v>
      </c>
      <c r="L192" s="515">
        <v>8461</v>
      </c>
      <c r="M192" s="515">
        <v>17007</v>
      </c>
      <c r="N192" s="515">
        <v>14</v>
      </c>
      <c r="O192" s="515">
        <v>22</v>
      </c>
      <c r="P192" s="515">
        <v>36</v>
      </c>
      <c r="Q192" s="515">
        <v>737</v>
      </c>
      <c r="R192" s="515">
        <v>482</v>
      </c>
      <c r="S192" s="515">
        <v>1219</v>
      </c>
      <c r="T192" s="549">
        <v>11</v>
      </c>
      <c r="U192" s="515">
        <v>52</v>
      </c>
      <c r="V192" s="515">
        <v>63</v>
      </c>
      <c r="W192" s="515">
        <v>304</v>
      </c>
      <c r="X192" s="515">
        <v>293</v>
      </c>
      <c r="Y192" s="515">
        <v>597</v>
      </c>
      <c r="Z192" s="515">
        <f t="shared" ref="Z192:AB192" si="144">B192+E192+H192+K192+N192+Q192+T192+W192</f>
        <v>14926</v>
      </c>
      <c r="AA192" s="515">
        <f t="shared" si="144"/>
        <v>14624</v>
      </c>
      <c r="AB192" s="515">
        <f t="shared" si="144"/>
        <v>29550</v>
      </c>
    </row>
    <row r="193" spans="1:28" ht="15">
      <c r="A193" s="579" t="s">
        <v>44</v>
      </c>
      <c r="B193" s="551"/>
      <c r="C193" s="551"/>
      <c r="D193" s="551"/>
      <c r="E193" s="551"/>
      <c r="F193" s="551"/>
      <c r="G193" s="551"/>
      <c r="H193" s="551"/>
      <c r="I193" s="551"/>
      <c r="J193" s="552"/>
      <c r="K193" s="551"/>
      <c r="L193" s="551"/>
      <c r="M193" s="551"/>
      <c r="N193" s="551"/>
      <c r="O193" s="551"/>
      <c r="P193" s="551"/>
      <c r="Q193" s="551"/>
      <c r="R193" s="551"/>
      <c r="S193" s="552"/>
      <c r="T193" s="551"/>
      <c r="U193" s="551"/>
      <c r="V193" s="551"/>
      <c r="W193" s="551"/>
      <c r="X193" s="551"/>
      <c r="Y193" s="551"/>
      <c r="Z193" s="551"/>
      <c r="AA193" s="551"/>
      <c r="AB193" s="552"/>
    </row>
    <row r="194" spans="1:28">
      <c r="A194" s="541" t="s">
        <v>832</v>
      </c>
      <c r="B194" s="154">
        <f ca="1">SUMIF('[2]7UnivActwithConsUnit'!$B:$B,$B194,'[2]7UnivActwithConsUnit'!D:D)+SUMIF('[2]8CollegeAct'!$B:$B,$B194,'[2]8CollegeAct'!D:D)+SUMIF(#REF!,$B194,#REF!)</f>
        <v>15828</v>
      </c>
      <c r="C194" s="154">
        <f ca="1">SUMIF('[2]7UnivActwithConsUnit'!$B:$B,$B194,'[2]7UnivActwithConsUnit'!E:E)+SUMIF('[2]8CollegeAct'!$B:$B,$B194,'[2]8CollegeAct'!E:E)+SUMIF(#REF!,$B194,#REF!)</f>
        <v>14832</v>
      </c>
      <c r="D194" s="154">
        <f ca="1">SUMIF('[2]7UnivActwithConsUnit'!$B:$B,$B194,'[2]7UnivActwithConsUnit'!F:F)+SUMIF('[2]8CollegeAct'!$B:$B,$B194,'[2]8CollegeAct'!F:F)+SUMIF(#REF!,$B194,#REF!)</f>
        <v>30660</v>
      </c>
      <c r="E194" s="154">
        <f ca="1">SUMIF('[2]7UnivActwithConsUnit'!$B:$B,$B194,'[2]7UnivActwithConsUnit'!G:G)+SUMIF('[2]8CollegeAct'!$B:$B,$B194,'[2]8CollegeAct'!G:G)+SUMIF(#REF!,$B194,#REF!)</f>
        <v>2470</v>
      </c>
      <c r="F194" s="154">
        <f ca="1">SUMIF('[2]7UnivActwithConsUnit'!$B:$B,$B194,'[2]7UnivActwithConsUnit'!H:H)+SUMIF('[2]8CollegeAct'!$B:$B,$B194,'[2]8CollegeAct'!H:H)+SUMIF(#REF!,$B194,#REF!)</f>
        <v>7309</v>
      </c>
      <c r="G194" s="154">
        <f ca="1">SUMIF('[2]7UnivActwithConsUnit'!$B:$B,$B194,'[2]7UnivActwithConsUnit'!I:I)+SUMIF('[2]8CollegeAct'!$B:$B,$B194,'[2]8CollegeAct'!I:I)+SUMIF(#REF!,$B194,#REF!)</f>
        <v>9779</v>
      </c>
      <c r="H194" s="154">
        <f ca="1">SUMIF('[2]7UnivActwithConsUnit'!$B:$B,$B194,'[2]7UnivActwithConsUnit'!J:J)+SUMIF('[2]10CollegeEst'!$B:$B,$B194,'[2]10CollegeEst'!B:B)+SUMIF(#REF!,$B194,#REF!)</f>
        <v>184265</v>
      </c>
      <c r="I194" s="154">
        <f ca="1">SUMIF('[2]7UnivActwithConsUnit'!$B:$B,$B194,'[2]7UnivActwithConsUnit'!K:K)+SUMIF('[2]10CollegeEst'!$B:$B,$B194,'[2]10CollegeEst'!C:C)+SUMIF(#REF!,$B194,#REF!)</f>
        <v>295673</v>
      </c>
      <c r="J194" s="154">
        <f ca="1">SUMIF('[2]7UnivActwithConsUnit'!$B:$B,$B194,'[2]7UnivActwithConsUnit'!L:L)+SUMIF('[2]10CollegeEst'!$B:$B,$B194,'[2]10CollegeEst'!D:D)+SUMIF(#REF!,$B194,#REF!)</f>
        <v>479938</v>
      </c>
      <c r="K194" s="715">
        <f ca="1">SUMIF('[2]7UnivActwithConsUnit'!$B:$B,$B194,'[2]7UnivActwithConsUnit'!M:M)+SUMIF('[2]10CollegeEst'!$B:$B,$B194,'[2]10CollegeEst'!E:E)+SUMIF(#REF!,$B194,#REF!)</f>
        <v>1260037</v>
      </c>
      <c r="L194" s="154">
        <f ca="1">SUMIF('[2]7UnivActwithConsUnit'!$B:$B,$B194,'[2]7UnivActwithConsUnit'!N:N)+SUMIF('[2]10CollegeEst'!$B:$B,$B194,'[2]10CollegeEst'!F:F)+SUMIF(#REF!,$B194,#REF!)</f>
        <v>1330973</v>
      </c>
      <c r="M194" s="154">
        <f ca="1">SUMIF('[2]7UnivActwithConsUnit'!$B:$B,$B194,'[2]7UnivActwithConsUnit'!O:O)+SUMIF('[2]10CollegeEst'!$B:$B,$B194,'[2]10CollegeEst'!G:G)+SUMIF(#REF!,$B194,#REF!)</f>
        <v>2591010</v>
      </c>
      <c r="N194" s="154">
        <f ca="1">SUMIF('[2]7UnivActwithConsUnit'!$B:$B,$B194,'[2]7UnivActwithConsUnit'!P:P)+SUMIF('[2]8CollegeAct'!$B:$B,$B194,'[2]8CollegeAct'!P:P)+SUMIF(#REF!,$B194,#REF!)</f>
        <v>9095</v>
      </c>
      <c r="O194" s="154">
        <f ca="1">SUMIF('[2]7UnivActwithConsUnit'!$B:$B,$B194,'[2]7UnivActwithConsUnit'!Q:Q)+SUMIF('[2]8CollegeAct'!$B:$B,$B194,'[2]8CollegeAct'!Q:Q)+SUMIF(#REF!,$B194,#REF!)</f>
        <v>6817</v>
      </c>
      <c r="P194" s="154">
        <f ca="1">SUMIF('[2]7UnivActwithConsUnit'!$B:$B,$B194,'[2]7UnivActwithConsUnit'!R:R)+SUMIF('[2]8CollegeAct'!$B:$B,$B194,'[2]8CollegeAct'!R:R)+SUMIF(#REF!,$B194,#REF!)</f>
        <v>15912</v>
      </c>
      <c r="Q194" s="154">
        <f ca="1">SUMIF('[2]7UnivActwithConsUnit'!$B:$B,$B194,'[2]7UnivActwithConsUnit'!S:S)+SUMIF('[2]8CollegeAct'!$B:$B,$B194,'[2]8CollegeAct'!S:S)+SUMIF(#REF!,$B194,#REF!)</f>
        <v>284382</v>
      </c>
      <c r="R194" s="154">
        <f ca="1">SUMIF('[2]7UnivActwithConsUnit'!$B:$B,$B194,'[2]7UnivActwithConsUnit'!T:T)+SUMIF('[2]8CollegeAct'!$B:$B,$B194,'[2]8CollegeAct'!T:T)+SUMIF(#REF!,$B194,#REF!)</f>
        <v>63535</v>
      </c>
      <c r="S194" s="154">
        <f ca="1">SUMIF('[2]7UnivActwithConsUnit'!$B:$B,$B194,'[2]7UnivActwithConsUnit'!U:U)+SUMIF('[2]8CollegeAct'!$B:$B,$B194,'[2]8CollegeAct'!U:U)+SUMIF(#REF!,$B194,#REF!)</f>
        <v>347917</v>
      </c>
      <c r="T194" s="715">
        <f ca="1">SUMIF('[2]7UnivActwithConsUnit'!$B:$B,$B194,'[2]7UnivActwithConsUnit'!V:V)+SUMIF('[2]8CollegeAct'!$B:$B,$B194,'[2]8CollegeAct'!V:V)+SUMIF(#REF!,$B194,#REF!)</f>
        <v>10615</v>
      </c>
      <c r="U194" s="154">
        <f ca="1">SUMIF('[2]7UnivActwithConsUnit'!$B:$B,$B194,'[2]7UnivActwithConsUnit'!W:W)+SUMIF('[2]8CollegeAct'!$B:$B,$B194,'[2]8CollegeAct'!W:W)+SUMIF(#REF!,$B194,#REF!)</f>
        <v>12496</v>
      </c>
      <c r="V194" s="154">
        <f ca="1">SUMIF('[2]7UnivActwithConsUnit'!$B:$B,$B194,'[2]7UnivActwithConsUnit'!X:X)+SUMIF('[2]8CollegeAct'!$B:$B,$B194,'[2]8CollegeAct'!X:X)+SUMIF(#REF!,$B194,#REF!)</f>
        <v>23111</v>
      </c>
      <c r="W194" s="154">
        <f ca="1">SUMIF('[2]7UnivActwithConsUnit'!$B:$B,$B194,'[2]7UnivActwithConsUnit'!Y:Y)+SUMIF('[2]8CollegeAct'!$B:$B,$B194,'[2]8CollegeAct'!Y:Y)+SUMIF(#REF!,$B194,#REF!)</f>
        <v>11494</v>
      </c>
      <c r="X194" s="154">
        <f ca="1">SUMIF('[2]7UnivActwithConsUnit'!$B:$B,$B194,'[2]7UnivActwithConsUnit'!Z:Z)+SUMIF('[2]8CollegeAct'!$B:$B,$B194,'[2]8CollegeAct'!Z:Z)+SUMIF(#REF!,$B194,#REF!)</f>
        <v>10490</v>
      </c>
      <c r="Y194" s="154">
        <f ca="1">SUMIF('[2]7UnivActwithConsUnit'!$B:$B,$B194,'[2]7UnivActwithConsUnit'!AA:AA)+SUMIF('[2]8CollegeAct'!$B:$B,$B194,'[2]8CollegeAct'!AA:AA)+SUMIF(#REF!,$B194,#REF!)</f>
        <v>21984</v>
      </c>
      <c r="Z194" s="155">
        <f t="shared" ref="Z194:AA194" ca="1" si="145">B194+E194+H194+K194+N194+Q194+T194+W194</f>
        <v>1778186</v>
      </c>
      <c r="AA194" s="155">
        <f t="shared" ca="1" si="145"/>
        <v>1742125</v>
      </c>
      <c r="AB194" s="155">
        <f t="shared" ref="AB194" ca="1" si="146">Z194+AA194</f>
        <v>3520311</v>
      </c>
    </row>
    <row r="195" spans="1:28">
      <c r="A195" s="541" t="s">
        <v>831</v>
      </c>
      <c r="B195" s="515">
        <v>13699</v>
      </c>
      <c r="C195" s="515">
        <v>12121</v>
      </c>
      <c r="D195" s="515">
        <v>25820</v>
      </c>
      <c r="E195" s="515">
        <v>3281</v>
      </c>
      <c r="F195" s="515">
        <v>9144</v>
      </c>
      <c r="G195" s="515">
        <v>12425</v>
      </c>
      <c r="H195" s="515">
        <v>169812</v>
      </c>
      <c r="I195" s="515">
        <v>274576</v>
      </c>
      <c r="J195" s="515">
        <v>444388</v>
      </c>
      <c r="K195" s="549">
        <v>1206721</v>
      </c>
      <c r="L195" s="515">
        <v>1287997</v>
      </c>
      <c r="M195" s="515">
        <v>2494718</v>
      </c>
      <c r="N195" s="515">
        <v>7406</v>
      </c>
      <c r="O195" s="515">
        <v>5383</v>
      </c>
      <c r="P195" s="515">
        <v>12789</v>
      </c>
      <c r="Q195" s="515">
        <v>314888</v>
      </c>
      <c r="R195" s="515">
        <v>62697</v>
      </c>
      <c r="S195" s="515">
        <v>377585</v>
      </c>
      <c r="T195" s="549">
        <v>9959</v>
      </c>
      <c r="U195" s="515">
        <v>15892</v>
      </c>
      <c r="V195" s="515">
        <v>25851</v>
      </c>
      <c r="W195" s="515">
        <v>11104</v>
      </c>
      <c r="X195" s="515">
        <v>9516</v>
      </c>
      <c r="Y195" s="515">
        <v>20620</v>
      </c>
      <c r="Z195" s="515">
        <v>1736870</v>
      </c>
      <c r="AA195" s="515">
        <v>1677326</v>
      </c>
      <c r="AB195" s="515">
        <v>3414196</v>
      </c>
    </row>
    <row r="196" spans="1:28">
      <c r="A196" s="541" t="s">
        <v>830</v>
      </c>
      <c r="B196" s="543">
        <v>16267</v>
      </c>
      <c r="C196" s="543">
        <v>13511</v>
      </c>
      <c r="D196" s="543">
        <v>29778</v>
      </c>
      <c r="E196" s="543">
        <v>4424</v>
      </c>
      <c r="F196" s="543">
        <v>12755</v>
      </c>
      <c r="G196" s="543">
        <v>17179</v>
      </c>
      <c r="H196" s="543">
        <v>175011.63527593345</v>
      </c>
      <c r="I196" s="543">
        <v>263873.97833341575</v>
      </c>
      <c r="J196" s="543">
        <v>438885.61360934924</v>
      </c>
      <c r="K196" s="714">
        <v>1189690.2952759322</v>
      </c>
      <c r="L196" s="543">
        <v>1302087.0367209937</v>
      </c>
      <c r="M196" s="543">
        <v>2491777.3319969256</v>
      </c>
      <c r="N196" s="543">
        <v>9594</v>
      </c>
      <c r="O196" s="543">
        <v>8245</v>
      </c>
      <c r="P196" s="543">
        <v>17839</v>
      </c>
      <c r="Q196" s="543">
        <v>321101</v>
      </c>
      <c r="R196" s="543">
        <v>66605</v>
      </c>
      <c r="S196" s="543">
        <v>387706</v>
      </c>
      <c r="T196" s="714">
        <v>13852</v>
      </c>
      <c r="U196" s="543">
        <v>26641</v>
      </c>
      <c r="V196" s="543">
        <v>40493</v>
      </c>
      <c r="W196" s="543">
        <v>9375</v>
      </c>
      <c r="X196" s="543">
        <v>7912</v>
      </c>
      <c r="Y196" s="543">
        <v>17287</v>
      </c>
      <c r="Z196" s="200">
        <f t="shared" ref="Z196:AB196" si="147">B196+E196+H196+K196+N196+Q196+T196+W196</f>
        <v>1739314.9305518656</v>
      </c>
      <c r="AA196" s="200">
        <f t="shared" si="147"/>
        <v>1701630.0150544094</v>
      </c>
      <c r="AB196" s="200">
        <f t="shared" si="147"/>
        <v>3440944.945606275</v>
      </c>
    </row>
    <row r="197" spans="1:28">
      <c r="A197" s="541" t="s">
        <v>829</v>
      </c>
      <c r="B197" s="544">
        <v>16363</v>
      </c>
      <c r="C197" s="544">
        <v>12321</v>
      </c>
      <c r="D197" s="265">
        <v>28684</v>
      </c>
      <c r="E197" s="544">
        <v>5850</v>
      </c>
      <c r="F197" s="544">
        <v>14811</v>
      </c>
      <c r="G197" s="265">
        <v>20661</v>
      </c>
      <c r="H197" s="544">
        <v>176324</v>
      </c>
      <c r="I197" s="544">
        <v>267673</v>
      </c>
      <c r="J197" s="265">
        <v>443997</v>
      </c>
      <c r="K197" s="716">
        <v>1181357</v>
      </c>
      <c r="L197" s="544">
        <v>1237806</v>
      </c>
      <c r="M197" s="265">
        <v>2419163</v>
      </c>
      <c r="N197" s="544">
        <v>9453</v>
      </c>
      <c r="O197" s="544">
        <v>5277</v>
      </c>
      <c r="P197" s="265">
        <v>14730</v>
      </c>
      <c r="Q197" s="544">
        <v>330083</v>
      </c>
      <c r="R197" s="544">
        <v>69119</v>
      </c>
      <c r="S197" s="265">
        <v>399202</v>
      </c>
      <c r="T197" s="716">
        <v>7805</v>
      </c>
      <c r="U197" s="544">
        <v>22098</v>
      </c>
      <c r="V197" s="265">
        <v>29903</v>
      </c>
      <c r="W197" s="544">
        <v>8301</v>
      </c>
      <c r="X197" s="544">
        <v>6710</v>
      </c>
      <c r="Y197" s="265">
        <v>15011</v>
      </c>
      <c r="Z197" s="265">
        <v>1735536</v>
      </c>
      <c r="AA197" s="265">
        <v>1635815</v>
      </c>
      <c r="AB197" s="265">
        <f t="shared" ref="AB197" si="148">SUM(Z197+AA197)</f>
        <v>3371351</v>
      </c>
    </row>
    <row r="198" spans="1:28">
      <c r="A198" s="514" t="s">
        <v>828</v>
      </c>
      <c r="B198" s="515">
        <v>13059</v>
      </c>
      <c r="C198" s="515">
        <v>9162</v>
      </c>
      <c r="D198" s="515">
        <v>22221</v>
      </c>
      <c r="E198" s="515">
        <v>6405</v>
      </c>
      <c r="F198" s="515">
        <v>13104</v>
      </c>
      <c r="G198" s="515">
        <v>19509</v>
      </c>
      <c r="H198" s="515">
        <v>185764</v>
      </c>
      <c r="I198" s="515">
        <v>266691</v>
      </c>
      <c r="J198" s="515">
        <v>452455</v>
      </c>
      <c r="K198" s="549">
        <v>1140408</v>
      </c>
      <c r="L198" s="515">
        <v>1163824</v>
      </c>
      <c r="M198" s="515">
        <v>2304232</v>
      </c>
      <c r="N198" s="515">
        <v>7155</v>
      </c>
      <c r="O198" s="515">
        <v>4243</v>
      </c>
      <c r="P198" s="515">
        <v>11398</v>
      </c>
      <c r="Q198" s="515">
        <v>326119</v>
      </c>
      <c r="R198" s="515">
        <v>70281</v>
      </c>
      <c r="S198" s="515">
        <v>396400</v>
      </c>
      <c r="T198" s="549">
        <v>4924</v>
      </c>
      <c r="U198" s="515">
        <v>12375</v>
      </c>
      <c r="V198" s="515">
        <v>17299</v>
      </c>
      <c r="W198" s="515">
        <v>6591</v>
      </c>
      <c r="X198" s="515">
        <v>5249</v>
      </c>
      <c r="Y198" s="515">
        <v>11840</v>
      </c>
      <c r="Z198" s="515">
        <f t="shared" ref="Z198:AB198" si="149">B198+E198+H198+K198+N198+Q198+T198+W198</f>
        <v>1690425</v>
      </c>
      <c r="AA198" s="515">
        <f t="shared" si="149"/>
        <v>1544929</v>
      </c>
      <c r="AB198" s="515">
        <f t="shared" si="149"/>
        <v>3235354</v>
      </c>
    </row>
    <row r="199" spans="1:28" ht="15">
      <c r="A199" s="579" t="s">
        <v>134</v>
      </c>
      <c r="B199" s="551"/>
      <c r="C199" s="551"/>
      <c r="D199" s="551"/>
      <c r="E199" s="551"/>
      <c r="F199" s="551"/>
      <c r="G199" s="551"/>
      <c r="H199" s="551"/>
      <c r="I199" s="551"/>
      <c r="J199" s="552"/>
      <c r="K199" s="551"/>
      <c r="L199" s="551"/>
      <c r="M199" s="551"/>
      <c r="N199" s="551"/>
      <c r="O199" s="551"/>
      <c r="P199" s="551"/>
      <c r="Q199" s="551"/>
      <c r="R199" s="551"/>
      <c r="S199" s="552"/>
      <c r="T199" s="551"/>
      <c r="U199" s="551"/>
      <c r="V199" s="551"/>
      <c r="W199" s="551"/>
      <c r="X199" s="551"/>
      <c r="Y199" s="551"/>
      <c r="Z199" s="551"/>
      <c r="AA199" s="551"/>
      <c r="AB199" s="552"/>
    </row>
    <row r="200" spans="1:28">
      <c r="A200" s="541" t="s">
        <v>832</v>
      </c>
      <c r="B200" s="154">
        <f ca="1">SUMIF('[2]7UnivActwithConsUnit'!$B:$B,$B200,'[2]7UnivActwithConsUnit'!D:D)+SUMIF('[2]8CollegeAct'!$B:$B,$B200,'[2]8CollegeAct'!D:D)+SUMIF(#REF!,$B200,#REF!)</f>
        <v>3507</v>
      </c>
      <c r="C200" s="154">
        <f ca="1">SUMIF('[2]7UnivActwithConsUnit'!$B:$B,$B200,'[2]7UnivActwithConsUnit'!E:E)+SUMIF('[2]8CollegeAct'!$B:$B,$B200,'[2]8CollegeAct'!E:E)+SUMIF(#REF!,$B200,#REF!)</f>
        <v>2001</v>
      </c>
      <c r="D200" s="154">
        <f ca="1">SUMIF('[2]7UnivActwithConsUnit'!$B:$B,$B200,'[2]7UnivActwithConsUnit'!F:F)+SUMIF('[2]8CollegeAct'!$B:$B,$B200,'[2]8CollegeAct'!F:F)+SUMIF(#REF!,$B200,#REF!)</f>
        <v>5508</v>
      </c>
      <c r="E200" s="154">
        <f ca="1">SUMIF('[2]7UnivActwithConsUnit'!$B:$B,$B200,'[2]7UnivActwithConsUnit'!G:G)+SUMIF('[2]8CollegeAct'!$B:$B,$B200,'[2]8CollegeAct'!G:G)+SUMIF(#REF!,$B200,#REF!)</f>
        <v>203</v>
      </c>
      <c r="F200" s="154">
        <f ca="1">SUMIF('[2]7UnivActwithConsUnit'!$B:$B,$B200,'[2]7UnivActwithConsUnit'!H:H)+SUMIF('[2]8CollegeAct'!$B:$B,$B200,'[2]8CollegeAct'!H:H)+SUMIF(#REF!,$B200,#REF!)</f>
        <v>170</v>
      </c>
      <c r="G200" s="154">
        <f ca="1">SUMIF('[2]7UnivActwithConsUnit'!$B:$B,$B200,'[2]7UnivActwithConsUnit'!I:I)+SUMIF('[2]8CollegeAct'!$B:$B,$B200,'[2]8CollegeAct'!I:I)+SUMIF(#REF!,$B200,#REF!)</f>
        <v>373</v>
      </c>
      <c r="H200" s="154">
        <f ca="1">SUMIF('[2]7UnivActwithConsUnit'!$B:$B,$B200,'[2]7UnivActwithConsUnit'!J:J)+SUMIF('[2]10CollegeEst'!$B:$B,$B200,'[2]10CollegeEst'!B:B)+SUMIF(#REF!,$B200,#REF!)</f>
        <v>81042</v>
      </c>
      <c r="I200" s="154">
        <f ca="1">SUMIF('[2]7UnivActwithConsUnit'!$B:$B,$B200,'[2]7UnivActwithConsUnit'!K:K)+SUMIF('[2]10CollegeEst'!$B:$B,$B200,'[2]10CollegeEst'!C:C)+SUMIF(#REF!,$B200,#REF!)</f>
        <v>103478</v>
      </c>
      <c r="J200" s="154">
        <f ca="1">SUMIF('[2]7UnivActwithConsUnit'!$B:$B,$B200,'[2]7UnivActwithConsUnit'!L:L)+SUMIF('[2]10CollegeEst'!$B:$B,$B200,'[2]10CollegeEst'!D:D)+SUMIF(#REF!,$B200,#REF!)</f>
        <v>184520</v>
      </c>
      <c r="K200" s="715">
        <f ca="1">SUMIF('[2]7UnivActwithConsUnit'!$B:$B,$B200,'[2]7UnivActwithConsUnit'!M:M)+SUMIF('[2]10CollegeEst'!$B:$B,$B200,'[2]10CollegeEst'!E:E)+SUMIF(#REF!,$B200,#REF!)</f>
        <v>519501</v>
      </c>
      <c r="L200" s="154">
        <f ca="1">SUMIF('[2]7UnivActwithConsUnit'!$B:$B,$B200,'[2]7UnivActwithConsUnit'!N:N)+SUMIF('[2]10CollegeEst'!$B:$B,$B200,'[2]10CollegeEst'!F:F)+SUMIF(#REF!,$B200,#REF!)</f>
        <v>559280</v>
      </c>
      <c r="M200" s="154">
        <f ca="1">SUMIF('[2]7UnivActwithConsUnit'!$B:$B,$B200,'[2]7UnivActwithConsUnit'!O:O)+SUMIF('[2]10CollegeEst'!$B:$B,$B200,'[2]10CollegeEst'!G:G)+SUMIF(#REF!,$B200,#REF!)</f>
        <v>1078781</v>
      </c>
      <c r="N200" s="154">
        <f ca="1">SUMIF('[2]7UnivActwithConsUnit'!$B:$B,$B200,'[2]7UnivActwithConsUnit'!P:P)+SUMIF('[2]8CollegeAct'!$B:$B,$B200,'[2]8CollegeAct'!P:P)+SUMIF(#REF!,$B200,#REF!)</f>
        <v>3310</v>
      </c>
      <c r="O200" s="154">
        <f ca="1">SUMIF('[2]7UnivActwithConsUnit'!$B:$B,$B200,'[2]7UnivActwithConsUnit'!Q:Q)+SUMIF('[2]8CollegeAct'!$B:$B,$B200,'[2]8CollegeAct'!Q:Q)+SUMIF(#REF!,$B200,#REF!)</f>
        <v>2292</v>
      </c>
      <c r="P200" s="154">
        <f ca="1">SUMIF('[2]7UnivActwithConsUnit'!$B:$B,$B200,'[2]7UnivActwithConsUnit'!R:R)+SUMIF('[2]8CollegeAct'!$B:$B,$B200,'[2]8CollegeAct'!R:R)+SUMIF(#REF!,$B200,#REF!)</f>
        <v>5602</v>
      </c>
      <c r="Q200" s="154">
        <f ca="1">SUMIF('[2]7UnivActwithConsUnit'!$B:$B,$B200,'[2]7UnivActwithConsUnit'!S:S)+SUMIF('[2]8CollegeAct'!$B:$B,$B200,'[2]8CollegeAct'!S:S)+SUMIF(#REF!,$B200,#REF!)</f>
        <v>60653</v>
      </c>
      <c r="R200" s="154">
        <f ca="1">SUMIF('[2]7UnivActwithConsUnit'!$B:$B,$B200,'[2]7UnivActwithConsUnit'!T:T)+SUMIF('[2]8CollegeAct'!$B:$B,$B200,'[2]8CollegeAct'!T:T)+SUMIF(#REF!,$B200,#REF!)</f>
        <v>45728</v>
      </c>
      <c r="S200" s="154">
        <f ca="1">SUMIF('[2]7UnivActwithConsUnit'!$B:$B,$B200,'[2]7UnivActwithConsUnit'!U:U)+SUMIF('[2]8CollegeAct'!$B:$B,$B200,'[2]8CollegeAct'!U:U)+SUMIF(#REF!,$B200,#REF!)</f>
        <v>106381</v>
      </c>
      <c r="T200" s="715">
        <f ca="1">SUMIF('[2]7UnivActwithConsUnit'!$B:$B,$B200,'[2]7UnivActwithConsUnit'!V:V)+SUMIF('[2]8CollegeAct'!$B:$B,$B200,'[2]8CollegeAct'!V:V)+SUMIF(#REF!,$B200,#REF!)</f>
        <v>923</v>
      </c>
      <c r="U200" s="154">
        <f ca="1">SUMIF('[2]7UnivActwithConsUnit'!$B:$B,$B200,'[2]7UnivActwithConsUnit'!W:W)+SUMIF('[2]8CollegeAct'!$B:$B,$B200,'[2]8CollegeAct'!W:W)+SUMIF(#REF!,$B200,#REF!)</f>
        <v>1290</v>
      </c>
      <c r="V200" s="154">
        <f ca="1">SUMIF('[2]7UnivActwithConsUnit'!$B:$B,$B200,'[2]7UnivActwithConsUnit'!X:X)+SUMIF('[2]8CollegeAct'!$B:$B,$B200,'[2]8CollegeAct'!X:X)+SUMIF(#REF!,$B200,#REF!)</f>
        <v>2213</v>
      </c>
      <c r="W200" s="154">
        <f ca="1">SUMIF('[2]7UnivActwithConsUnit'!$B:$B,$B200,'[2]7UnivActwithConsUnit'!Y:Y)+SUMIF('[2]8CollegeAct'!$B:$B,$B200,'[2]8CollegeAct'!Y:Y)+SUMIF(#REF!,$B200,#REF!)</f>
        <v>3629</v>
      </c>
      <c r="X200" s="154">
        <f ca="1">SUMIF('[2]7UnivActwithConsUnit'!$B:$B,$B200,'[2]7UnivActwithConsUnit'!Z:Z)+SUMIF('[2]8CollegeAct'!$B:$B,$B200,'[2]8CollegeAct'!Z:Z)+SUMIF(#REF!,$B200,#REF!)</f>
        <v>2601</v>
      </c>
      <c r="Y200" s="154">
        <f ca="1">SUMIF('[2]7UnivActwithConsUnit'!$B:$B,$B200,'[2]7UnivActwithConsUnit'!AA:AA)+SUMIF('[2]8CollegeAct'!$B:$B,$B200,'[2]8CollegeAct'!AA:AA)+SUMIF(#REF!,$B200,#REF!)</f>
        <v>6230</v>
      </c>
      <c r="Z200" s="155">
        <f t="shared" ref="Z200:AA200" ca="1" si="150">B200+E200+H200+K200+N200+Q200+T200+W200</f>
        <v>672768</v>
      </c>
      <c r="AA200" s="155">
        <f t="shared" ca="1" si="150"/>
        <v>716840</v>
      </c>
      <c r="AB200" s="155">
        <f t="shared" ref="AB200" ca="1" si="151">Z200+AA200</f>
        <v>1389608</v>
      </c>
    </row>
    <row r="201" spans="1:28">
      <c r="A201" s="541" t="s">
        <v>831</v>
      </c>
      <c r="B201" s="515">
        <v>2191</v>
      </c>
      <c r="C201" s="515">
        <v>1239</v>
      </c>
      <c r="D201" s="515">
        <v>3430</v>
      </c>
      <c r="E201" s="515">
        <v>106</v>
      </c>
      <c r="F201" s="515">
        <v>123</v>
      </c>
      <c r="G201" s="515">
        <v>229</v>
      </c>
      <c r="H201" s="515">
        <v>83964</v>
      </c>
      <c r="I201" s="515">
        <v>104787</v>
      </c>
      <c r="J201" s="515">
        <v>188751</v>
      </c>
      <c r="K201" s="549">
        <v>536108</v>
      </c>
      <c r="L201" s="515">
        <v>565609</v>
      </c>
      <c r="M201" s="515">
        <v>1101717</v>
      </c>
      <c r="N201" s="515">
        <v>3247</v>
      </c>
      <c r="O201" s="515">
        <v>2187</v>
      </c>
      <c r="P201" s="515">
        <v>5434</v>
      </c>
      <c r="Q201" s="515">
        <v>71055</v>
      </c>
      <c r="R201" s="515">
        <v>48142</v>
      </c>
      <c r="S201" s="515">
        <v>119197</v>
      </c>
      <c r="T201" s="549">
        <v>1445</v>
      </c>
      <c r="U201" s="515">
        <v>1078</v>
      </c>
      <c r="V201" s="515">
        <v>2523</v>
      </c>
      <c r="W201" s="515">
        <v>3113</v>
      </c>
      <c r="X201" s="515">
        <v>2067</v>
      </c>
      <c r="Y201" s="515">
        <v>5180</v>
      </c>
      <c r="Z201" s="515">
        <v>701229</v>
      </c>
      <c r="AA201" s="515">
        <v>725232</v>
      </c>
      <c r="AB201" s="515">
        <v>1426461</v>
      </c>
    </row>
    <row r="202" spans="1:28">
      <c r="A202" s="541" t="s">
        <v>830</v>
      </c>
      <c r="B202" s="543">
        <v>3252</v>
      </c>
      <c r="C202" s="543">
        <v>1632</v>
      </c>
      <c r="D202" s="543">
        <v>4884</v>
      </c>
      <c r="E202" s="543">
        <v>454</v>
      </c>
      <c r="F202" s="543">
        <v>340</v>
      </c>
      <c r="G202" s="543">
        <v>794</v>
      </c>
      <c r="H202" s="543">
        <v>91044.159475908527</v>
      </c>
      <c r="I202" s="543">
        <v>103754.3533932948</v>
      </c>
      <c r="J202" s="543">
        <v>194798.51286920335</v>
      </c>
      <c r="K202" s="714">
        <v>555992.48245251458</v>
      </c>
      <c r="L202" s="543">
        <v>523346.00452087668</v>
      </c>
      <c r="M202" s="543">
        <v>1079338.4869733914</v>
      </c>
      <c r="N202" s="543">
        <v>2786</v>
      </c>
      <c r="O202" s="543">
        <v>1913</v>
      </c>
      <c r="P202" s="543">
        <v>4699</v>
      </c>
      <c r="Q202" s="543">
        <v>78198</v>
      </c>
      <c r="R202" s="543">
        <v>49810</v>
      </c>
      <c r="S202" s="543">
        <v>128008</v>
      </c>
      <c r="T202" s="714">
        <v>661</v>
      </c>
      <c r="U202" s="543">
        <v>1174</v>
      </c>
      <c r="V202" s="543">
        <v>1835</v>
      </c>
      <c r="W202" s="543">
        <v>2945</v>
      </c>
      <c r="X202" s="543">
        <v>2005</v>
      </c>
      <c r="Y202" s="543">
        <v>4950</v>
      </c>
      <c r="Z202" s="200">
        <f t="shared" ref="Z202:AB202" si="152">B202+E202+H202+K202+N202+Q202+T202+W202</f>
        <v>735332.64192842308</v>
      </c>
      <c r="AA202" s="200">
        <f t="shared" si="152"/>
        <v>683974.35791417153</v>
      </c>
      <c r="AB202" s="200">
        <f t="shared" si="152"/>
        <v>1419306.9998425948</v>
      </c>
    </row>
    <row r="203" spans="1:28">
      <c r="A203" s="541" t="s">
        <v>829</v>
      </c>
      <c r="B203" s="544">
        <v>2760</v>
      </c>
      <c r="C203" s="544">
        <v>1440</v>
      </c>
      <c r="D203" s="265">
        <v>4200</v>
      </c>
      <c r="E203" s="544">
        <v>384</v>
      </c>
      <c r="F203" s="544">
        <v>230</v>
      </c>
      <c r="G203" s="265">
        <v>614</v>
      </c>
      <c r="H203" s="544">
        <v>95578</v>
      </c>
      <c r="I203" s="544">
        <v>94959</v>
      </c>
      <c r="J203" s="265">
        <v>190537</v>
      </c>
      <c r="K203" s="716">
        <v>577221</v>
      </c>
      <c r="L203" s="544">
        <v>528881</v>
      </c>
      <c r="M203" s="265">
        <v>1106102</v>
      </c>
      <c r="N203" s="544">
        <v>2268</v>
      </c>
      <c r="O203" s="544">
        <v>1604</v>
      </c>
      <c r="P203" s="265">
        <v>3872</v>
      </c>
      <c r="Q203" s="544">
        <v>80036</v>
      </c>
      <c r="R203" s="544">
        <v>47626</v>
      </c>
      <c r="S203" s="265">
        <v>127662</v>
      </c>
      <c r="T203" s="716">
        <v>417</v>
      </c>
      <c r="U203" s="544">
        <v>984</v>
      </c>
      <c r="V203" s="265">
        <v>1401</v>
      </c>
      <c r="W203" s="544">
        <v>2589</v>
      </c>
      <c r="X203" s="544">
        <v>1760</v>
      </c>
      <c r="Y203" s="265">
        <v>4349</v>
      </c>
      <c r="Z203" s="265">
        <v>761253</v>
      </c>
      <c r="AA203" s="265">
        <v>677484</v>
      </c>
      <c r="AB203" s="265">
        <f t="shared" ref="AB203" si="153">SUM(Z203+AA203)</f>
        <v>1438737</v>
      </c>
    </row>
    <row r="204" spans="1:28">
      <c r="A204" s="514" t="s">
        <v>828</v>
      </c>
      <c r="B204" s="515">
        <v>2710</v>
      </c>
      <c r="C204" s="515">
        <v>1423</v>
      </c>
      <c r="D204" s="515">
        <v>4133</v>
      </c>
      <c r="E204" s="515">
        <v>368</v>
      </c>
      <c r="F204" s="515">
        <v>215</v>
      </c>
      <c r="G204" s="515">
        <v>583</v>
      </c>
      <c r="H204" s="515">
        <v>108325</v>
      </c>
      <c r="I204" s="515">
        <v>93984</v>
      </c>
      <c r="J204" s="515">
        <v>202309</v>
      </c>
      <c r="K204" s="549">
        <v>620069</v>
      </c>
      <c r="L204" s="515">
        <v>540604</v>
      </c>
      <c r="M204" s="515">
        <v>1160673</v>
      </c>
      <c r="N204" s="515">
        <v>3150</v>
      </c>
      <c r="O204" s="515">
        <v>1884</v>
      </c>
      <c r="P204" s="515">
        <v>5034</v>
      </c>
      <c r="Q204" s="515">
        <v>57654</v>
      </c>
      <c r="R204" s="515">
        <v>37549</v>
      </c>
      <c r="S204" s="515">
        <v>95203</v>
      </c>
      <c r="T204" s="549">
        <v>508</v>
      </c>
      <c r="U204" s="515">
        <v>628</v>
      </c>
      <c r="V204" s="515">
        <v>1136</v>
      </c>
      <c r="W204" s="515">
        <v>3006</v>
      </c>
      <c r="X204" s="515">
        <v>2158</v>
      </c>
      <c r="Y204" s="515">
        <v>5164</v>
      </c>
      <c r="Z204" s="515">
        <v>795790</v>
      </c>
      <c r="AA204" s="515">
        <v>678445</v>
      </c>
      <c r="AB204" s="515">
        <v>1474235</v>
      </c>
    </row>
    <row r="205" spans="1:28" ht="15">
      <c r="A205" s="579" t="s">
        <v>45</v>
      </c>
      <c r="B205" s="551"/>
      <c r="C205" s="551"/>
      <c r="D205" s="551"/>
      <c r="E205" s="551"/>
      <c r="F205" s="551"/>
      <c r="G205" s="551"/>
      <c r="H205" s="551"/>
      <c r="I205" s="551"/>
      <c r="J205" s="552"/>
      <c r="K205" s="551"/>
      <c r="L205" s="551"/>
      <c r="M205" s="551"/>
      <c r="N205" s="551"/>
      <c r="O205" s="551"/>
      <c r="P205" s="551"/>
      <c r="Q205" s="551"/>
      <c r="R205" s="551"/>
      <c r="S205" s="552"/>
      <c r="T205" s="551"/>
      <c r="U205" s="551"/>
      <c r="V205" s="551"/>
      <c r="W205" s="551"/>
      <c r="X205" s="551"/>
      <c r="Y205" s="551"/>
      <c r="Z205" s="551"/>
      <c r="AA205" s="551"/>
      <c r="AB205" s="552"/>
    </row>
    <row r="206" spans="1:28">
      <c r="A206" s="541" t="s">
        <v>832</v>
      </c>
      <c r="B206" s="154">
        <f ca="1">SUMIF('[2]7UnivActwithConsUnit'!$B:$B,$B206,'[2]7UnivActwithConsUnit'!D:D)+SUMIF('[2]8CollegeAct'!$B:$B,$B206,'[2]8CollegeAct'!D:D)+SUMIF(#REF!,$B206,#REF!)</f>
        <v>388</v>
      </c>
      <c r="C206" s="154">
        <f ca="1">SUMIF('[2]7UnivActwithConsUnit'!$B:$B,$B206,'[2]7UnivActwithConsUnit'!E:E)+SUMIF('[2]8CollegeAct'!$B:$B,$B206,'[2]8CollegeAct'!E:E)+SUMIF(#REF!,$B206,#REF!)</f>
        <v>227</v>
      </c>
      <c r="D206" s="154">
        <f ca="1">SUMIF('[2]7UnivActwithConsUnit'!$B:$B,$B206,'[2]7UnivActwithConsUnit'!F:F)+SUMIF('[2]8CollegeAct'!$B:$B,$B206,'[2]8CollegeAct'!F:F)+SUMIF(#REF!,$B206,#REF!)</f>
        <v>615</v>
      </c>
      <c r="E206" s="154">
        <f ca="1">SUMIF('[2]7UnivActwithConsUnit'!$B:$B,$B206,'[2]7UnivActwithConsUnit'!G:G)+SUMIF('[2]8CollegeAct'!$B:$B,$B206,'[2]8CollegeAct'!G:G)+SUMIF(#REF!,$B206,#REF!)</f>
        <v>0</v>
      </c>
      <c r="F206" s="154">
        <f ca="1">SUMIF('[2]7UnivActwithConsUnit'!$B:$B,$B206,'[2]7UnivActwithConsUnit'!H:H)+SUMIF('[2]8CollegeAct'!$B:$B,$B206,'[2]8CollegeAct'!H:H)+SUMIF(#REF!,$B206,#REF!)</f>
        <v>0</v>
      </c>
      <c r="G206" s="154">
        <f ca="1">SUMIF('[2]7UnivActwithConsUnit'!$B:$B,$B206,'[2]7UnivActwithConsUnit'!I:I)+SUMIF('[2]8CollegeAct'!$B:$B,$B206,'[2]8CollegeAct'!I:I)+SUMIF(#REF!,$B206,#REF!)</f>
        <v>0</v>
      </c>
      <c r="H206" s="154">
        <f ca="1">SUMIF('[2]7UnivActwithConsUnit'!$B:$B,$B206,'[2]7UnivActwithConsUnit'!J:J)+SUMIF('[2]10CollegeEst'!$B:$B,$B206,'[2]10CollegeEst'!B:B)+SUMIF(#REF!,$B206,#REF!)</f>
        <v>5941</v>
      </c>
      <c r="I206" s="154">
        <f ca="1">SUMIF('[2]7UnivActwithConsUnit'!$B:$B,$B206,'[2]7UnivActwithConsUnit'!K:K)+SUMIF('[2]10CollegeEst'!$B:$B,$B206,'[2]10CollegeEst'!C:C)+SUMIF(#REF!,$B206,#REF!)</f>
        <v>5877</v>
      </c>
      <c r="J206" s="154">
        <f ca="1">SUMIF('[2]7UnivActwithConsUnit'!$B:$B,$B206,'[2]7UnivActwithConsUnit'!L:L)+SUMIF('[2]10CollegeEst'!$B:$B,$B206,'[2]10CollegeEst'!D:D)+SUMIF(#REF!,$B206,#REF!)</f>
        <v>11818</v>
      </c>
      <c r="K206" s="715">
        <f ca="1">SUMIF('[2]7UnivActwithConsUnit'!$B:$B,$B206,'[2]7UnivActwithConsUnit'!M:M)+SUMIF('[2]10CollegeEst'!$B:$B,$B206,'[2]10CollegeEst'!E:E)+SUMIF(#REF!,$B206,#REF!)</f>
        <v>37816</v>
      </c>
      <c r="L206" s="154">
        <f ca="1">SUMIF('[2]7UnivActwithConsUnit'!$B:$B,$B206,'[2]7UnivActwithConsUnit'!N:N)+SUMIF('[2]10CollegeEst'!$B:$B,$B206,'[2]10CollegeEst'!F:F)+SUMIF(#REF!,$B206,#REF!)</f>
        <v>30459</v>
      </c>
      <c r="M206" s="154">
        <f ca="1">SUMIF('[2]7UnivActwithConsUnit'!$B:$B,$B206,'[2]7UnivActwithConsUnit'!O:O)+SUMIF('[2]10CollegeEst'!$B:$B,$B206,'[2]10CollegeEst'!G:G)+SUMIF(#REF!,$B206,#REF!)</f>
        <v>68275</v>
      </c>
      <c r="N206" s="154">
        <f ca="1">SUMIF('[2]7UnivActwithConsUnit'!$B:$B,$B206,'[2]7UnivActwithConsUnit'!P:P)+SUMIF('[2]8CollegeAct'!$B:$B,$B206,'[2]8CollegeAct'!P:P)+SUMIF(#REF!,$B206,#REF!)</f>
        <v>67</v>
      </c>
      <c r="O206" s="154">
        <f ca="1">SUMIF('[2]7UnivActwithConsUnit'!$B:$B,$B206,'[2]7UnivActwithConsUnit'!Q:Q)+SUMIF('[2]8CollegeAct'!$B:$B,$B206,'[2]8CollegeAct'!Q:Q)+SUMIF(#REF!,$B206,#REF!)</f>
        <v>64</v>
      </c>
      <c r="P206" s="154">
        <f ca="1">SUMIF('[2]7UnivActwithConsUnit'!$B:$B,$B206,'[2]7UnivActwithConsUnit'!R:R)+SUMIF('[2]8CollegeAct'!$B:$B,$B206,'[2]8CollegeAct'!R:R)+SUMIF(#REF!,$B206,#REF!)</f>
        <v>131</v>
      </c>
      <c r="Q206" s="154">
        <f ca="1">SUMIF('[2]7UnivActwithConsUnit'!$B:$B,$B206,'[2]7UnivActwithConsUnit'!S:S)+SUMIF('[2]8CollegeAct'!$B:$B,$B206,'[2]8CollegeAct'!S:S)+SUMIF(#REF!,$B206,#REF!)</f>
        <v>2274</v>
      </c>
      <c r="R206" s="154">
        <f ca="1">SUMIF('[2]7UnivActwithConsUnit'!$B:$B,$B206,'[2]7UnivActwithConsUnit'!T:T)+SUMIF('[2]8CollegeAct'!$B:$B,$B206,'[2]8CollegeAct'!T:T)+SUMIF(#REF!,$B206,#REF!)</f>
        <v>2126</v>
      </c>
      <c r="S206" s="154">
        <f ca="1">SUMIF('[2]7UnivActwithConsUnit'!$B:$B,$B206,'[2]7UnivActwithConsUnit'!U:U)+SUMIF('[2]8CollegeAct'!$B:$B,$B206,'[2]8CollegeAct'!U:U)+SUMIF(#REF!,$B206,#REF!)</f>
        <v>4400</v>
      </c>
      <c r="T206" s="715">
        <f ca="1">SUMIF('[2]7UnivActwithConsUnit'!$B:$B,$B206,'[2]7UnivActwithConsUnit'!V:V)+SUMIF('[2]8CollegeAct'!$B:$B,$B206,'[2]8CollegeAct'!V:V)+SUMIF(#REF!,$B206,#REF!)</f>
        <v>149</v>
      </c>
      <c r="U206" s="154">
        <f ca="1">SUMIF('[2]7UnivActwithConsUnit'!$B:$B,$B206,'[2]7UnivActwithConsUnit'!W:W)+SUMIF('[2]8CollegeAct'!$B:$B,$B206,'[2]8CollegeAct'!W:W)+SUMIF(#REF!,$B206,#REF!)</f>
        <v>221</v>
      </c>
      <c r="V206" s="154">
        <f ca="1">SUMIF('[2]7UnivActwithConsUnit'!$B:$B,$B206,'[2]7UnivActwithConsUnit'!X:X)+SUMIF('[2]8CollegeAct'!$B:$B,$B206,'[2]8CollegeAct'!X:X)+SUMIF(#REF!,$B206,#REF!)</f>
        <v>370</v>
      </c>
      <c r="W206" s="154">
        <f ca="1">SUMIF('[2]7UnivActwithConsUnit'!$B:$B,$B206,'[2]7UnivActwithConsUnit'!Y:Y)+SUMIF('[2]8CollegeAct'!$B:$B,$B206,'[2]8CollegeAct'!Y:Y)+SUMIF(#REF!,$B206,#REF!)</f>
        <v>396</v>
      </c>
      <c r="X206" s="154">
        <f ca="1">SUMIF('[2]7UnivActwithConsUnit'!$B:$B,$B206,'[2]7UnivActwithConsUnit'!Z:Z)+SUMIF('[2]8CollegeAct'!$B:$B,$B206,'[2]8CollegeAct'!Z:Z)+SUMIF(#REF!,$B206,#REF!)</f>
        <v>242</v>
      </c>
      <c r="Y206" s="154">
        <f ca="1">SUMIF('[2]7UnivActwithConsUnit'!$B:$B,$B206,'[2]7UnivActwithConsUnit'!AA:AA)+SUMIF('[2]8CollegeAct'!$B:$B,$B206,'[2]8CollegeAct'!AA:AA)+SUMIF(#REF!,$B206,#REF!)</f>
        <v>638</v>
      </c>
      <c r="Z206" s="155">
        <f t="shared" ref="Z206:AA206" ca="1" si="154">B206+E206+H206+K206+N206+Q206+T206+W206</f>
        <v>47031</v>
      </c>
      <c r="AA206" s="155">
        <f t="shared" ca="1" si="154"/>
        <v>39216</v>
      </c>
      <c r="AB206" s="155">
        <f t="shared" ref="AB206" ca="1" si="155">Z206+AA206</f>
        <v>86247</v>
      </c>
    </row>
    <row r="207" spans="1:28">
      <c r="A207" s="541" t="s">
        <v>831</v>
      </c>
      <c r="B207" s="515">
        <v>147</v>
      </c>
      <c r="C207" s="515">
        <v>79</v>
      </c>
      <c r="D207" s="515">
        <v>226</v>
      </c>
      <c r="E207" s="515">
        <v>0</v>
      </c>
      <c r="F207" s="515">
        <v>0</v>
      </c>
      <c r="G207" s="515">
        <v>0</v>
      </c>
      <c r="H207" s="515">
        <v>6452</v>
      </c>
      <c r="I207" s="515">
        <v>5691</v>
      </c>
      <c r="J207" s="515">
        <v>12143</v>
      </c>
      <c r="K207" s="549">
        <v>34528</v>
      </c>
      <c r="L207" s="515">
        <v>29821</v>
      </c>
      <c r="M207" s="515">
        <v>64349</v>
      </c>
      <c r="N207" s="515">
        <v>117</v>
      </c>
      <c r="O207" s="515">
        <v>125</v>
      </c>
      <c r="P207" s="515">
        <v>242</v>
      </c>
      <c r="Q207" s="515">
        <v>2443</v>
      </c>
      <c r="R207" s="515">
        <v>1992</v>
      </c>
      <c r="S207" s="515">
        <v>4435</v>
      </c>
      <c r="T207" s="549">
        <v>68</v>
      </c>
      <c r="U207" s="515">
        <v>112</v>
      </c>
      <c r="V207" s="515">
        <v>180</v>
      </c>
      <c r="W207" s="515">
        <v>701</v>
      </c>
      <c r="X207" s="515">
        <v>427</v>
      </c>
      <c r="Y207" s="515">
        <v>1128</v>
      </c>
      <c r="Z207" s="515">
        <v>44456</v>
      </c>
      <c r="AA207" s="515">
        <v>38247</v>
      </c>
      <c r="AB207" s="515">
        <v>82703</v>
      </c>
    </row>
    <row r="208" spans="1:28">
      <c r="A208" s="541" t="s">
        <v>830</v>
      </c>
      <c r="B208" s="543">
        <v>75</v>
      </c>
      <c r="C208" s="543">
        <v>44</v>
      </c>
      <c r="D208" s="543">
        <v>119</v>
      </c>
      <c r="E208" s="543">
        <v>0</v>
      </c>
      <c r="F208" s="543">
        <v>0</v>
      </c>
      <c r="G208" s="543">
        <v>0</v>
      </c>
      <c r="H208" s="543">
        <v>6474.1709863507785</v>
      </c>
      <c r="I208" s="543">
        <v>4734.4273890851073</v>
      </c>
      <c r="J208" s="543">
        <v>11208.598375435886</v>
      </c>
      <c r="K208" s="714">
        <v>37026.451037284685</v>
      </c>
      <c r="L208" s="543">
        <v>32829.342280968711</v>
      </c>
      <c r="M208" s="543">
        <v>69855.793318253389</v>
      </c>
      <c r="N208" s="543">
        <v>143</v>
      </c>
      <c r="O208" s="543">
        <v>104</v>
      </c>
      <c r="P208" s="543">
        <v>247</v>
      </c>
      <c r="Q208" s="543">
        <v>5851</v>
      </c>
      <c r="R208" s="543">
        <v>3293</v>
      </c>
      <c r="S208" s="543">
        <v>9144</v>
      </c>
      <c r="T208" s="714">
        <v>114</v>
      </c>
      <c r="U208" s="543">
        <v>108</v>
      </c>
      <c r="V208" s="543">
        <v>222</v>
      </c>
      <c r="W208" s="543">
        <v>563</v>
      </c>
      <c r="X208" s="543">
        <v>322</v>
      </c>
      <c r="Y208" s="543">
        <v>885</v>
      </c>
      <c r="Z208" s="200">
        <f t="shared" ref="Z208:AB208" si="156">B208+E208+H208+K208+N208+Q208+T208+W208</f>
        <v>50246.622023635464</v>
      </c>
      <c r="AA208" s="200">
        <f t="shared" si="156"/>
        <v>41434.769670053822</v>
      </c>
      <c r="AB208" s="200">
        <f t="shared" si="156"/>
        <v>91681.391693689278</v>
      </c>
    </row>
    <row r="209" spans="1:28">
      <c r="A209" s="541" t="s">
        <v>829</v>
      </c>
      <c r="B209" s="544">
        <v>50</v>
      </c>
      <c r="C209" s="544">
        <v>32</v>
      </c>
      <c r="D209" s="265">
        <v>82</v>
      </c>
      <c r="E209" s="544">
        <v>0</v>
      </c>
      <c r="F209" s="544">
        <v>0</v>
      </c>
      <c r="G209" s="265">
        <v>0</v>
      </c>
      <c r="H209" s="544">
        <v>5327</v>
      </c>
      <c r="I209" s="544">
        <v>4315</v>
      </c>
      <c r="J209" s="265">
        <v>9642</v>
      </c>
      <c r="K209" s="716">
        <v>37656</v>
      </c>
      <c r="L209" s="544">
        <v>30980</v>
      </c>
      <c r="M209" s="265">
        <v>68636</v>
      </c>
      <c r="N209" s="544">
        <v>122</v>
      </c>
      <c r="O209" s="544">
        <v>122</v>
      </c>
      <c r="P209" s="265">
        <v>244</v>
      </c>
      <c r="Q209" s="544">
        <v>2279</v>
      </c>
      <c r="R209" s="544">
        <v>1683</v>
      </c>
      <c r="S209" s="265">
        <v>3962</v>
      </c>
      <c r="T209" s="716">
        <v>142</v>
      </c>
      <c r="U209" s="544">
        <v>80</v>
      </c>
      <c r="V209" s="265">
        <v>222</v>
      </c>
      <c r="W209" s="544">
        <v>272</v>
      </c>
      <c r="X209" s="544">
        <v>184</v>
      </c>
      <c r="Y209" s="265">
        <v>456</v>
      </c>
      <c r="Z209" s="265">
        <v>45848</v>
      </c>
      <c r="AA209" s="265">
        <v>37396</v>
      </c>
      <c r="AB209" s="265">
        <f t="shared" ref="AB209" si="157">SUM(Z209+AA209)</f>
        <v>83244</v>
      </c>
    </row>
    <row r="210" spans="1:28">
      <c r="A210" s="514" t="s">
        <v>828</v>
      </c>
      <c r="B210" s="515">
        <v>289</v>
      </c>
      <c r="C210" s="515">
        <v>183</v>
      </c>
      <c r="D210" s="515">
        <v>472</v>
      </c>
      <c r="E210" s="515">
        <v>0</v>
      </c>
      <c r="F210" s="515">
        <v>0</v>
      </c>
      <c r="G210" s="515">
        <v>0</v>
      </c>
      <c r="H210" s="515">
        <v>5016</v>
      </c>
      <c r="I210" s="515">
        <v>3431</v>
      </c>
      <c r="J210" s="515">
        <v>8447</v>
      </c>
      <c r="K210" s="549">
        <v>35038</v>
      </c>
      <c r="L210" s="515">
        <v>25917</v>
      </c>
      <c r="M210" s="515">
        <v>60955</v>
      </c>
      <c r="N210" s="515">
        <v>101</v>
      </c>
      <c r="O210" s="515">
        <v>43</v>
      </c>
      <c r="P210" s="515">
        <v>144</v>
      </c>
      <c r="Q210" s="515">
        <v>1931</v>
      </c>
      <c r="R210" s="515">
        <v>1477</v>
      </c>
      <c r="S210" s="515">
        <v>3408</v>
      </c>
      <c r="T210" s="549">
        <v>130</v>
      </c>
      <c r="U210" s="515">
        <v>81</v>
      </c>
      <c r="V210" s="515">
        <v>211</v>
      </c>
      <c r="W210" s="515">
        <v>238</v>
      </c>
      <c r="X210" s="515">
        <v>160</v>
      </c>
      <c r="Y210" s="515">
        <v>398</v>
      </c>
      <c r="Z210" s="515">
        <f t="shared" ref="Z210:AB210" si="158">B210+E210+H210+K210+N210+Q210+T210+W210</f>
        <v>42743</v>
      </c>
      <c r="AA210" s="515">
        <f t="shared" si="158"/>
        <v>31292</v>
      </c>
      <c r="AB210" s="515">
        <f t="shared" si="158"/>
        <v>74035</v>
      </c>
    </row>
    <row r="211" spans="1:28" ht="15">
      <c r="A211" s="579" t="s">
        <v>47</v>
      </c>
      <c r="B211" s="551"/>
      <c r="C211" s="551"/>
      <c r="D211" s="551"/>
      <c r="E211" s="551"/>
      <c r="F211" s="551"/>
      <c r="G211" s="551"/>
      <c r="H211" s="551"/>
      <c r="I211" s="551"/>
      <c r="J211" s="552"/>
      <c r="K211" s="551"/>
      <c r="L211" s="551"/>
      <c r="M211" s="551"/>
      <c r="N211" s="551"/>
      <c r="O211" s="551"/>
      <c r="P211" s="551"/>
      <c r="Q211" s="551"/>
      <c r="R211" s="551"/>
      <c r="S211" s="552"/>
      <c r="T211" s="551"/>
      <c r="U211" s="551"/>
      <c r="V211" s="551"/>
      <c r="W211" s="551"/>
      <c r="X211" s="551"/>
      <c r="Y211" s="551"/>
      <c r="Z211" s="551"/>
      <c r="AA211" s="551"/>
      <c r="AB211" s="552"/>
    </row>
    <row r="212" spans="1:28">
      <c r="A212" s="541" t="s">
        <v>832</v>
      </c>
      <c r="B212" s="154">
        <f ca="1">SUMIF('[2]7UnivActwithConsUnit'!$B:$B,$B212,'[2]7UnivActwithConsUnit'!D:D)+SUMIF('[2]8CollegeAct'!$B:$B,$B212,'[2]8CollegeAct'!D:D)+SUMIF(#REF!,$B212,#REF!)</f>
        <v>13693</v>
      </c>
      <c r="C212" s="154">
        <f ca="1">SUMIF('[2]7UnivActwithConsUnit'!$B:$B,$B212,'[2]7UnivActwithConsUnit'!E:E)+SUMIF('[2]8CollegeAct'!$B:$B,$B212,'[2]8CollegeAct'!E:E)+SUMIF(#REF!,$B212,#REF!)</f>
        <v>10071</v>
      </c>
      <c r="D212" s="154">
        <f ca="1">SUMIF('[2]7UnivActwithConsUnit'!$B:$B,$B212,'[2]7UnivActwithConsUnit'!F:F)+SUMIF('[2]8CollegeAct'!$B:$B,$B212,'[2]8CollegeAct'!F:F)+SUMIF(#REF!,$B212,#REF!)</f>
        <v>23764</v>
      </c>
      <c r="E212" s="154">
        <f ca="1">SUMIF('[2]7UnivActwithConsUnit'!$B:$B,$B212,'[2]7UnivActwithConsUnit'!G:G)+SUMIF('[2]8CollegeAct'!$B:$B,$B212,'[2]8CollegeAct'!G:G)+SUMIF(#REF!,$B212,#REF!)</f>
        <v>217</v>
      </c>
      <c r="F212" s="154">
        <f ca="1">SUMIF('[2]7UnivActwithConsUnit'!$B:$B,$B212,'[2]7UnivActwithConsUnit'!H:H)+SUMIF('[2]8CollegeAct'!$B:$B,$B212,'[2]8CollegeAct'!H:H)+SUMIF(#REF!,$B212,#REF!)</f>
        <v>320</v>
      </c>
      <c r="G212" s="154">
        <f ca="1">SUMIF('[2]7UnivActwithConsUnit'!$B:$B,$B212,'[2]7UnivActwithConsUnit'!I:I)+SUMIF('[2]8CollegeAct'!$B:$B,$B212,'[2]8CollegeAct'!I:I)+SUMIF(#REF!,$B212,#REF!)</f>
        <v>537</v>
      </c>
      <c r="H212" s="154">
        <f ca="1">SUMIF('[2]7UnivActwithConsUnit'!$B:$B,$B212,'[2]7UnivActwithConsUnit'!J:J)+SUMIF('[2]10CollegeEst'!$B:$B,$B212,'[2]10CollegeEst'!B:B)+SUMIF(#REF!,$B212,#REF!)</f>
        <v>237350</v>
      </c>
      <c r="I212" s="154">
        <f ca="1">SUMIF('[2]7UnivActwithConsUnit'!$B:$B,$B212,'[2]7UnivActwithConsUnit'!K:K)+SUMIF('[2]10CollegeEst'!$B:$B,$B212,'[2]10CollegeEst'!C:C)+SUMIF(#REF!,$B212,#REF!)</f>
        <v>331801</v>
      </c>
      <c r="J212" s="154">
        <f ca="1">SUMIF('[2]7UnivActwithConsUnit'!$B:$B,$B212,'[2]7UnivActwithConsUnit'!L:L)+SUMIF('[2]10CollegeEst'!$B:$B,$B212,'[2]10CollegeEst'!D:D)+SUMIF(#REF!,$B212,#REF!)</f>
        <v>569151</v>
      </c>
      <c r="K212" s="715">
        <f ca="1">SUMIF('[2]7UnivActwithConsUnit'!$B:$B,$B212,'[2]7UnivActwithConsUnit'!M:M)+SUMIF('[2]10CollegeEst'!$B:$B,$B212,'[2]10CollegeEst'!E:E)+SUMIF(#REF!,$B212,#REF!)</f>
        <v>2636040</v>
      </c>
      <c r="L212" s="154">
        <f ca="1">SUMIF('[2]7UnivActwithConsUnit'!$B:$B,$B212,'[2]7UnivActwithConsUnit'!N:N)+SUMIF('[2]10CollegeEst'!$B:$B,$B212,'[2]10CollegeEst'!F:F)+SUMIF(#REF!,$B212,#REF!)</f>
        <v>2765496</v>
      </c>
      <c r="M212" s="154">
        <f ca="1">SUMIF('[2]7UnivActwithConsUnit'!$B:$B,$B212,'[2]7UnivActwithConsUnit'!O:O)+SUMIF('[2]10CollegeEst'!$B:$B,$B212,'[2]10CollegeEst'!G:G)+SUMIF(#REF!,$B212,#REF!)</f>
        <v>5401536</v>
      </c>
      <c r="N212" s="154">
        <f ca="1">SUMIF('[2]7UnivActwithConsUnit'!$B:$B,$B212,'[2]7UnivActwithConsUnit'!P:P)+SUMIF('[2]8CollegeAct'!$B:$B,$B212,'[2]8CollegeAct'!P:P)+SUMIF(#REF!,$B212,#REF!)</f>
        <v>13318</v>
      </c>
      <c r="O212" s="154">
        <f ca="1">SUMIF('[2]7UnivActwithConsUnit'!$B:$B,$B212,'[2]7UnivActwithConsUnit'!Q:Q)+SUMIF('[2]8CollegeAct'!$B:$B,$B212,'[2]8CollegeAct'!Q:Q)+SUMIF(#REF!,$B212,#REF!)</f>
        <v>11152</v>
      </c>
      <c r="P212" s="154">
        <f ca="1">SUMIF('[2]7UnivActwithConsUnit'!$B:$B,$B212,'[2]7UnivActwithConsUnit'!R:R)+SUMIF('[2]8CollegeAct'!$B:$B,$B212,'[2]8CollegeAct'!R:R)+SUMIF(#REF!,$B212,#REF!)</f>
        <v>24470</v>
      </c>
      <c r="Q212" s="154">
        <f ca="1">SUMIF('[2]7UnivActwithConsUnit'!$B:$B,$B212,'[2]7UnivActwithConsUnit'!S:S)+SUMIF('[2]8CollegeAct'!$B:$B,$B212,'[2]8CollegeAct'!S:S)+SUMIF(#REF!,$B212,#REF!)</f>
        <v>198868</v>
      </c>
      <c r="R212" s="154">
        <f ca="1">SUMIF('[2]7UnivActwithConsUnit'!$B:$B,$B212,'[2]7UnivActwithConsUnit'!T:T)+SUMIF('[2]8CollegeAct'!$B:$B,$B212,'[2]8CollegeAct'!T:T)+SUMIF(#REF!,$B212,#REF!)</f>
        <v>103325</v>
      </c>
      <c r="S212" s="154">
        <f ca="1">SUMIF('[2]7UnivActwithConsUnit'!$B:$B,$B212,'[2]7UnivActwithConsUnit'!U:U)+SUMIF('[2]8CollegeAct'!$B:$B,$B212,'[2]8CollegeAct'!U:U)+SUMIF(#REF!,$B212,#REF!)</f>
        <v>302193</v>
      </c>
      <c r="T212" s="715">
        <f ca="1">SUMIF('[2]7UnivActwithConsUnit'!$B:$B,$B212,'[2]7UnivActwithConsUnit'!V:V)+SUMIF('[2]8CollegeAct'!$B:$B,$B212,'[2]8CollegeAct'!V:V)+SUMIF(#REF!,$B212,#REF!)</f>
        <v>10660</v>
      </c>
      <c r="U212" s="154">
        <f ca="1">SUMIF('[2]7UnivActwithConsUnit'!$B:$B,$B212,'[2]7UnivActwithConsUnit'!W:W)+SUMIF('[2]8CollegeAct'!$B:$B,$B212,'[2]8CollegeAct'!W:W)+SUMIF(#REF!,$B212,#REF!)</f>
        <v>14266</v>
      </c>
      <c r="V212" s="154">
        <f ca="1">SUMIF('[2]7UnivActwithConsUnit'!$B:$B,$B212,'[2]7UnivActwithConsUnit'!X:X)+SUMIF('[2]8CollegeAct'!$B:$B,$B212,'[2]8CollegeAct'!X:X)+SUMIF(#REF!,$B212,#REF!)</f>
        <v>24926</v>
      </c>
      <c r="W212" s="154">
        <f ca="1">SUMIF('[2]7UnivActwithConsUnit'!$B:$B,$B212,'[2]7UnivActwithConsUnit'!Y:Y)+SUMIF('[2]8CollegeAct'!$B:$B,$B212,'[2]8CollegeAct'!Y:Y)+SUMIF(#REF!,$B212,#REF!)</f>
        <v>26504</v>
      </c>
      <c r="X212" s="154">
        <f ca="1">SUMIF('[2]7UnivActwithConsUnit'!$B:$B,$B212,'[2]7UnivActwithConsUnit'!Z:Z)+SUMIF('[2]8CollegeAct'!$B:$B,$B212,'[2]8CollegeAct'!Z:Z)+SUMIF(#REF!,$B212,#REF!)</f>
        <v>15133</v>
      </c>
      <c r="Y212" s="154">
        <f ca="1">SUMIF('[2]7UnivActwithConsUnit'!$B:$B,$B212,'[2]7UnivActwithConsUnit'!AA:AA)+SUMIF('[2]8CollegeAct'!$B:$B,$B212,'[2]8CollegeAct'!AA:AA)+SUMIF(#REF!,$B212,#REF!)</f>
        <v>41637</v>
      </c>
      <c r="Z212" s="155">
        <f t="shared" ref="Z212:AA212" ca="1" si="159">B212+E212+H212+K212+N212+Q212+T212+W212</f>
        <v>3136650</v>
      </c>
      <c r="AA212" s="155">
        <f t="shared" ca="1" si="159"/>
        <v>3251564</v>
      </c>
      <c r="AB212" s="155">
        <f t="shared" ref="AB212" ca="1" si="160">Z212+AA212</f>
        <v>6388214</v>
      </c>
    </row>
    <row r="213" spans="1:28">
      <c r="A213" s="541" t="s">
        <v>831</v>
      </c>
      <c r="B213" s="515">
        <v>11715</v>
      </c>
      <c r="C213" s="515">
        <v>7404</v>
      </c>
      <c r="D213" s="515">
        <v>19119</v>
      </c>
      <c r="E213" s="515">
        <v>326</v>
      </c>
      <c r="F213" s="515">
        <v>431</v>
      </c>
      <c r="G213" s="515">
        <v>757</v>
      </c>
      <c r="H213" s="515">
        <v>260167</v>
      </c>
      <c r="I213" s="515">
        <v>336882</v>
      </c>
      <c r="J213" s="515">
        <v>597049</v>
      </c>
      <c r="K213" s="549">
        <v>2675777</v>
      </c>
      <c r="L213" s="515">
        <v>2791519</v>
      </c>
      <c r="M213" s="515">
        <v>5467296</v>
      </c>
      <c r="N213" s="515">
        <v>20411</v>
      </c>
      <c r="O213" s="515">
        <v>16930</v>
      </c>
      <c r="P213" s="515">
        <v>37341</v>
      </c>
      <c r="Q213" s="515">
        <v>181658</v>
      </c>
      <c r="R213" s="515">
        <v>95328</v>
      </c>
      <c r="S213" s="515">
        <v>276986</v>
      </c>
      <c r="T213" s="549">
        <v>17599</v>
      </c>
      <c r="U213" s="515">
        <v>19016</v>
      </c>
      <c r="V213" s="515">
        <v>36615</v>
      </c>
      <c r="W213" s="515">
        <v>21867</v>
      </c>
      <c r="X213" s="515">
        <v>12337</v>
      </c>
      <c r="Y213" s="515">
        <v>34204</v>
      </c>
      <c r="Z213" s="515">
        <v>3189520</v>
      </c>
      <c r="AA213" s="515">
        <v>3279847</v>
      </c>
      <c r="AB213" s="515">
        <v>6469367</v>
      </c>
    </row>
    <row r="214" spans="1:28">
      <c r="A214" s="541" t="s">
        <v>830</v>
      </c>
      <c r="B214" s="543">
        <v>10069</v>
      </c>
      <c r="C214" s="543">
        <v>5339</v>
      </c>
      <c r="D214" s="543">
        <v>15408</v>
      </c>
      <c r="E214" s="543">
        <v>350</v>
      </c>
      <c r="F214" s="543">
        <v>510</v>
      </c>
      <c r="G214" s="543">
        <v>860</v>
      </c>
      <c r="H214" s="543">
        <v>281754.92901018076</v>
      </c>
      <c r="I214" s="543">
        <v>355717.953279012</v>
      </c>
      <c r="J214" s="543">
        <v>637472.88228919276</v>
      </c>
      <c r="K214" s="714">
        <v>2785329.527862024</v>
      </c>
      <c r="L214" s="543">
        <v>2661438.9824966588</v>
      </c>
      <c r="M214" s="543">
        <v>5446768.5103586828</v>
      </c>
      <c r="N214" s="543">
        <v>11691</v>
      </c>
      <c r="O214" s="543">
        <v>7930</v>
      </c>
      <c r="P214" s="543">
        <v>19621</v>
      </c>
      <c r="Q214" s="543">
        <v>178531</v>
      </c>
      <c r="R214" s="543">
        <v>82016</v>
      </c>
      <c r="S214" s="543">
        <v>260547</v>
      </c>
      <c r="T214" s="714">
        <v>20258</v>
      </c>
      <c r="U214" s="543">
        <v>22560</v>
      </c>
      <c r="V214" s="543">
        <v>42818</v>
      </c>
      <c r="W214" s="543">
        <v>20331</v>
      </c>
      <c r="X214" s="543">
        <v>11549</v>
      </c>
      <c r="Y214" s="543">
        <v>31880</v>
      </c>
      <c r="Z214" s="200">
        <f t="shared" ref="Z214:AB214" si="161">B214+E214+H214+K214+N214+Q214+T214+W214</f>
        <v>3308314.4568722048</v>
      </c>
      <c r="AA214" s="200">
        <f t="shared" si="161"/>
        <v>3147060.9357756707</v>
      </c>
      <c r="AB214" s="200">
        <f t="shared" si="161"/>
        <v>6455375.3926478755</v>
      </c>
    </row>
    <row r="215" spans="1:28">
      <c r="A215" s="541" t="s">
        <v>829</v>
      </c>
      <c r="B215" s="544">
        <v>8838</v>
      </c>
      <c r="C215" s="544">
        <v>4389</v>
      </c>
      <c r="D215" s="265">
        <v>13227</v>
      </c>
      <c r="E215" s="544">
        <v>370</v>
      </c>
      <c r="F215" s="544">
        <v>502</v>
      </c>
      <c r="G215" s="265">
        <v>872</v>
      </c>
      <c r="H215" s="544">
        <v>257625</v>
      </c>
      <c r="I215" s="544">
        <v>334470</v>
      </c>
      <c r="J215" s="265">
        <v>592095</v>
      </c>
      <c r="K215" s="716">
        <v>2735668</v>
      </c>
      <c r="L215" s="544">
        <v>2488780</v>
      </c>
      <c r="M215" s="265">
        <v>5224448</v>
      </c>
      <c r="N215" s="544">
        <v>13608</v>
      </c>
      <c r="O215" s="544">
        <v>8169</v>
      </c>
      <c r="P215" s="265">
        <v>21777</v>
      </c>
      <c r="Q215" s="544">
        <v>164740</v>
      </c>
      <c r="R215" s="544">
        <v>70582</v>
      </c>
      <c r="S215" s="265">
        <v>235322</v>
      </c>
      <c r="T215" s="716">
        <v>19602</v>
      </c>
      <c r="U215" s="544">
        <v>20358</v>
      </c>
      <c r="V215" s="265">
        <v>39960</v>
      </c>
      <c r="W215" s="544">
        <v>20006</v>
      </c>
      <c r="X215" s="544">
        <v>10264</v>
      </c>
      <c r="Y215" s="265">
        <v>30270</v>
      </c>
      <c r="Z215" s="265">
        <v>3220457</v>
      </c>
      <c r="AA215" s="265">
        <v>2937514</v>
      </c>
      <c r="AB215" s="265">
        <f t="shared" ref="AB215" si="162">SUM(Z215+AA215)</f>
        <v>6157971</v>
      </c>
    </row>
    <row r="216" spans="1:28">
      <c r="A216" s="514" t="s">
        <v>828</v>
      </c>
      <c r="B216" s="515">
        <v>7815</v>
      </c>
      <c r="C216" s="515">
        <v>3737</v>
      </c>
      <c r="D216" s="515">
        <v>11552</v>
      </c>
      <c r="E216" s="515">
        <v>841</v>
      </c>
      <c r="F216" s="515">
        <v>463</v>
      </c>
      <c r="G216" s="515">
        <v>1304</v>
      </c>
      <c r="H216" s="515">
        <v>236299</v>
      </c>
      <c r="I216" s="515">
        <v>308811</v>
      </c>
      <c r="J216" s="515">
        <v>545110</v>
      </c>
      <c r="K216" s="549">
        <v>2701079</v>
      </c>
      <c r="L216" s="515">
        <v>2443242</v>
      </c>
      <c r="M216" s="515">
        <v>5144321</v>
      </c>
      <c r="N216" s="515">
        <v>11429</v>
      </c>
      <c r="O216" s="515">
        <v>6639</v>
      </c>
      <c r="P216" s="515">
        <v>18068</v>
      </c>
      <c r="Q216" s="515">
        <v>159224</v>
      </c>
      <c r="R216" s="515">
        <v>65336</v>
      </c>
      <c r="S216" s="515">
        <v>224560</v>
      </c>
      <c r="T216" s="549">
        <v>17729</v>
      </c>
      <c r="U216" s="515">
        <v>19119</v>
      </c>
      <c r="V216" s="515">
        <v>36848</v>
      </c>
      <c r="W216" s="515">
        <v>14586</v>
      </c>
      <c r="X216" s="515">
        <v>6727</v>
      </c>
      <c r="Y216" s="515">
        <v>21313</v>
      </c>
      <c r="Z216" s="515">
        <f t="shared" ref="Z216:AB216" si="163">B216+E216+H216+K216+N216+Q216+T216+W216</f>
        <v>3149002</v>
      </c>
      <c r="AA216" s="515">
        <f t="shared" si="163"/>
        <v>2854074</v>
      </c>
      <c r="AB216" s="515">
        <f t="shared" si="163"/>
        <v>6003076</v>
      </c>
    </row>
    <row r="217" spans="1:28" ht="15">
      <c r="A217" s="579" t="s">
        <v>46</v>
      </c>
      <c r="B217" s="551"/>
      <c r="C217" s="551"/>
      <c r="D217" s="551"/>
      <c r="E217" s="551"/>
      <c r="F217" s="551"/>
      <c r="G217" s="551"/>
      <c r="H217" s="551"/>
      <c r="I217" s="551"/>
      <c r="J217" s="552"/>
      <c r="K217" s="551"/>
      <c r="L217" s="551"/>
      <c r="M217" s="551"/>
      <c r="N217" s="551"/>
      <c r="O217" s="551"/>
      <c r="P217" s="551"/>
      <c r="Q217" s="551"/>
      <c r="R217" s="551"/>
      <c r="S217" s="552"/>
      <c r="T217" s="551"/>
      <c r="U217" s="551"/>
      <c r="V217" s="551"/>
      <c r="W217" s="551"/>
      <c r="X217" s="551"/>
      <c r="Y217" s="551"/>
      <c r="Z217" s="551"/>
      <c r="AA217" s="551"/>
      <c r="AB217" s="552"/>
    </row>
    <row r="218" spans="1:28">
      <c r="A218" s="541" t="s">
        <v>832</v>
      </c>
      <c r="B218" s="154">
        <f ca="1">SUMIF('[2]7UnivActwithConsUnit'!$B:$B,$B218,'[2]7UnivActwithConsUnit'!D:D)+SUMIF('[2]8CollegeAct'!$B:$B,$B218,'[2]8CollegeAct'!D:D)+SUMIF(#REF!,$B218,#REF!)</f>
        <v>3449</v>
      </c>
      <c r="C218" s="154">
        <f ca="1">SUMIF('[2]7UnivActwithConsUnit'!$B:$B,$B218,'[2]7UnivActwithConsUnit'!E:E)+SUMIF('[2]8CollegeAct'!$B:$B,$B218,'[2]8CollegeAct'!E:E)+SUMIF(#REF!,$B218,#REF!)</f>
        <v>2019</v>
      </c>
      <c r="D218" s="154">
        <f ca="1">SUMIF('[2]7UnivActwithConsUnit'!$B:$B,$B218,'[2]7UnivActwithConsUnit'!F:F)+SUMIF('[2]8CollegeAct'!$B:$B,$B218,'[2]8CollegeAct'!F:F)+SUMIF(#REF!,$B218,#REF!)</f>
        <v>5468</v>
      </c>
      <c r="E218" s="154">
        <f ca="1">SUMIF('[2]7UnivActwithConsUnit'!$B:$B,$B218,'[2]7UnivActwithConsUnit'!G:G)+SUMIF('[2]8CollegeAct'!$B:$B,$B218,'[2]8CollegeAct'!G:G)+SUMIF(#REF!,$B218,#REF!)</f>
        <v>21</v>
      </c>
      <c r="F218" s="154">
        <f ca="1">SUMIF('[2]7UnivActwithConsUnit'!$B:$B,$B218,'[2]7UnivActwithConsUnit'!H:H)+SUMIF('[2]8CollegeAct'!$B:$B,$B218,'[2]8CollegeAct'!H:H)+SUMIF(#REF!,$B218,#REF!)</f>
        <v>13</v>
      </c>
      <c r="G218" s="154">
        <f ca="1">SUMIF('[2]7UnivActwithConsUnit'!$B:$B,$B218,'[2]7UnivActwithConsUnit'!I:I)+SUMIF('[2]8CollegeAct'!$B:$B,$B218,'[2]8CollegeAct'!I:I)+SUMIF(#REF!,$B218,#REF!)</f>
        <v>34</v>
      </c>
      <c r="H218" s="154">
        <f ca="1">SUMIF('[2]7UnivActwithConsUnit'!$B:$B,$B218,'[2]7UnivActwithConsUnit'!J:J)+SUMIF('[2]10CollegeEst'!$B:$B,$B218,'[2]10CollegeEst'!B:B)+SUMIF(#REF!,$B218,#REF!)</f>
        <v>34137</v>
      </c>
      <c r="I218" s="154">
        <f ca="1">SUMIF('[2]7UnivActwithConsUnit'!$B:$B,$B218,'[2]7UnivActwithConsUnit'!K:K)+SUMIF('[2]10CollegeEst'!$B:$B,$B218,'[2]10CollegeEst'!C:C)+SUMIF(#REF!,$B218,#REF!)</f>
        <v>45833</v>
      </c>
      <c r="J218" s="154">
        <f ca="1">SUMIF('[2]7UnivActwithConsUnit'!$B:$B,$B218,'[2]7UnivActwithConsUnit'!L:L)+SUMIF('[2]10CollegeEst'!$B:$B,$B218,'[2]10CollegeEst'!D:D)+SUMIF(#REF!,$B218,#REF!)</f>
        <v>79970</v>
      </c>
      <c r="K218" s="715">
        <f ca="1">SUMIF('[2]7UnivActwithConsUnit'!$B:$B,$B218,'[2]7UnivActwithConsUnit'!M:M)+SUMIF('[2]10CollegeEst'!$B:$B,$B218,'[2]10CollegeEst'!E:E)+SUMIF(#REF!,$B218,#REF!)</f>
        <v>184770</v>
      </c>
      <c r="L218" s="154">
        <f ca="1">SUMIF('[2]7UnivActwithConsUnit'!$B:$B,$B218,'[2]7UnivActwithConsUnit'!N:N)+SUMIF('[2]10CollegeEst'!$B:$B,$B218,'[2]10CollegeEst'!F:F)+SUMIF(#REF!,$B218,#REF!)</f>
        <v>185154</v>
      </c>
      <c r="M218" s="154">
        <f ca="1">SUMIF('[2]7UnivActwithConsUnit'!$B:$B,$B218,'[2]7UnivActwithConsUnit'!O:O)+SUMIF('[2]10CollegeEst'!$B:$B,$B218,'[2]10CollegeEst'!G:G)+SUMIF(#REF!,$B218,#REF!)</f>
        <v>369924</v>
      </c>
      <c r="N218" s="154">
        <f ca="1">SUMIF('[2]7UnivActwithConsUnit'!$B:$B,$B218,'[2]7UnivActwithConsUnit'!P:P)+SUMIF('[2]8CollegeAct'!$B:$B,$B218,'[2]8CollegeAct'!P:P)+SUMIF(#REF!,$B218,#REF!)</f>
        <v>1096</v>
      </c>
      <c r="O218" s="154">
        <f ca="1">SUMIF('[2]7UnivActwithConsUnit'!$B:$B,$B218,'[2]7UnivActwithConsUnit'!Q:Q)+SUMIF('[2]8CollegeAct'!$B:$B,$B218,'[2]8CollegeAct'!Q:Q)+SUMIF(#REF!,$B218,#REF!)</f>
        <v>1078</v>
      </c>
      <c r="P218" s="154">
        <f ca="1">SUMIF('[2]7UnivActwithConsUnit'!$B:$B,$B218,'[2]7UnivActwithConsUnit'!R:R)+SUMIF('[2]8CollegeAct'!$B:$B,$B218,'[2]8CollegeAct'!R:R)+SUMIF(#REF!,$B218,#REF!)</f>
        <v>2174</v>
      </c>
      <c r="Q218" s="154">
        <f ca="1">SUMIF('[2]7UnivActwithConsUnit'!$B:$B,$B218,'[2]7UnivActwithConsUnit'!S:S)+SUMIF('[2]8CollegeAct'!$B:$B,$B218,'[2]8CollegeAct'!S:S)+SUMIF(#REF!,$B218,#REF!)</f>
        <v>21760</v>
      </c>
      <c r="R218" s="154">
        <f ca="1">SUMIF('[2]7UnivActwithConsUnit'!$B:$B,$B218,'[2]7UnivActwithConsUnit'!T:T)+SUMIF('[2]8CollegeAct'!$B:$B,$B218,'[2]8CollegeAct'!T:T)+SUMIF(#REF!,$B218,#REF!)</f>
        <v>7924</v>
      </c>
      <c r="S218" s="154">
        <f ca="1">SUMIF('[2]7UnivActwithConsUnit'!$B:$B,$B218,'[2]7UnivActwithConsUnit'!U:U)+SUMIF('[2]8CollegeAct'!$B:$B,$B218,'[2]8CollegeAct'!U:U)+SUMIF(#REF!,$B218,#REF!)</f>
        <v>29684</v>
      </c>
      <c r="T218" s="715">
        <f ca="1">SUMIF('[2]7UnivActwithConsUnit'!$B:$B,$B218,'[2]7UnivActwithConsUnit'!V:V)+SUMIF('[2]8CollegeAct'!$B:$B,$B218,'[2]8CollegeAct'!V:V)+SUMIF(#REF!,$B218,#REF!)</f>
        <v>294</v>
      </c>
      <c r="U218" s="154">
        <f ca="1">SUMIF('[2]7UnivActwithConsUnit'!$B:$B,$B218,'[2]7UnivActwithConsUnit'!W:W)+SUMIF('[2]8CollegeAct'!$B:$B,$B218,'[2]8CollegeAct'!W:W)+SUMIF(#REF!,$B218,#REF!)</f>
        <v>79</v>
      </c>
      <c r="V218" s="154">
        <f ca="1">SUMIF('[2]7UnivActwithConsUnit'!$B:$B,$B218,'[2]7UnivActwithConsUnit'!X:X)+SUMIF('[2]8CollegeAct'!$B:$B,$B218,'[2]8CollegeAct'!X:X)+SUMIF(#REF!,$B218,#REF!)</f>
        <v>373</v>
      </c>
      <c r="W218" s="154">
        <f ca="1">SUMIF('[2]7UnivActwithConsUnit'!$B:$B,$B218,'[2]7UnivActwithConsUnit'!Y:Y)+SUMIF('[2]8CollegeAct'!$B:$B,$B218,'[2]8CollegeAct'!Y:Y)+SUMIF(#REF!,$B218,#REF!)</f>
        <v>3366</v>
      </c>
      <c r="X218" s="154">
        <f ca="1">SUMIF('[2]7UnivActwithConsUnit'!$B:$B,$B218,'[2]7UnivActwithConsUnit'!Z:Z)+SUMIF('[2]8CollegeAct'!$B:$B,$B218,'[2]8CollegeAct'!Z:Z)+SUMIF(#REF!,$B218,#REF!)</f>
        <v>2286</v>
      </c>
      <c r="Y218" s="154">
        <f ca="1">SUMIF('[2]7UnivActwithConsUnit'!$B:$B,$B218,'[2]7UnivActwithConsUnit'!AA:AA)+SUMIF('[2]8CollegeAct'!$B:$B,$B218,'[2]8CollegeAct'!AA:AA)+SUMIF(#REF!,$B218,#REF!)</f>
        <v>5652</v>
      </c>
      <c r="Z218" s="155">
        <f t="shared" ref="Z218:AA218" ca="1" si="164">B218+E218+H218+K218+N218+Q218+T218+W218</f>
        <v>248893</v>
      </c>
      <c r="AA218" s="155">
        <f t="shared" ca="1" si="164"/>
        <v>244386</v>
      </c>
      <c r="AB218" s="155">
        <f t="shared" ref="AB218" ca="1" si="165">Z218+AA218</f>
        <v>493279</v>
      </c>
    </row>
    <row r="219" spans="1:28">
      <c r="A219" s="541" t="s">
        <v>831</v>
      </c>
      <c r="B219" s="515">
        <v>2903</v>
      </c>
      <c r="C219" s="515">
        <v>1759</v>
      </c>
      <c r="D219" s="515">
        <v>4662</v>
      </c>
      <c r="E219" s="515">
        <v>18</v>
      </c>
      <c r="F219" s="515">
        <v>9</v>
      </c>
      <c r="G219" s="515">
        <v>27</v>
      </c>
      <c r="H219" s="515">
        <v>32342</v>
      </c>
      <c r="I219" s="515">
        <v>39584</v>
      </c>
      <c r="J219" s="515">
        <v>71926</v>
      </c>
      <c r="K219" s="549">
        <v>177767</v>
      </c>
      <c r="L219" s="515">
        <v>174137</v>
      </c>
      <c r="M219" s="515">
        <v>351904</v>
      </c>
      <c r="N219" s="515">
        <v>1174</v>
      </c>
      <c r="O219" s="515">
        <v>1105</v>
      </c>
      <c r="P219" s="515">
        <v>2279</v>
      </c>
      <c r="Q219" s="515">
        <v>23572</v>
      </c>
      <c r="R219" s="515">
        <v>8585</v>
      </c>
      <c r="S219" s="515">
        <v>32157</v>
      </c>
      <c r="T219" s="549">
        <v>215</v>
      </c>
      <c r="U219" s="515">
        <v>70</v>
      </c>
      <c r="V219" s="515">
        <v>285</v>
      </c>
      <c r="W219" s="515">
        <v>3092</v>
      </c>
      <c r="X219" s="515">
        <v>1923</v>
      </c>
      <c r="Y219" s="515">
        <v>5015</v>
      </c>
      <c r="Z219" s="515">
        <v>241083</v>
      </c>
      <c r="AA219" s="515">
        <v>227172</v>
      </c>
      <c r="AB219" s="515">
        <v>468255</v>
      </c>
    </row>
    <row r="220" spans="1:28">
      <c r="A220" s="541" t="s">
        <v>830</v>
      </c>
      <c r="B220" s="543">
        <v>2419</v>
      </c>
      <c r="C220" s="543">
        <v>1489</v>
      </c>
      <c r="D220" s="543">
        <v>3908</v>
      </c>
      <c r="E220" s="543">
        <v>11</v>
      </c>
      <c r="F220" s="543">
        <v>5</v>
      </c>
      <c r="G220" s="543">
        <v>16</v>
      </c>
      <c r="H220" s="543">
        <v>32756.180005101087</v>
      </c>
      <c r="I220" s="543">
        <v>38386.191689038154</v>
      </c>
      <c r="J220" s="543">
        <v>71142.371694139249</v>
      </c>
      <c r="K220" s="714">
        <v>159414.69341997942</v>
      </c>
      <c r="L220" s="543">
        <v>160459.32996324659</v>
      </c>
      <c r="M220" s="543">
        <v>319874.02338322601</v>
      </c>
      <c r="N220" s="543">
        <v>1285</v>
      </c>
      <c r="O220" s="543">
        <v>920</v>
      </c>
      <c r="P220" s="543">
        <v>2205</v>
      </c>
      <c r="Q220" s="543">
        <v>25849</v>
      </c>
      <c r="R220" s="543">
        <v>9529</v>
      </c>
      <c r="S220" s="543">
        <v>35378</v>
      </c>
      <c r="T220" s="714">
        <v>235</v>
      </c>
      <c r="U220" s="543">
        <v>99</v>
      </c>
      <c r="V220" s="543">
        <v>334</v>
      </c>
      <c r="W220" s="543">
        <v>2638</v>
      </c>
      <c r="X220" s="543">
        <v>1655</v>
      </c>
      <c r="Y220" s="543">
        <v>4293</v>
      </c>
      <c r="Z220" s="200">
        <f t="shared" ref="Z220:AB220" si="166">B220+E220+H220+K220+N220+Q220+T220+W220</f>
        <v>224607.8734250805</v>
      </c>
      <c r="AA220" s="200">
        <f t="shared" si="166"/>
        <v>212542.52165228475</v>
      </c>
      <c r="AB220" s="200">
        <f t="shared" si="166"/>
        <v>437150.39507736528</v>
      </c>
    </row>
    <row r="221" spans="1:28">
      <c r="A221" s="541" t="s">
        <v>829</v>
      </c>
      <c r="B221" s="544">
        <v>1971</v>
      </c>
      <c r="C221" s="544">
        <v>1204</v>
      </c>
      <c r="D221" s="265">
        <v>3175</v>
      </c>
      <c r="E221" s="544">
        <v>7</v>
      </c>
      <c r="F221" s="544">
        <v>4</v>
      </c>
      <c r="G221" s="265">
        <v>11</v>
      </c>
      <c r="H221" s="544">
        <v>28886</v>
      </c>
      <c r="I221" s="544">
        <v>33774</v>
      </c>
      <c r="J221" s="265">
        <v>62660</v>
      </c>
      <c r="K221" s="716">
        <v>149210</v>
      </c>
      <c r="L221" s="544">
        <v>148149</v>
      </c>
      <c r="M221" s="265">
        <v>297359</v>
      </c>
      <c r="N221" s="544">
        <v>2122</v>
      </c>
      <c r="O221" s="544">
        <v>1485</v>
      </c>
      <c r="P221" s="265">
        <v>3607</v>
      </c>
      <c r="Q221" s="544">
        <v>25137</v>
      </c>
      <c r="R221" s="544">
        <v>8323</v>
      </c>
      <c r="S221" s="265">
        <v>33460</v>
      </c>
      <c r="T221" s="716">
        <v>201</v>
      </c>
      <c r="U221" s="544">
        <v>76</v>
      </c>
      <c r="V221" s="265">
        <v>277</v>
      </c>
      <c r="W221" s="544">
        <v>2560</v>
      </c>
      <c r="X221" s="544">
        <v>1577</v>
      </c>
      <c r="Y221" s="265">
        <v>4137</v>
      </c>
      <c r="Z221" s="265">
        <v>210094</v>
      </c>
      <c r="AA221" s="265">
        <v>194592</v>
      </c>
      <c r="AB221" s="265">
        <f t="shared" ref="AB221" si="167">SUM(Z221+AA221)</f>
        <v>404686</v>
      </c>
    </row>
    <row r="222" spans="1:28">
      <c r="A222" s="514" t="s">
        <v>828</v>
      </c>
      <c r="B222" s="515">
        <v>2104</v>
      </c>
      <c r="C222" s="515">
        <v>1255</v>
      </c>
      <c r="D222" s="515">
        <v>3359</v>
      </c>
      <c r="E222" s="515">
        <v>10</v>
      </c>
      <c r="F222" s="515">
        <v>11</v>
      </c>
      <c r="G222" s="515">
        <v>21</v>
      </c>
      <c r="H222" s="515">
        <v>27614</v>
      </c>
      <c r="I222" s="515">
        <v>31426</v>
      </c>
      <c r="J222" s="515">
        <v>59040</v>
      </c>
      <c r="K222" s="549">
        <v>149601</v>
      </c>
      <c r="L222" s="515">
        <v>151832</v>
      </c>
      <c r="M222" s="515">
        <v>301433</v>
      </c>
      <c r="N222" s="515">
        <v>1759</v>
      </c>
      <c r="O222" s="515">
        <v>1362</v>
      </c>
      <c r="P222" s="515">
        <v>3121</v>
      </c>
      <c r="Q222" s="515">
        <v>26459</v>
      </c>
      <c r="R222" s="515">
        <v>8190</v>
      </c>
      <c r="S222" s="515">
        <v>34649</v>
      </c>
      <c r="T222" s="549">
        <v>102</v>
      </c>
      <c r="U222" s="515">
        <v>79</v>
      </c>
      <c r="V222" s="515">
        <v>181</v>
      </c>
      <c r="W222" s="515">
        <v>2316</v>
      </c>
      <c r="X222" s="515">
        <v>1266</v>
      </c>
      <c r="Y222" s="515">
        <v>3582</v>
      </c>
      <c r="Z222" s="515">
        <f t="shared" ref="Z222:AB222" si="168">B222+E222+H222+K222+N222+Q222+T222+W222</f>
        <v>209965</v>
      </c>
      <c r="AA222" s="515">
        <f t="shared" si="168"/>
        <v>195421</v>
      </c>
      <c r="AB222" s="515">
        <f t="shared" si="168"/>
        <v>405386</v>
      </c>
    </row>
    <row r="223" spans="1:28" ht="15">
      <c r="A223" s="579" t="s">
        <v>48</v>
      </c>
      <c r="B223" s="551"/>
      <c r="C223" s="551"/>
      <c r="D223" s="551"/>
      <c r="E223" s="551"/>
      <c r="F223" s="551"/>
      <c r="G223" s="551"/>
      <c r="H223" s="551"/>
      <c r="I223" s="551"/>
      <c r="J223" s="552"/>
      <c r="K223" s="551"/>
      <c r="L223" s="551"/>
      <c r="M223" s="551"/>
      <c r="N223" s="551"/>
      <c r="O223" s="551"/>
      <c r="P223" s="551"/>
      <c r="Q223" s="551"/>
      <c r="R223" s="551"/>
      <c r="S223" s="552"/>
      <c r="T223" s="551"/>
      <c r="U223" s="551"/>
      <c r="V223" s="551"/>
      <c r="W223" s="551"/>
      <c r="X223" s="551"/>
      <c r="Y223" s="551"/>
      <c r="Z223" s="551"/>
      <c r="AA223" s="551"/>
      <c r="AB223" s="552"/>
    </row>
    <row r="224" spans="1:28">
      <c r="A224" s="541" t="s">
        <v>832</v>
      </c>
      <c r="B224" s="154">
        <f ca="1">SUMIF('[2]7UnivActwithConsUnit'!$B:$B,$B224,'[2]7UnivActwithConsUnit'!D:D)+SUMIF('[2]8CollegeAct'!$B:$B,$B224,'[2]8CollegeAct'!D:D)+SUMIF(#REF!,$B224,#REF!)</f>
        <v>8063</v>
      </c>
      <c r="C224" s="154">
        <f ca="1">SUMIF('[2]7UnivActwithConsUnit'!$B:$B,$B224,'[2]7UnivActwithConsUnit'!E:E)+SUMIF('[2]8CollegeAct'!$B:$B,$B224,'[2]8CollegeAct'!E:E)+SUMIF(#REF!,$B224,#REF!)</f>
        <v>4773</v>
      </c>
      <c r="D224" s="154">
        <f ca="1">SUMIF('[2]7UnivActwithConsUnit'!$B:$B,$B224,'[2]7UnivActwithConsUnit'!F:F)+SUMIF('[2]8CollegeAct'!$B:$B,$B224,'[2]8CollegeAct'!F:F)+SUMIF(#REF!,$B224,#REF!)</f>
        <v>12836</v>
      </c>
      <c r="E224" s="154">
        <f ca="1">SUMIF('[2]7UnivActwithConsUnit'!$B:$B,$B224,'[2]7UnivActwithConsUnit'!G:G)+SUMIF('[2]8CollegeAct'!$B:$B,$B224,'[2]8CollegeAct'!G:G)+SUMIF(#REF!,$B224,#REF!)</f>
        <v>1195</v>
      </c>
      <c r="F224" s="154">
        <f ca="1">SUMIF('[2]7UnivActwithConsUnit'!$B:$B,$B224,'[2]7UnivActwithConsUnit'!H:H)+SUMIF('[2]8CollegeAct'!$B:$B,$B224,'[2]8CollegeAct'!H:H)+SUMIF(#REF!,$B224,#REF!)</f>
        <v>983</v>
      </c>
      <c r="G224" s="154">
        <f ca="1">SUMIF('[2]7UnivActwithConsUnit'!$B:$B,$B224,'[2]7UnivActwithConsUnit'!I:I)+SUMIF('[2]8CollegeAct'!$B:$B,$B224,'[2]8CollegeAct'!I:I)+SUMIF(#REF!,$B224,#REF!)</f>
        <v>2178</v>
      </c>
      <c r="H224" s="154">
        <f ca="1">SUMIF('[2]7UnivActwithConsUnit'!$B:$B,$B224,'[2]7UnivActwithConsUnit'!J:J)+SUMIF('[2]10CollegeEst'!$B:$B,$B224,'[2]10CollegeEst'!B:B)+SUMIF(#REF!,$B224,#REF!)</f>
        <v>62665</v>
      </c>
      <c r="I224" s="154">
        <f ca="1">SUMIF('[2]7UnivActwithConsUnit'!$B:$B,$B224,'[2]7UnivActwithConsUnit'!K:K)+SUMIF('[2]10CollegeEst'!$B:$B,$B224,'[2]10CollegeEst'!C:C)+SUMIF(#REF!,$B224,#REF!)</f>
        <v>90360</v>
      </c>
      <c r="J224" s="154">
        <f ca="1">SUMIF('[2]7UnivActwithConsUnit'!$B:$B,$B224,'[2]7UnivActwithConsUnit'!L:L)+SUMIF('[2]10CollegeEst'!$B:$B,$B224,'[2]10CollegeEst'!D:D)+SUMIF(#REF!,$B224,#REF!)</f>
        <v>153025</v>
      </c>
      <c r="K224" s="715">
        <f ca="1">SUMIF('[2]7UnivActwithConsUnit'!$B:$B,$B224,'[2]7UnivActwithConsUnit'!M:M)+SUMIF('[2]10CollegeEst'!$B:$B,$B224,'[2]10CollegeEst'!E:E)+SUMIF(#REF!,$B224,#REF!)</f>
        <v>865130</v>
      </c>
      <c r="L224" s="154">
        <f ca="1">SUMIF('[2]7UnivActwithConsUnit'!$B:$B,$B224,'[2]7UnivActwithConsUnit'!N:N)+SUMIF('[2]10CollegeEst'!$B:$B,$B224,'[2]10CollegeEst'!F:F)+SUMIF(#REF!,$B224,#REF!)</f>
        <v>924953</v>
      </c>
      <c r="M224" s="154">
        <f ca="1">SUMIF('[2]7UnivActwithConsUnit'!$B:$B,$B224,'[2]7UnivActwithConsUnit'!O:O)+SUMIF('[2]10CollegeEst'!$B:$B,$B224,'[2]10CollegeEst'!G:G)+SUMIF(#REF!,$B224,#REF!)</f>
        <v>1790083</v>
      </c>
      <c r="N224" s="154">
        <f ca="1">SUMIF('[2]7UnivActwithConsUnit'!$B:$B,$B224,'[2]7UnivActwithConsUnit'!P:P)+SUMIF('[2]8CollegeAct'!$B:$B,$B224,'[2]8CollegeAct'!P:P)+SUMIF(#REF!,$B224,#REF!)</f>
        <v>3390</v>
      </c>
      <c r="O224" s="154">
        <f ca="1">SUMIF('[2]7UnivActwithConsUnit'!$B:$B,$B224,'[2]7UnivActwithConsUnit'!Q:Q)+SUMIF('[2]8CollegeAct'!$B:$B,$B224,'[2]8CollegeAct'!Q:Q)+SUMIF(#REF!,$B224,#REF!)</f>
        <v>2129</v>
      </c>
      <c r="P224" s="154">
        <f ca="1">SUMIF('[2]7UnivActwithConsUnit'!$B:$B,$B224,'[2]7UnivActwithConsUnit'!R:R)+SUMIF('[2]8CollegeAct'!$B:$B,$B224,'[2]8CollegeAct'!R:R)+SUMIF(#REF!,$B224,#REF!)</f>
        <v>5519</v>
      </c>
      <c r="Q224" s="154">
        <f ca="1">SUMIF('[2]7UnivActwithConsUnit'!$B:$B,$B224,'[2]7UnivActwithConsUnit'!S:S)+SUMIF('[2]8CollegeAct'!$B:$B,$B224,'[2]8CollegeAct'!S:S)+SUMIF(#REF!,$B224,#REF!)</f>
        <v>114991</v>
      </c>
      <c r="R224" s="154">
        <f ca="1">SUMIF('[2]7UnivActwithConsUnit'!$B:$B,$B224,'[2]7UnivActwithConsUnit'!T:T)+SUMIF('[2]8CollegeAct'!$B:$B,$B224,'[2]8CollegeAct'!T:T)+SUMIF(#REF!,$B224,#REF!)</f>
        <v>58776</v>
      </c>
      <c r="S224" s="154">
        <f ca="1">SUMIF('[2]7UnivActwithConsUnit'!$B:$B,$B224,'[2]7UnivActwithConsUnit'!U:U)+SUMIF('[2]8CollegeAct'!$B:$B,$B224,'[2]8CollegeAct'!U:U)+SUMIF(#REF!,$B224,#REF!)</f>
        <v>173767</v>
      </c>
      <c r="T224" s="715">
        <f ca="1">SUMIF('[2]7UnivActwithConsUnit'!$B:$B,$B224,'[2]7UnivActwithConsUnit'!V:V)+SUMIF('[2]8CollegeAct'!$B:$B,$B224,'[2]8CollegeAct'!V:V)+SUMIF(#REF!,$B224,#REF!)</f>
        <v>4859</v>
      </c>
      <c r="U224" s="154">
        <f ca="1">SUMIF('[2]7UnivActwithConsUnit'!$B:$B,$B224,'[2]7UnivActwithConsUnit'!W:W)+SUMIF('[2]8CollegeAct'!$B:$B,$B224,'[2]8CollegeAct'!W:W)+SUMIF(#REF!,$B224,#REF!)</f>
        <v>3695</v>
      </c>
      <c r="V224" s="154">
        <f ca="1">SUMIF('[2]7UnivActwithConsUnit'!$B:$B,$B224,'[2]7UnivActwithConsUnit'!X:X)+SUMIF('[2]8CollegeAct'!$B:$B,$B224,'[2]8CollegeAct'!X:X)+SUMIF(#REF!,$B224,#REF!)</f>
        <v>8554</v>
      </c>
      <c r="W224" s="154">
        <f ca="1">SUMIF('[2]7UnivActwithConsUnit'!$B:$B,$B224,'[2]7UnivActwithConsUnit'!Y:Y)+SUMIF('[2]8CollegeAct'!$B:$B,$B224,'[2]8CollegeAct'!Y:Y)+SUMIF(#REF!,$B224,#REF!)</f>
        <v>9336</v>
      </c>
      <c r="X224" s="154">
        <f ca="1">SUMIF('[2]7UnivActwithConsUnit'!$B:$B,$B224,'[2]7UnivActwithConsUnit'!Z:Z)+SUMIF('[2]8CollegeAct'!$B:$B,$B224,'[2]8CollegeAct'!Z:Z)+SUMIF(#REF!,$B224,#REF!)</f>
        <v>5595</v>
      </c>
      <c r="Y224" s="154">
        <f ca="1">SUMIF('[2]7UnivActwithConsUnit'!$B:$B,$B224,'[2]7UnivActwithConsUnit'!AA:AA)+SUMIF('[2]8CollegeAct'!$B:$B,$B224,'[2]8CollegeAct'!AA:AA)+SUMIF(#REF!,$B224,#REF!)</f>
        <v>14931</v>
      </c>
      <c r="Z224" s="155">
        <f t="shared" ref="Z224:AA224" ca="1" si="169">B224+E224+H224+K224+N224+Q224+T224+W224</f>
        <v>1069629</v>
      </c>
      <c r="AA224" s="155">
        <f t="shared" ca="1" si="169"/>
        <v>1091264</v>
      </c>
      <c r="AB224" s="155">
        <f t="shared" ref="AB224" ca="1" si="170">Z224+AA224</f>
        <v>2160893</v>
      </c>
    </row>
    <row r="225" spans="1:28">
      <c r="A225" s="541" t="s">
        <v>831</v>
      </c>
      <c r="B225" s="515">
        <v>7161</v>
      </c>
      <c r="C225" s="515">
        <v>4570</v>
      </c>
      <c r="D225" s="515">
        <v>11731</v>
      </c>
      <c r="E225" s="515">
        <v>959</v>
      </c>
      <c r="F225" s="515">
        <v>803</v>
      </c>
      <c r="G225" s="515">
        <v>1762</v>
      </c>
      <c r="H225" s="515">
        <v>66871</v>
      </c>
      <c r="I225" s="515">
        <v>94793</v>
      </c>
      <c r="J225" s="515">
        <v>161664</v>
      </c>
      <c r="K225" s="549">
        <v>851156</v>
      </c>
      <c r="L225" s="515">
        <v>874504</v>
      </c>
      <c r="M225" s="515">
        <v>1725660</v>
      </c>
      <c r="N225" s="515">
        <v>3120</v>
      </c>
      <c r="O225" s="515">
        <v>2437</v>
      </c>
      <c r="P225" s="515">
        <v>5557</v>
      </c>
      <c r="Q225" s="515">
        <v>113292</v>
      </c>
      <c r="R225" s="515">
        <v>55408</v>
      </c>
      <c r="S225" s="515">
        <v>168700</v>
      </c>
      <c r="T225" s="549">
        <v>4808</v>
      </c>
      <c r="U225" s="515">
        <v>3628</v>
      </c>
      <c r="V225" s="515">
        <v>8436</v>
      </c>
      <c r="W225" s="515">
        <v>9144</v>
      </c>
      <c r="X225" s="515">
        <v>4756</v>
      </c>
      <c r="Y225" s="515">
        <v>13900</v>
      </c>
      <c r="Z225" s="515">
        <v>1056511</v>
      </c>
      <c r="AA225" s="515">
        <v>1040899</v>
      </c>
      <c r="AB225" s="515">
        <v>2097410</v>
      </c>
    </row>
    <row r="226" spans="1:28">
      <c r="A226" s="541" t="s">
        <v>830</v>
      </c>
      <c r="B226" s="543">
        <v>4690</v>
      </c>
      <c r="C226" s="543">
        <v>2255</v>
      </c>
      <c r="D226" s="543">
        <v>6945</v>
      </c>
      <c r="E226" s="543">
        <v>952</v>
      </c>
      <c r="F226" s="543">
        <v>724</v>
      </c>
      <c r="G226" s="543">
        <v>1676</v>
      </c>
      <c r="H226" s="543">
        <v>96056</v>
      </c>
      <c r="I226" s="543">
        <v>91414</v>
      </c>
      <c r="J226" s="543">
        <v>187470</v>
      </c>
      <c r="K226" s="714">
        <v>842222</v>
      </c>
      <c r="L226" s="543">
        <v>824266</v>
      </c>
      <c r="M226" s="543">
        <v>1666488</v>
      </c>
      <c r="N226" s="543">
        <v>3979</v>
      </c>
      <c r="O226" s="543">
        <v>2626</v>
      </c>
      <c r="P226" s="543">
        <v>6605</v>
      </c>
      <c r="Q226" s="543">
        <v>101570</v>
      </c>
      <c r="R226" s="543">
        <v>46965</v>
      </c>
      <c r="S226" s="543">
        <v>148535</v>
      </c>
      <c r="T226" s="714">
        <v>4962</v>
      </c>
      <c r="U226" s="543">
        <v>3086</v>
      </c>
      <c r="V226" s="543">
        <v>8048</v>
      </c>
      <c r="W226" s="543">
        <v>7089</v>
      </c>
      <c r="X226" s="543">
        <v>3125</v>
      </c>
      <c r="Y226" s="543">
        <v>10214</v>
      </c>
      <c r="Z226" s="200">
        <f t="shared" ref="Z226:AB226" si="171">B226+E226+H226+K226+N226+Q226+T226+W226</f>
        <v>1061520</v>
      </c>
      <c r="AA226" s="200">
        <f t="shared" si="171"/>
        <v>974461</v>
      </c>
      <c r="AB226" s="200">
        <f t="shared" si="171"/>
        <v>2035981</v>
      </c>
    </row>
    <row r="227" spans="1:28">
      <c r="A227" s="541" t="s">
        <v>829</v>
      </c>
      <c r="B227" s="544">
        <v>4338</v>
      </c>
      <c r="C227" s="544">
        <v>2024</v>
      </c>
      <c r="D227" s="265">
        <v>6362</v>
      </c>
      <c r="E227" s="544">
        <v>1049</v>
      </c>
      <c r="F227" s="544">
        <v>753</v>
      </c>
      <c r="G227" s="265">
        <v>1802</v>
      </c>
      <c r="H227" s="544">
        <v>74481</v>
      </c>
      <c r="I227" s="544">
        <v>98192</v>
      </c>
      <c r="J227" s="265">
        <v>172673</v>
      </c>
      <c r="K227" s="716">
        <v>880701</v>
      </c>
      <c r="L227" s="544">
        <v>812747</v>
      </c>
      <c r="M227" s="265">
        <v>1693448</v>
      </c>
      <c r="N227" s="544">
        <v>3851</v>
      </c>
      <c r="O227" s="544">
        <v>2012</v>
      </c>
      <c r="P227" s="265">
        <v>5863</v>
      </c>
      <c r="Q227" s="544">
        <v>88551</v>
      </c>
      <c r="R227" s="544">
        <v>32100</v>
      </c>
      <c r="S227" s="265">
        <v>120651</v>
      </c>
      <c r="T227" s="716">
        <v>3425</v>
      </c>
      <c r="U227" s="544">
        <v>2298</v>
      </c>
      <c r="V227" s="265">
        <v>5723</v>
      </c>
      <c r="W227" s="544">
        <v>6792</v>
      </c>
      <c r="X227" s="544">
        <v>2682</v>
      </c>
      <c r="Y227" s="265">
        <v>9474</v>
      </c>
      <c r="Z227" s="265">
        <v>1063188</v>
      </c>
      <c r="AA227" s="265">
        <v>952808</v>
      </c>
      <c r="AB227" s="265">
        <f t="shared" ref="AB227" si="172">SUM(Z227+AA227)</f>
        <v>2015996</v>
      </c>
    </row>
    <row r="228" spans="1:28">
      <c r="A228" s="514" t="s">
        <v>828</v>
      </c>
      <c r="B228" s="515">
        <v>3973</v>
      </c>
      <c r="C228" s="515">
        <v>1945</v>
      </c>
      <c r="D228" s="515">
        <v>5918</v>
      </c>
      <c r="E228" s="515">
        <v>800</v>
      </c>
      <c r="F228" s="515">
        <v>619</v>
      </c>
      <c r="G228" s="515">
        <v>1419</v>
      </c>
      <c r="H228" s="515">
        <v>84144</v>
      </c>
      <c r="I228" s="515">
        <v>103027</v>
      </c>
      <c r="J228" s="515">
        <v>187171</v>
      </c>
      <c r="K228" s="549">
        <v>856479</v>
      </c>
      <c r="L228" s="515">
        <v>751371</v>
      </c>
      <c r="M228" s="515">
        <v>1607850</v>
      </c>
      <c r="N228" s="515">
        <v>2149</v>
      </c>
      <c r="O228" s="515">
        <v>1268</v>
      </c>
      <c r="P228" s="515">
        <v>3417</v>
      </c>
      <c r="Q228" s="515">
        <v>76379</v>
      </c>
      <c r="R228" s="515">
        <v>27845</v>
      </c>
      <c r="S228" s="515">
        <v>104224</v>
      </c>
      <c r="T228" s="549">
        <v>3826</v>
      </c>
      <c r="U228" s="515">
        <v>3930</v>
      </c>
      <c r="V228" s="515">
        <v>7756</v>
      </c>
      <c r="W228" s="515">
        <v>6364</v>
      </c>
      <c r="X228" s="515">
        <v>2381</v>
      </c>
      <c r="Y228" s="515">
        <v>8745</v>
      </c>
      <c r="Z228" s="515">
        <f t="shared" ref="Z228:AB228" si="173">B228+E228+H228+K228+N228+Q228+T228+W228</f>
        <v>1034114</v>
      </c>
      <c r="AA228" s="515">
        <f t="shared" si="173"/>
        <v>892386</v>
      </c>
      <c r="AB228" s="515">
        <f t="shared" si="173"/>
        <v>1926500</v>
      </c>
    </row>
  </sheetData>
  <mergeCells count="10">
    <mergeCell ref="Q2:S2"/>
    <mergeCell ref="T2:V2"/>
    <mergeCell ref="W2:Y2"/>
    <mergeCell ref="Z2:AB2"/>
    <mergeCell ref="A2:A3"/>
    <mergeCell ref="B2:D2"/>
    <mergeCell ref="E2:G2"/>
    <mergeCell ref="H2:J2"/>
    <mergeCell ref="K2:M2"/>
    <mergeCell ref="N2:P2"/>
  </mergeCells>
  <printOptions horizontalCentered="1"/>
  <pageMargins left="0.39370078740157483" right="0.39370078740157483" top="0.39370078740157483" bottom="0.39370078740157483" header="0.27559055118110237" footer="0.23622047244094491"/>
  <pageSetup paperSize="9" scale="79" firstPageNumber="2" pageOrder="overThenDown" orientation="portrait" useFirstPageNumber="1" r:id="rId1"/>
  <headerFooter alignWithMargins="0">
    <oddFooter>&amp;L     AISHE 2019-20&amp;CT-43</oddFooter>
  </headerFooter>
  <rowBreaks count="3" manualBreakCount="3">
    <brk id="64" max="16383" man="1"/>
    <brk id="126" max="16383" man="1"/>
    <brk id="186" max="16383" man="1"/>
  </rowBreaks>
  <colBreaks count="2" manualBreakCount="2">
    <brk id="10" max="1048575" man="1"/>
    <brk id="19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7030A0"/>
  </sheetPr>
  <dimension ref="A1:AB228"/>
  <sheetViews>
    <sheetView showZeros="0" view="pageBreakPreview" zoomScale="90" zoomScaleSheetLayoutView="90" workbookViewId="0">
      <pane xSplit="1" ySplit="3" topLeftCell="S205" activePane="bottomRight" state="frozen"/>
      <selection activeCell="A20" sqref="A20"/>
      <selection pane="topRight" activeCell="A20" sqref="A20"/>
      <selection pane="bottomLeft" activeCell="A20" sqref="A20"/>
      <selection pane="bottomRight" activeCell="AB78" sqref="AB78"/>
    </sheetView>
  </sheetViews>
  <sheetFormatPr defaultColWidth="9.140625" defaultRowHeight="14.25"/>
  <cols>
    <col min="1" max="1" width="31" style="497" customWidth="1"/>
    <col min="2" max="28" width="10.7109375" style="497" customWidth="1"/>
    <col min="29" max="29" width="16.5703125" style="497" customWidth="1"/>
    <col min="30" max="31" width="9" style="497" bestFit="1" customWidth="1"/>
    <col min="32" max="32" width="19.28515625" style="497" customWidth="1"/>
    <col min="33" max="33" width="9" style="497" customWidth="1"/>
    <col min="34" max="34" width="11.7109375" style="497" customWidth="1"/>
    <col min="35" max="35" width="10.7109375" style="497" customWidth="1"/>
    <col min="36" max="16384" width="9.140625" style="497"/>
  </cols>
  <sheetData>
    <row r="1" spans="1:28" s="504" customFormat="1" ht="18.600000000000001" customHeight="1">
      <c r="A1" s="553" t="s">
        <v>839</v>
      </c>
      <c r="B1" s="554" t="s">
        <v>878</v>
      </c>
      <c r="C1" s="555"/>
      <c r="D1" s="555"/>
      <c r="E1" s="555"/>
      <c r="F1" s="555"/>
      <c r="G1" s="555"/>
      <c r="H1" s="555"/>
      <c r="I1" s="555"/>
      <c r="J1" s="555"/>
      <c r="K1" s="524" t="str">
        <f>B1</f>
        <v>Student Enrolment at various levels through Regular mode during last 5 years</v>
      </c>
      <c r="L1" s="556"/>
      <c r="M1" s="556"/>
      <c r="N1" s="556"/>
      <c r="O1" s="556"/>
      <c r="P1" s="556"/>
      <c r="Q1" s="556"/>
      <c r="R1" s="556"/>
      <c r="S1" s="556"/>
      <c r="T1" s="524" t="str">
        <f>K1</f>
        <v>Student Enrolment at various levels through Regular mode during last 5 years</v>
      </c>
      <c r="U1" s="556"/>
      <c r="V1" s="556"/>
      <c r="W1" s="556"/>
      <c r="X1" s="556"/>
      <c r="Y1" s="556"/>
      <c r="Z1" s="556"/>
      <c r="AA1" s="556"/>
      <c r="AB1" s="556"/>
    </row>
    <row r="2" spans="1:28" s="557" customFormat="1" ht="14.45" customHeight="1">
      <c r="A2" s="990" t="s">
        <v>713</v>
      </c>
      <c r="B2" s="988" t="s">
        <v>89</v>
      </c>
      <c r="C2" s="989"/>
      <c r="D2" s="989"/>
      <c r="E2" s="988" t="s">
        <v>90</v>
      </c>
      <c r="F2" s="989"/>
      <c r="G2" s="989"/>
      <c r="H2" s="988" t="s">
        <v>85</v>
      </c>
      <c r="I2" s="989"/>
      <c r="J2" s="989"/>
      <c r="K2" s="988" t="s">
        <v>86</v>
      </c>
      <c r="L2" s="989"/>
      <c r="M2" s="989"/>
      <c r="N2" s="988" t="s">
        <v>91</v>
      </c>
      <c r="O2" s="989"/>
      <c r="P2" s="989"/>
      <c r="Q2" s="988" t="s">
        <v>92</v>
      </c>
      <c r="R2" s="989"/>
      <c r="S2" s="989"/>
      <c r="T2" s="988" t="s">
        <v>93</v>
      </c>
      <c r="U2" s="989"/>
      <c r="V2" s="989"/>
      <c r="W2" s="988" t="s">
        <v>94</v>
      </c>
      <c r="X2" s="989"/>
      <c r="Y2" s="989"/>
      <c r="Z2" s="988" t="s">
        <v>60</v>
      </c>
      <c r="AA2" s="989"/>
      <c r="AB2" s="989"/>
    </row>
    <row r="3" spans="1:28" s="557" customFormat="1" ht="18" customHeight="1">
      <c r="A3" s="990"/>
      <c r="B3" s="533" t="s">
        <v>87</v>
      </c>
      <c r="C3" s="533" t="s">
        <v>88</v>
      </c>
      <c r="D3" s="533" t="s">
        <v>714</v>
      </c>
      <c r="E3" s="533" t="s">
        <v>87</v>
      </c>
      <c r="F3" s="533" t="s">
        <v>88</v>
      </c>
      <c r="G3" s="533" t="s">
        <v>714</v>
      </c>
      <c r="H3" s="533" t="s">
        <v>87</v>
      </c>
      <c r="I3" s="533" t="s">
        <v>88</v>
      </c>
      <c r="J3" s="533" t="s">
        <v>714</v>
      </c>
      <c r="K3" s="533" t="s">
        <v>87</v>
      </c>
      <c r="L3" s="533" t="s">
        <v>88</v>
      </c>
      <c r="M3" s="533" t="s">
        <v>714</v>
      </c>
      <c r="N3" s="533" t="s">
        <v>87</v>
      </c>
      <c r="O3" s="533" t="s">
        <v>88</v>
      </c>
      <c r="P3" s="533" t="s">
        <v>714</v>
      </c>
      <c r="Q3" s="533" t="s">
        <v>87</v>
      </c>
      <c r="R3" s="533" t="s">
        <v>88</v>
      </c>
      <c r="S3" s="533" t="s">
        <v>714</v>
      </c>
      <c r="T3" s="533" t="s">
        <v>87</v>
      </c>
      <c r="U3" s="533" t="s">
        <v>88</v>
      </c>
      <c r="V3" s="533" t="s">
        <v>714</v>
      </c>
      <c r="W3" s="533" t="s">
        <v>87</v>
      </c>
      <c r="X3" s="533" t="s">
        <v>88</v>
      </c>
      <c r="Y3" s="533" t="s">
        <v>714</v>
      </c>
      <c r="Z3" s="533" t="s">
        <v>87</v>
      </c>
      <c r="AA3" s="533" t="s">
        <v>88</v>
      </c>
      <c r="AB3" s="533" t="s">
        <v>714</v>
      </c>
    </row>
    <row r="4" spans="1:28" s="557" customFormat="1">
      <c r="A4" s="558">
        <v>1</v>
      </c>
      <c r="B4" s="500">
        <v>2</v>
      </c>
      <c r="C4" s="500">
        <v>3</v>
      </c>
      <c r="D4" s="558">
        <v>4</v>
      </c>
      <c r="E4" s="500">
        <v>5</v>
      </c>
      <c r="F4" s="500">
        <v>6</v>
      </c>
      <c r="G4" s="558">
        <v>7</v>
      </c>
      <c r="H4" s="500">
        <v>8</v>
      </c>
      <c r="I4" s="500">
        <v>9</v>
      </c>
      <c r="J4" s="558">
        <v>10</v>
      </c>
      <c r="K4" s="500">
        <v>11</v>
      </c>
      <c r="L4" s="500">
        <v>12</v>
      </c>
      <c r="M4" s="558">
        <v>13</v>
      </c>
      <c r="N4" s="500">
        <v>14</v>
      </c>
      <c r="O4" s="500">
        <v>15</v>
      </c>
      <c r="P4" s="558">
        <v>16</v>
      </c>
      <c r="Q4" s="500">
        <v>17</v>
      </c>
      <c r="R4" s="500">
        <v>18</v>
      </c>
      <c r="S4" s="558">
        <v>19</v>
      </c>
      <c r="T4" s="500">
        <v>20</v>
      </c>
      <c r="U4" s="500">
        <v>21</v>
      </c>
      <c r="V4" s="558">
        <v>22</v>
      </c>
      <c r="W4" s="500">
        <v>23</v>
      </c>
      <c r="X4" s="500">
        <v>24</v>
      </c>
      <c r="Y4" s="558">
        <v>25</v>
      </c>
      <c r="Z4" s="500">
        <v>26</v>
      </c>
      <c r="AA4" s="500">
        <v>27</v>
      </c>
      <c r="AB4" s="558">
        <v>28</v>
      </c>
    </row>
    <row r="5" spans="1:28" ht="15">
      <c r="A5" s="537" t="s">
        <v>833</v>
      </c>
      <c r="B5" s="538"/>
      <c r="C5" s="539"/>
      <c r="D5" s="539"/>
      <c r="E5" s="539"/>
      <c r="F5" s="539"/>
      <c r="G5" s="539"/>
      <c r="H5" s="539"/>
      <c r="I5" s="539"/>
      <c r="J5" s="540"/>
      <c r="K5" s="538"/>
      <c r="L5" s="539"/>
      <c r="M5" s="539"/>
      <c r="N5" s="539"/>
      <c r="O5" s="539"/>
      <c r="P5" s="539"/>
      <c r="Q5" s="539"/>
      <c r="R5" s="539"/>
      <c r="S5" s="540"/>
      <c r="T5" s="538"/>
      <c r="U5" s="539"/>
      <c r="V5" s="539"/>
      <c r="W5" s="539"/>
      <c r="X5" s="539"/>
      <c r="Y5" s="539"/>
      <c r="Z5" s="539"/>
      <c r="AA5" s="539"/>
      <c r="AB5" s="539"/>
    </row>
    <row r="6" spans="1:28">
      <c r="A6" s="541" t="s">
        <v>832</v>
      </c>
      <c r="B6" s="120">
        <v>111400</v>
      </c>
      <c r="C6" s="120">
        <v>91049</v>
      </c>
      <c r="D6" s="120">
        <v>202449</v>
      </c>
      <c r="E6" s="120">
        <v>9010</v>
      </c>
      <c r="F6" s="120">
        <v>14855</v>
      </c>
      <c r="G6" s="120">
        <v>23865</v>
      </c>
      <c r="H6" s="120">
        <v>1355452</v>
      </c>
      <c r="I6" s="120">
        <v>1835637</v>
      </c>
      <c r="J6" s="120">
        <v>3191089</v>
      </c>
      <c r="K6" s="120">
        <v>13817639</v>
      </c>
      <c r="L6" s="120">
        <v>13911801</v>
      </c>
      <c r="M6" s="120">
        <v>27729440</v>
      </c>
      <c r="N6" s="120">
        <v>65483</v>
      </c>
      <c r="O6" s="120">
        <v>62800</v>
      </c>
      <c r="P6" s="120">
        <v>128283</v>
      </c>
      <c r="Q6" s="120">
        <v>1681882</v>
      </c>
      <c r="R6" s="120">
        <v>870620</v>
      </c>
      <c r="S6" s="120">
        <v>2552502</v>
      </c>
      <c r="T6" s="120">
        <v>55369</v>
      </c>
      <c r="U6" s="120">
        <v>69754</v>
      </c>
      <c r="V6" s="120">
        <v>125123</v>
      </c>
      <c r="W6" s="120">
        <v>167938</v>
      </c>
      <c r="X6" s="120">
        <v>128748</v>
      </c>
      <c r="Y6" s="120">
        <v>296686</v>
      </c>
      <c r="Z6" s="120">
        <v>17264173</v>
      </c>
      <c r="AA6" s="120">
        <v>16985264</v>
      </c>
      <c r="AB6" s="120">
        <v>34249437</v>
      </c>
    </row>
    <row r="7" spans="1:28">
      <c r="A7" s="541" t="s">
        <v>831</v>
      </c>
      <c r="B7" s="515">
        <v>95015</v>
      </c>
      <c r="C7" s="515">
        <v>74102</v>
      </c>
      <c r="D7" s="515">
        <v>169117</v>
      </c>
      <c r="E7" s="515">
        <v>11623</v>
      </c>
      <c r="F7" s="515">
        <v>19069</v>
      </c>
      <c r="G7" s="515">
        <v>30692</v>
      </c>
      <c r="H7" s="515">
        <v>1306690</v>
      </c>
      <c r="I7" s="515">
        <v>1736745</v>
      </c>
      <c r="J7" s="515">
        <v>3043435</v>
      </c>
      <c r="K7" s="515">
        <v>13586745</v>
      </c>
      <c r="L7" s="515">
        <v>13542118</v>
      </c>
      <c r="M7" s="515">
        <v>27128863</v>
      </c>
      <c r="N7" s="515">
        <v>64495</v>
      </c>
      <c r="O7" s="515">
        <v>60825</v>
      </c>
      <c r="P7" s="515">
        <v>125320</v>
      </c>
      <c r="Q7" s="515">
        <v>1732260</v>
      </c>
      <c r="R7" s="515">
        <v>836941</v>
      </c>
      <c r="S7" s="515">
        <v>2569201</v>
      </c>
      <c r="T7" s="515">
        <v>55074</v>
      </c>
      <c r="U7" s="515">
        <v>64805</v>
      </c>
      <c r="V7" s="515">
        <v>119879</v>
      </c>
      <c r="W7" s="515">
        <v>138422</v>
      </c>
      <c r="X7" s="515">
        <v>102391</v>
      </c>
      <c r="Y7" s="515">
        <v>240813</v>
      </c>
      <c r="Z7" s="515">
        <v>16990324</v>
      </c>
      <c r="AA7" s="515">
        <v>16436996</v>
      </c>
      <c r="AB7" s="515">
        <v>33427320</v>
      </c>
    </row>
    <row r="8" spans="1:28">
      <c r="A8" s="541" t="s">
        <v>830</v>
      </c>
      <c r="B8" s="209">
        <v>92570</v>
      </c>
      <c r="C8" s="209">
        <v>68842</v>
      </c>
      <c r="D8" s="209">
        <v>161412</v>
      </c>
      <c r="E8" s="209">
        <v>12287</v>
      </c>
      <c r="F8" s="209">
        <v>21822</v>
      </c>
      <c r="G8" s="209">
        <v>34109</v>
      </c>
      <c r="H8" s="200">
        <v>1278164.7673861892</v>
      </c>
      <c r="I8" s="200">
        <v>1657638.0743189431</v>
      </c>
      <c r="J8" s="200">
        <v>2935802.8417051323</v>
      </c>
      <c r="K8" s="209">
        <v>13484766.146459209</v>
      </c>
      <c r="L8" s="209">
        <v>12977172.595048957</v>
      </c>
      <c r="M8" s="209">
        <v>26461938.741508167</v>
      </c>
      <c r="N8" s="209">
        <v>75195</v>
      </c>
      <c r="O8" s="209">
        <v>69989</v>
      </c>
      <c r="P8" s="209">
        <v>145184</v>
      </c>
      <c r="Q8" s="209">
        <v>1765994</v>
      </c>
      <c r="R8" s="209">
        <v>819196</v>
      </c>
      <c r="S8" s="209">
        <v>2585190</v>
      </c>
      <c r="T8" s="209">
        <v>40649</v>
      </c>
      <c r="U8" s="209">
        <v>50972</v>
      </c>
      <c r="V8" s="209">
        <v>91621</v>
      </c>
      <c r="W8" s="209">
        <v>114233</v>
      </c>
      <c r="X8" s="209">
        <v>81293</v>
      </c>
      <c r="Y8" s="209">
        <v>195526</v>
      </c>
      <c r="Z8" s="200">
        <v>16863858.913845398</v>
      </c>
      <c r="AA8" s="200">
        <v>15746924.669367902</v>
      </c>
      <c r="AB8" s="200">
        <v>32610783.583213303</v>
      </c>
    </row>
    <row r="9" spans="1:28">
      <c r="A9" s="541" t="s">
        <v>829</v>
      </c>
      <c r="B9" s="515">
        <v>81795</v>
      </c>
      <c r="C9" s="515">
        <v>59242</v>
      </c>
      <c r="D9" s="515">
        <v>141037</v>
      </c>
      <c r="E9" s="515">
        <v>16464</v>
      </c>
      <c r="F9" s="515">
        <v>26803</v>
      </c>
      <c r="G9" s="515">
        <v>43267</v>
      </c>
      <c r="H9" s="515">
        <v>1266377</v>
      </c>
      <c r="I9" s="515">
        <v>1542745</v>
      </c>
      <c r="J9" s="515">
        <v>2809122</v>
      </c>
      <c r="K9" s="515">
        <v>13383665</v>
      </c>
      <c r="L9" s="515">
        <v>12307907</v>
      </c>
      <c r="M9" s="515">
        <v>25691572</v>
      </c>
      <c r="N9" s="515">
        <v>72222</v>
      </c>
      <c r="O9" s="515">
        <v>63047</v>
      </c>
      <c r="P9" s="515">
        <v>135269</v>
      </c>
      <c r="Q9" s="515">
        <v>1758429</v>
      </c>
      <c r="R9" s="515">
        <v>754664</v>
      </c>
      <c r="S9" s="515">
        <v>2513093</v>
      </c>
      <c r="T9" s="515">
        <v>49518</v>
      </c>
      <c r="U9" s="515">
        <v>59531</v>
      </c>
      <c r="V9" s="515">
        <v>109049</v>
      </c>
      <c r="W9" s="515">
        <v>102267</v>
      </c>
      <c r="X9" s="515">
        <v>71448</v>
      </c>
      <c r="Y9" s="515">
        <v>173715</v>
      </c>
      <c r="Z9" s="515">
        <v>16730737</v>
      </c>
      <c r="AA9" s="515">
        <v>14885387</v>
      </c>
      <c r="AB9" s="515">
        <v>31616124</v>
      </c>
    </row>
    <row r="10" spans="1:28" ht="18.600000000000001" customHeight="1">
      <c r="A10" s="541" t="s">
        <v>828</v>
      </c>
      <c r="B10" s="527">
        <v>74460</v>
      </c>
      <c r="C10" s="527">
        <v>51855</v>
      </c>
      <c r="D10" s="527">
        <v>126315</v>
      </c>
      <c r="E10" s="527">
        <v>17473</v>
      </c>
      <c r="F10" s="527">
        <v>25050</v>
      </c>
      <c r="G10" s="527">
        <v>42523</v>
      </c>
      <c r="H10" s="527">
        <v>1307917</v>
      </c>
      <c r="I10" s="527">
        <v>1500877</v>
      </c>
      <c r="J10" s="527">
        <v>2808794</v>
      </c>
      <c r="K10" s="527">
        <v>13189895</v>
      </c>
      <c r="L10" s="527">
        <v>11731165</v>
      </c>
      <c r="M10" s="527">
        <v>24921060</v>
      </c>
      <c r="N10" s="527">
        <v>82009</v>
      </c>
      <c r="O10" s="527">
        <v>78915</v>
      </c>
      <c r="P10" s="527">
        <v>160924</v>
      </c>
      <c r="Q10" s="527">
        <v>1729160</v>
      </c>
      <c r="R10" s="527">
        <v>715772</v>
      </c>
      <c r="S10" s="527">
        <v>2444932</v>
      </c>
      <c r="T10" s="527">
        <v>45910</v>
      </c>
      <c r="U10" s="527">
        <v>54001</v>
      </c>
      <c r="V10" s="527">
        <v>99911</v>
      </c>
      <c r="W10" s="527">
        <v>92645</v>
      </c>
      <c r="X10" s="527">
        <v>62776</v>
      </c>
      <c r="Y10" s="527">
        <v>155421</v>
      </c>
      <c r="Z10" s="527">
        <f t="shared" ref="Z10:AB10" si="0">B10+E10+H10+K10+N10+Q10+T10+W10</f>
        <v>16539469</v>
      </c>
      <c r="AA10" s="527">
        <f t="shared" si="0"/>
        <v>14220411</v>
      </c>
      <c r="AB10" s="527">
        <f t="shared" si="0"/>
        <v>30759880</v>
      </c>
    </row>
    <row r="11" spans="1:28" ht="15">
      <c r="A11" s="537" t="s">
        <v>154</v>
      </c>
      <c r="B11" s="538"/>
      <c r="C11" s="539"/>
      <c r="D11" s="539"/>
      <c r="E11" s="539"/>
      <c r="F11" s="539"/>
      <c r="G11" s="539"/>
      <c r="H11" s="539"/>
      <c r="I11" s="539"/>
      <c r="J11" s="540"/>
      <c r="K11" s="538"/>
      <c r="L11" s="539"/>
      <c r="M11" s="539"/>
      <c r="N11" s="539"/>
      <c r="O11" s="539"/>
      <c r="P11" s="539"/>
      <c r="Q11" s="539"/>
      <c r="R11" s="539"/>
      <c r="S11" s="540"/>
      <c r="T11" s="538"/>
      <c r="U11" s="539"/>
      <c r="V11" s="539"/>
      <c r="W11" s="539"/>
      <c r="X11" s="539"/>
      <c r="Y11" s="539"/>
      <c r="Z11" s="539"/>
      <c r="AA11" s="539"/>
      <c r="AB11" s="539"/>
    </row>
    <row r="12" spans="1:28">
      <c r="A12" s="541" t="s">
        <v>832</v>
      </c>
      <c r="B12" s="154">
        <v>5</v>
      </c>
      <c r="C12" s="154">
        <v>9</v>
      </c>
      <c r="D12" s="154">
        <v>14</v>
      </c>
      <c r="E12" s="154">
        <v>0</v>
      </c>
      <c r="F12" s="154">
        <v>0</v>
      </c>
      <c r="G12" s="154">
        <v>0</v>
      </c>
      <c r="H12" s="154">
        <v>69</v>
      </c>
      <c r="I12" s="154">
        <v>283</v>
      </c>
      <c r="J12" s="154">
        <v>352</v>
      </c>
      <c r="K12" s="154">
        <v>1933</v>
      </c>
      <c r="L12" s="154">
        <v>2757</v>
      </c>
      <c r="M12" s="154">
        <v>4690</v>
      </c>
      <c r="N12" s="154">
        <v>0</v>
      </c>
      <c r="O12" s="154">
        <v>0</v>
      </c>
      <c r="P12" s="154">
        <v>0</v>
      </c>
      <c r="Q12" s="154">
        <v>293</v>
      </c>
      <c r="R12" s="154">
        <v>231</v>
      </c>
      <c r="S12" s="154">
        <v>524</v>
      </c>
      <c r="T12" s="154">
        <v>46</v>
      </c>
      <c r="U12" s="154">
        <v>36</v>
      </c>
      <c r="V12" s="154">
        <v>82</v>
      </c>
      <c r="W12" s="154">
        <v>145</v>
      </c>
      <c r="X12" s="154">
        <v>224</v>
      </c>
      <c r="Y12" s="154">
        <v>369</v>
      </c>
      <c r="Z12" s="154">
        <v>2491</v>
      </c>
      <c r="AA12" s="154">
        <v>3540</v>
      </c>
      <c r="AB12" s="154">
        <v>6031</v>
      </c>
    </row>
    <row r="13" spans="1:28">
      <c r="A13" s="541" t="s">
        <v>831</v>
      </c>
      <c r="B13" s="515">
        <v>44</v>
      </c>
      <c r="C13" s="515">
        <v>23</v>
      </c>
      <c r="D13" s="515">
        <v>67</v>
      </c>
      <c r="E13" s="515">
        <v>0</v>
      </c>
      <c r="F13" s="515">
        <v>0</v>
      </c>
      <c r="G13" s="515">
        <v>0</v>
      </c>
      <c r="H13" s="515">
        <v>133</v>
      </c>
      <c r="I13" s="515">
        <v>322</v>
      </c>
      <c r="J13" s="515">
        <v>455</v>
      </c>
      <c r="K13" s="515">
        <v>2322</v>
      </c>
      <c r="L13" s="515">
        <v>3573</v>
      </c>
      <c r="M13" s="515">
        <v>5895</v>
      </c>
      <c r="N13" s="515">
        <v>0</v>
      </c>
      <c r="O13" s="515">
        <v>0</v>
      </c>
      <c r="P13" s="515">
        <v>0</v>
      </c>
      <c r="Q13" s="515">
        <v>525</v>
      </c>
      <c r="R13" s="515">
        <v>325</v>
      </c>
      <c r="S13" s="515">
        <v>850</v>
      </c>
      <c r="T13" s="515">
        <v>0</v>
      </c>
      <c r="U13" s="515">
        <v>0</v>
      </c>
      <c r="V13" s="515">
        <v>0</v>
      </c>
      <c r="W13" s="515">
        <v>46</v>
      </c>
      <c r="X13" s="515">
        <v>142</v>
      </c>
      <c r="Y13" s="515">
        <v>188</v>
      </c>
      <c r="Z13" s="515">
        <v>3070</v>
      </c>
      <c r="AA13" s="515">
        <v>4385</v>
      </c>
      <c r="AB13" s="515">
        <v>7455</v>
      </c>
    </row>
    <row r="14" spans="1:28">
      <c r="A14" s="541" t="s">
        <v>830</v>
      </c>
      <c r="B14" s="545">
        <v>42</v>
      </c>
      <c r="C14" s="545">
        <v>26</v>
      </c>
      <c r="D14" s="559">
        <v>68</v>
      </c>
      <c r="E14" s="545">
        <v>0</v>
      </c>
      <c r="F14" s="545">
        <v>0</v>
      </c>
      <c r="G14" s="559">
        <v>0</v>
      </c>
      <c r="H14" s="545">
        <v>125</v>
      </c>
      <c r="I14" s="545">
        <v>313</v>
      </c>
      <c r="J14" s="559">
        <v>438</v>
      </c>
      <c r="K14" s="545">
        <v>2178</v>
      </c>
      <c r="L14" s="545">
        <v>3145</v>
      </c>
      <c r="M14" s="559">
        <v>5323</v>
      </c>
      <c r="N14" s="545">
        <v>0</v>
      </c>
      <c r="O14" s="545">
        <v>0</v>
      </c>
      <c r="P14" s="559">
        <v>0</v>
      </c>
      <c r="Q14" s="545">
        <v>416</v>
      </c>
      <c r="R14" s="545">
        <v>257</v>
      </c>
      <c r="S14" s="559">
        <v>673</v>
      </c>
      <c r="T14" s="545">
        <v>0</v>
      </c>
      <c r="U14" s="545">
        <v>0</v>
      </c>
      <c r="V14" s="559">
        <v>0</v>
      </c>
      <c r="W14" s="545">
        <v>26</v>
      </c>
      <c r="X14" s="545">
        <v>91</v>
      </c>
      <c r="Y14" s="559">
        <v>117</v>
      </c>
      <c r="Z14" s="209">
        <v>2787</v>
      </c>
      <c r="AA14" s="209">
        <v>3832</v>
      </c>
      <c r="AB14" s="559">
        <v>6619</v>
      </c>
    </row>
    <row r="15" spans="1:28">
      <c r="A15" s="541" t="s">
        <v>829</v>
      </c>
      <c r="B15" s="560">
        <v>64</v>
      </c>
      <c r="C15" s="560">
        <v>21</v>
      </c>
      <c r="D15" s="561">
        <v>85</v>
      </c>
      <c r="E15" s="560">
        <v>0</v>
      </c>
      <c r="F15" s="560">
        <v>0</v>
      </c>
      <c r="G15" s="561">
        <v>0</v>
      </c>
      <c r="H15" s="560">
        <v>130</v>
      </c>
      <c r="I15" s="560">
        <v>318</v>
      </c>
      <c r="J15" s="561">
        <v>448</v>
      </c>
      <c r="K15" s="560">
        <v>2165</v>
      </c>
      <c r="L15" s="560">
        <v>2974</v>
      </c>
      <c r="M15" s="561">
        <v>5139</v>
      </c>
      <c r="N15" s="560">
        <v>0</v>
      </c>
      <c r="O15" s="560">
        <v>0</v>
      </c>
      <c r="P15" s="561">
        <v>0</v>
      </c>
      <c r="Q15" s="560">
        <v>452</v>
      </c>
      <c r="R15" s="560">
        <v>238</v>
      </c>
      <c r="S15" s="561">
        <v>690</v>
      </c>
      <c r="T15" s="560">
        <v>0</v>
      </c>
      <c r="U15" s="560">
        <v>0</v>
      </c>
      <c r="V15" s="561">
        <v>0</v>
      </c>
      <c r="W15" s="560">
        <v>24</v>
      </c>
      <c r="X15" s="560">
        <v>91</v>
      </c>
      <c r="Y15" s="561">
        <v>115</v>
      </c>
      <c r="Z15" s="562">
        <v>2835</v>
      </c>
      <c r="AA15" s="562">
        <v>3642</v>
      </c>
      <c r="AB15" s="561">
        <f>Z15+AA15</f>
        <v>6477</v>
      </c>
    </row>
    <row r="16" spans="1:28">
      <c r="A16" s="514" t="s">
        <v>828</v>
      </c>
      <c r="B16" s="515">
        <v>69</v>
      </c>
      <c r="C16" s="515">
        <v>17</v>
      </c>
      <c r="D16" s="515">
        <v>86</v>
      </c>
      <c r="E16" s="515">
        <v>0</v>
      </c>
      <c r="F16" s="515">
        <v>0</v>
      </c>
      <c r="G16" s="515">
        <v>0</v>
      </c>
      <c r="H16" s="515">
        <v>122</v>
      </c>
      <c r="I16" s="515">
        <v>295</v>
      </c>
      <c r="J16" s="515">
        <v>417</v>
      </c>
      <c r="K16" s="515">
        <v>2209</v>
      </c>
      <c r="L16" s="515">
        <v>2759</v>
      </c>
      <c r="M16" s="515">
        <v>4968</v>
      </c>
      <c r="N16" s="515">
        <v>0</v>
      </c>
      <c r="O16" s="515">
        <v>0</v>
      </c>
      <c r="P16" s="515">
        <v>0</v>
      </c>
      <c r="Q16" s="515">
        <v>478</v>
      </c>
      <c r="R16" s="515">
        <v>291</v>
      </c>
      <c r="S16" s="515">
        <v>769</v>
      </c>
      <c r="T16" s="515">
        <v>0</v>
      </c>
      <c r="U16" s="515">
        <v>0</v>
      </c>
      <c r="V16" s="515">
        <v>0</v>
      </c>
      <c r="W16" s="515">
        <v>26</v>
      </c>
      <c r="X16" s="515">
        <v>83</v>
      </c>
      <c r="Y16" s="515">
        <v>109</v>
      </c>
      <c r="Z16" s="515">
        <f t="shared" ref="Z16:AB16" si="1">B16+E16+H16+K16+N16+Q16+T16+W16</f>
        <v>2904</v>
      </c>
      <c r="AA16" s="515">
        <f t="shared" si="1"/>
        <v>3445</v>
      </c>
      <c r="AB16" s="515">
        <f t="shared" si="1"/>
        <v>6349</v>
      </c>
    </row>
    <row r="17" spans="1:28" ht="15">
      <c r="A17" s="537" t="s">
        <v>15</v>
      </c>
      <c r="B17" s="538"/>
      <c r="C17" s="539"/>
      <c r="D17" s="539"/>
      <c r="E17" s="539"/>
      <c r="F17" s="539"/>
      <c r="G17" s="539"/>
      <c r="H17" s="539"/>
      <c r="I17" s="539"/>
      <c r="J17" s="540"/>
      <c r="K17" s="538"/>
      <c r="L17" s="539"/>
      <c r="M17" s="539"/>
      <c r="N17" s="539"/>
      <c r="O17" s="539"/>
      <c r="P17" s="539"/>
      <c r="Q17" s="539"/>
      <c r="R17" s="539"/>
      <c r="S17" s="540"/>
      <c r="T17" s="538"/>
      <c r="U17" s="539"/>
      <c r="V17" s="539"/>
      <c r="W17" s="539"/>
      <c r="X17" s="539"/>
      <c r="Y17" s="539"/>
      <c r="Z17" s="539"/>
      <c r="AA17" s="539"/>
      <c r="AB17" s="539"/>
    </row>
    <row r="18" spans="1:28">
      <c r="A18" s="541" t="s">
        <v>832</v>
      </c>
      <c r="B18" s="154">
        <v>3837</v>
      </c>
      <c r="C18" s="154">
        <v>2879</v>
      </c>
      <c r="D18" s="154">
        <v>6716</v>
      </c>
      <c r="E18" s="154">
        <v>175</v>
      </c>
      <c r="F18" s="154">
        <v>102</v>
      </c>
      <c r="G18" s="154">
        <v>277</v>
      </c>
      <c r="H18" s="154">
        <v>88923</v>
      </c>
      <c r="I18" s="154">
        <v>85176</v>
      </c>
      <c r="J18" s="154">
        <v>174099</v>
      </c>
      <c r="K18" s="154">
        <v>671286</v>
      </c>
      <c r="L18" s="154">
        <v>602648</v>
      </c>
      <c r="M18" s="154">
        <v>1273934</v>
      </c>
      <c r="N18" s="154">
        <v>792</v>
      </c>
      <c r="O18" s="154">
        <v>468</v>
      </c>
      <c r="P18" s="154">
        <v>1260</v>
      </c>
      <c r="Q18" s="154">
        <v>92704</v>
      </c>
      <c r="R18" s="154">
        <v>59683</v>
      </c>
      <c r="S18" s="154">
        <v>152387</v>
      </c>
      <c r="T18" s="154">
        <v>3921</v>
      </c>
      <c r="U18" s="154">
        <v>6903</v>
      </c>
      <c r="V18" s="154">
        <v>10824</v>
      </c>
      <c r="W18" s="154">
        <v>8650</v>
      </c>
      <c r="X18" s="154">
        <v>4362</v>
      </c>
      <c r="Y18" s="154">
        <v>13012</v>
      </c>
      <c r="Z18" s="154">
        <v>870288</v>
      </c>
      <c r="AA18" s="154">
        <v>762221</v>
      </c>
      <c r="AB18" s="154">
        <v>1632509</v>
      </c>
    </row>
    <row r="19" spans="1:28">
      <c r="A19" s="541" t="s">
        <v>831</v>
      </c>
      <c r="B19" s="515">
        <v>3054</v>
      </c>
      <c r="C19" s="515">
        <v>1927</v>
      </c>
      <c r="D19" s="515">
        <v>4981</v>
      </c>
      <c r="E19" s="515">
        <v>249</v>
      </c>
      <c r="F19" s="515">
        <v>182</v>
      </c>
      <c r="G19" s="515">
        <v>431</v>
      </c>
      <c r="H19" s="515">
        <v>93827</v>
      </c>
      <c r="I19" s="515">
        <v>82209</v>
      </c>
      <c r="J19" s="515">
        <v>176036</v>
      </c>
      <c r="K19" s="515">
        <v>653301</v>
      </c>
      <c r="L19" s="515">
        <v>567063</v>
      </c>
      <c r="M19" s="515">
        <v>1220364</v>
      </c>
      <c r="N19" s="515">
        <v>837</v>
      </c>
      <c r="O19" s="515">
        <v>498</v>
      </c>
      <c r="P19" s="515">
        <v>1335</v>
      </c>
      <c r="Q19" s="515">
        <v>97199</v>
      </c>
      <c r="R19" s="515">
        <v>63905</v>
      </c>
      <c r="S19" s="515">
        <v>161104</v>
      </c>
      <c r="T19" s="515">
        <v>327</v>
      </c>
      <c r="U19" s="515">
        <v>636</v>
      </c>
      <c r="V19" s="515">
        <v>963</v>
      </c>
      <c r="W19" s="515">
        <v>7389</v>
      </c>
      <c r="X19" s="515">
        <v>3578</v>
      </c>
      <c r="Y19" s="515">
        <v>10967</v>
      </c>
      <c r="Z19" s="515">
        <v>856183</v>
      </c>
      <c r="AA19" s="515">
        <v>719998</v>
      </c>
      <c r="AB19" s="515">
        <v>1576181</v>
      </c>
    </row>
    <row r="20" spans="1:28">
      <c r="A20" s="541" t="s">
        <v>830</v>
      </c>
      <c r="B20" s="545">
        <v>4007</v>
      </c>
      <c r="C20" s="545">
        <v>2282</v>
      </c>
      <c r="D20" s="559">
        <v>6289</v>
      </c>
      <c r="E20" s="545">
        <v>555</v>
      </c>
      <c r="F20" s="545">
        <v>342</v>
      </c>
      <c r="G20" s="559">
        <v>897</v>
      </c>
      <c r="H20" s="543">
        <v>103187.38457744679</v>
      </c>
      <c r="I20" s="543">
        <v>85390.577628071362</v>
      </c>
      <c r="J20" s="563">
        <v>188577.96220551815</v>
      </c>
      <c r="K20" s="543">
        <v>660999.13217008556</v>
      </c>
      <c r="L20" s="543">
        <v>549686.87024372909</v>
      </c>
      <c r="M20" s="559">
        <v>1210686.0024138147</v>
      </c>
      <c r="N20" s="545">
        <v>996</v>
      </c>
      <c r="O20" s="545">
        <v>533</v>
      </c>
      <c r="P20" s="559">
        <v>1529</v>
      </c>
      <c r="Q20" s="545">
        <v>100748</v>
      </c>
      <c r="R20" s="545">
        <v>66008</v>
      </c>
      <c r="S20" s="559">
        <v>166756</v>
      </c>
      <c r="T20" s="545">
        <v>258</v>
      </c>
      <c r="U20" s="545">
        <v>529</v>
      </c>
      <c r="V20" s="559">
        <v>787</v>
      </c>
      <c r="W20" s="545">
        <v>7132</v>
      </c>
      <c r="X20" s="545">
        <v>2900</v>
      </c>
      <c r="Y20" s="559">
        <v>10032</v>
      </c>
      <c r="Z20" s="200">
        <v>877882.51674753241</v>
      </c>
      <c r="AA20" s="200">
        <v>707671.44787180051</v>
      </c>
      <c r="AB20" s="563">
        <v>1585553.9646193329</v>
      </c>
    </row>
    <row r="21" spans="1:28">
      <c r="A21" s="541" t="s">
        <v>829</v>
      </c>
      <c r="B21" s="560">
        <v>2932</v>
      </c>
      <c r="C21" s="560">
        <v>1740</v>
      </c>
      <c r="D21" s="561">
        <v>4672</v>
      </c>
      <c r="E21" s="560">
        <v>790</v>
      </c>
      <c r="F21" s="560">
        <v>472</v>
      </c>
      <c r="G21" s="561">
        <v>1262</v>
      </c>
      <c r="H21" s="560">
        <v>104560</v>
      </c>
      <c r="I21" s="560">
        <v>81112</v>
      </c>
      <c r="J21" s="561">
        <v>185672</v>
      </c>
      <c r="K21" s="560">
        <v>625596</v>
      </c>
      <c r="L21" s="560">
        <v>503014</v>
      </c>
      <c r="M21" s="561">
        <v>1128610</v>
      </c>
      <c r="N21" s="560">
        <v>928</v>
      </c>
      <c r="O21" s="560">
        <v>494</v>
      </c>
      <c r="P21" s="561">
        <v>1422</v>
      </c>
      <c r="Q21" s="560">
        <v>98834</v>
      </c>
      <c r="R21" s="560">
        <v>64531</v>
      </c>
      <c r="S21" s="561">
        <v>163365</v>
      </c>
      <c r="T21" s="560">
        <v>142</v>
      </c>
      <c r="U21" s="560">
        <v>479</v>
      </c>
      <c r="V21" s="561">
        <v>621</v>
      </c>
      <c r="W21" s="560">
        <v>6378</v>
      </c>
      <c r="X21" s="560">
        <v>2536</v>
      </c>
      <c r="Y21" s="561">
        <v>8914</v>
      </c>
      <c r="Z21" s="562">
        <v>840160</v>
      </c>
      <c r="AA21" s="562">
        <v>654378</v>
      </c>
      <c r="AB21" s="561">
        <f t="shared" ref="AB21" si="2">Z21+AA21</f>
        <v>1494538</v>
      </c>
    </row>
    <row r="22" spans="1:28">
      <c r="A22" s="514" t="s">
        <v>828</v>
      </c>
      <c r="B22" s="515">
        <v>2089</v>
      </c>
      <c r="C22" s="515">
        <v>1017</v>
      </c>
      <c r="D22" s="515">
        <v>3106</v>
      </c>
      <c r="E22" s="515">
        <v>408</v>
      </c>
      <c r="F22" s="515">
        <v>220</v>
      </c>
      <c r="G22" s="515">
        <v>628</v>
      </c>
      <c r="H22" s="515">
        <v>106396</v>
      </c>
      <c r="I22" s="515">
        <v>74760</v>
      </c>
      <c r="J22" s="515">
        <v>181156</v>
      </c>
      <c r="K22" s="515">
        <v>610179</v>
      </c>
      <c r="L22" s="515">
        <v>471980</v>
      </c>
      <c r="M22" s="515">
        <v>1082159</v>
      </c>
      <c r="N22" s="515">
        <v>615</v>
      </c>
      <c r="O22" s="515">
        <v>460</v>
      </c>
      <c r="P22" s="515">
        <v>1075</v>
      </c>
      <c r="Q22" s="515">
        <v>74824</v>
      </c>
      <c r="R22" s="515">
        <v>56346</v>
      </c>
      <c r="S22" s="515">
        <v>131170</v>
      </c>
      <c r="T22" s="515">
        <v>242</v>
      </c>
      <c r="U22" s="515">
        <v>340</v>
      </c>
      <c r="V22" s="515">
        <v>582</v>
      </c>
      <c r="W22" s="515">
        <v>6520</v>
      </c>
      <c r="X22" s="515">
        <v>2385</v>
      </c>
      <c r="Y22" s="515">
        <v>8905</v>
      </c>
      <c r="Z22" s="515">
        <f t="shared" ref="Z22:AB22" si="3">B22+E22+H22+K22+N22+Q22+T22+W22</f>
        <v>801273</v>
      </c>
      <c r="AA22" s="515">
        <f t="shared" si="3"/>
        <v>607508</v>
      </c>
      <c r="AB22" s="515">
        <f t="shared" si="3"/>
        <v>1408781</v>
      </c>
    </row>
    <row r="23" spans="1:28" ht="15">
      <c r="A23" s="537" t="s">
        <v>16</v>
      </c>
      <c r="B23" s="538"/>
      <c r="C23" s="539"/>
      <c r="D23" s="539"/>
      <c r="E23" s="539"/>
      <c r="F23" s="539"/>
      <c r="G23" s="539"/>
      <c r="H23" s="539"/>
      <c r="I23" s="539"/>
      <c r="J23" s="540"/>
      <c r="K23" s="538"/>
      <c r="L23" s="539"/>
      <c r="M23" s="539"/>
      <c r="N23" s="539"/>
      <c r="O23" s="539"/>
      <c r="P23" s="539"/>
      <c r="Q23" s="539"/>
      <c r="R23" s="539"/>
      <c r="S23" s="540"/>
      <c r="T23" s="538"/>
      <c r="U23" s="539"/>
      <c r="V23" s="539"/>
      <c r="W23" s="539"/>
      <c r="X23" s="539"/>
      <c r="Y23" s="539"/>
      <c r="Z23" s="539"/>
      <c r="AA23" s="539"/>
      <c r="AB23" s="539"/>
    </row>
    <row r="24" spans="1:28">
      <c r="A24" s="541" t="s">
        <v>832</v>
      </c>
      <c r="B24" s="154">
        <v>565</v>
      </c>
      <c r="C24" s="154">
        <v>421</v>
      </c>
      <c r="D24" s="154">
        <v>986</v>
      </c>
      <c r="E24" s="154">
        <v>57</v>
      </c>
      <c r="F24" s="154">
        <v>88</v>
      </c>
      <c r="G24" s="154">
        <v>145</v>
      </c>
      <c r="H24" s="154">
        <v>2874</v>
      </c>
      <c r="I24" s="154">
        <v>2296</v>
      </c>
      <c r="J24" s="154">
        <v>5170</v>
      </c>
      <c r="K24" s="154">
        <v>16058</v>
      </c>
      <c r="L24" s="154">
        <v>13373</v>
      </c>
      <c r="M24" s="154">
        <v>29431</v>
      </c>
      <c r="N24" s="154">
        <v>59</v>
      </c>
      <c r="O24" s="154">
        <v>59</v>
      </c>
      <c r="P24" s="154">
        <v>118</v>
      </c>
      <c r="Q24" s="154">
        <v>1263</v>
      </c>
      <c r="R24" s="154">
        <v>583</v>
      </c>
      <c r="S24" s="154">
        <v>1846</v>
      </c>
      <c r="T24" s="154">
        <v>299</v>
      </c>
      <c r="U24" s="154">
        <v>119</v>
      </c>
      <c r="V24" s="154">
        <v>418</v>
      </c>
      <c r="W24" s="154">
        <v>1015</v>
      </c>
      <c r="X24" s="154">
        <v>628</v>
      </c>
      <c r="Y24" s="154">
        <v>1643</v>
      </c>
      <c r="Z24" s="154">
        <v>22190</v>
      </c>
      <c r="AA24" s="154">
        <v>17567</v>
      </c>
      <c r="AB24" s="154">
        <v>39757</v>
      </c>
    </row>
    <row r="25" spans="1:28">
      <c r="A25" s="541" t="s">
        <v>831</v>
      </c>
      <c r="B25" s="515">
        <v>396</v>
      </c>
      <c r="C25" s="515">
        <v>280</v>
      </c>
      <c r="D25" s="515">
        <v>676</v>
      </c>
      <c r="E25" s="515">
        <v>47</v>
      </c>
      <c r="F25" s="515">
        <v>77</v>
      </c>
      <c r="G25" s="515">
        <v>124</v>
      </c>
      <c r="H25" s="515">
        <v>2158</v>
      </c>
      <c r="I25" s="515">
        <v>1635</v>
      </c>
      <c r="J25" s="515">
        <v>3793</v>
      </c>
      <c r="K25" s="515">
        <v>14019</v>
      </c>
      <c r="L25" s="515">
        <v>12954</v>
      </c>
      <c r="M25" s="515">
        <v>26973</v>
      </c>
      <c r="N25" s="515">
        <v>73</v>
      </c>
      <c r="O25" s="515">
        <v>40</v>
      </c>
      <c r="P25" s="515">
        <v>113</v>
      </c>
      <c r="Q25" s="515">
        <v>814</v>
      </c>
      <c r="R25" s="515">
        <v>554</v>
      </c>
      <c r="S25" s="515">
        <v>1368</v>
      </c>
      <c r="T25" s="515">
        <v>265</v>
      </c>
      <c r="U25" s="515">
        <v>84</v>
      </c>
      <c r="V25" s="515">
        <v>349</v>
      </c>
      <c r="W25" s="515">
        <v>308</v>
      </c>
      <c r="X25" s="515">
        <v>94</v>
      </c>
      <c r="Y25" s="515">
        <v>402</v>
      </c>
      <c r="Z25" s="515">
        <v>18080</v>
      </c>
      <c r="AA25" s="515">
        <v>15718</v>
      </c>
      <c r="AB25" s="515">
        <v>33798</v>
      </c>
    </row>
    <row r="26" spans="1:28">
      <c r="A26" s="541" t="s">
        <v>830</v>
      </c>
      <c r="B26" s="545">
        <v>397</v>
      </c>
      <c r="C26" s="545">
        <v>247</v>
      </c>
      <c r="D26" s="559">
        <v>644</v>
      </c>
      <c r="E26" s="545">
        <v>43</v>
      </c>
      <c r="F26" s="545">
        <v>67</v>
      </c>
      <c r="G26" s="559">
        <v>110</v>
      </c>
      <c r="H26" s="543">
        <v>1659.0670025145218</v>
      </c>
      <c r="I26" s="543">
        <v>1520.7752973164288</v>
      </c>
      <c r="J26" s="563">
        <v>3179.8422998309507</v>
      </c>
      <c r="K26" s="543">
        <v>13539.047202461981</v>
      </c>
      <c r="L26" s="543">
        <v>12774.980349528741</v>
      </c>
      <c r="M26" s="563">
        <v>26314.027551990723</v>
      </c>
      <c r="N26" s="545">
        <v>45</v>
      </c>
      <c r="O26" s="545">
        <v>30</v>
      </c>
      <c r="P26" s="559">
        <v>75</v>
      </c>
      <c r="Q26" s="545">
        <v>1188</v>
      </c>
      <c r="R26" s="545">
        <v>648</v>
      </c>
      <c r="S26" s="559">
        <v>1836</v>
      </c>
      <c r="T26" s="545">
        <v>246</v>
      </c>
      <c r="U26" s="545">
        <v>79</v>
      </c>
      <c r="V26" s="559">
        <v>325</v>
      </c>
      <c r="W26" s="545">
        <v>177</v>
      </c>
      <c r="X26" s="545">
        <v>49</v>
      </c>
      <c r="Y26" s="559">
        <v>226</v>
      </c>
      <c r="Z26" s="200">
        <v>17294.114204976504</v>
      </c>
      <c r="AA26" s="200">
        <v>15415.755646845169</v>
      </c>
      <c r="AB26" s="563">
        <v>32709.86985182167</v>
      </c>
    </row>
    <row r="27" spans="1:28">
      <c r="A27" s="541" t="s">
        <v>829</v>
      </c>
      <c r="B27" s="560">
        <v>365</v>
      </c>
      <c r="C27" s="560">
        <v>270</v>
      </c>
      <c r="D27" s="561">
        <v>635</v>
      </c>
      <c r="E27" s="560">
        <v>48</v>
      </c>
      <c r="F27" s="560">
        <v>68</v>
      </c>
      <c r="G27" s="561">
        <v>116</v>
      </c>
      <c r="H27" s="560">
        <v>1439</v>
      </c>
      <c r="I27" s="560">
        <v>1417</v>
      </c>
      <c r="J27" s="561">
        <v>2856</v>
      </c>
      <c r="K27" s="560">
        <v>13139</v>
      </c>
      <c r="L27" s="560">
        <v>11893</v>
      </c>
      <c r="M27" s="561">
        <v>25032</v>
      </c>
      <c r="N27" s="560">
        <v>71</v>
      </c>
      <c r="O27" s="560">
        <v>51</v>
      </c>
      <c r="P27" s="561">
        <v>122</v>
      </c>
      <c r="Q27" s="560">
        <v>672</v>
      </c>
      <c r="R27" s="560">
        <v>431</v>
      </c>
      <c r="S27" s="561">
        <v>1103</v>
      </c>
      <c r="T27" s="560">
        <v>266</v>
      </c>
      <c r="U27" s="560">
        <v>74</v>
      </c>
      <c r="V27" s="561">
        <v>340</v>
      </c>
      <c r="W27" s="560">
        <v>59</v>
      </c>
      <c r="X27" s="560">
        <v>10</v>
      </c>
      <c r="Y27" s="561">
        <v>69</v>
      </c>
      <c r="Z27" s="562">
        <v>16059</v>
      </c>
      <c r="AA27" s="562">
        <v>14214</v>
      </c>
      <c r="AB27" s="561">
        <f t="shared" ref="AB27" si="4">Z27+AA27</f>
        <v>30273</v>
      </c>
    </row>
    <row r="28" spans="1:28">
      <c r="A28" s="514" t="s">
        <v>828</v>
      </c>
      <c r="B28" s="515">
        <v>285</v>
      </c>
      <c r="C28" s="515">
        <v>213</v>
      </c>
      <c r="D28" s="515">
        <v>498</v>
      </c>
      <c r="E28" s="515">
        <v>51</v>
      </c>
      <c r="F28" s="515">
        <v>60</v>
      </c>
      <c r="G28" s="515">
        <v>111</v>
      </c>
      <c r="H28" s="515">
        <v>1448</v>
      </c>
      <c r="I28" s="515">
        <v>1314</v>
      </c>
      <c r="J28" s="515">
        <v>2762</v>
      </c>
      <c r="K28" s="515">
        <v>14085</v>
      </c>
      <c r="L28" s="515">
        <v>14073</v>
      </c>
      <c r="M28" s="515">
        <v>28158</v>
      </c>
      <c r="N28" s="515">
        <v>92</v>
      </c>
      <c r="O28" s="515">
        <v>50</v>
      </c>
      <c r="P28" s="515">
        <v>142</v>
      </c>
      <c r="Q28" s="515">
        <v>1020</v>
      </c>
      <c r="R28" s="515">
        <v>375</v>
      </c>
      <c r="S28" s="515">
        <v>1395</v>
      </c>
      <c r="T28" s="515">
        <v>313</v>
      </c>
      <c r="U28" s="515">
        <v>94</v>
      </c>
      <c r="V28" s="515">
        <v>407</v>
      </c>
      <c r="W28" s="515">
        <v>0</v>
      </c>
      <c r="X28" s="515">
        <v>0</v>
      </c>
      <c r="Y28" s="515">
        <v>0</v>
      </c>
      <c r="Z28" s="515">
        <f t="shared" ref="Z28:AB28" si="5">B28+E28+H28+K28+N28+Q28+T28+W28</f>
        <v>17294</v>
      </c>
      <c r="AA28" s="515">
        <f t="shared" si="5"/>
        <v>16179</v>
      </c>
      <c r="AB28" s="515">
        <f t="shared" si="5"/>
        <v>33473</v>
      </c>
    </row>
    <row r="29" spans="1:28" ht="15">
      <c r="A29" s="537" t="s">
        <v>17</v>
      </c>
      <c r="B29" s="538"/>
      <c r="C29" s="539"/>
      <c r="D29" s="539"/>
      <c r="E29" s="539"/>
      <c r="F29" s="539"/>
      <c r="G29" s="539"/>
      <c r="H29" s="539"/>
      <c r="I29" s="539"/>
      <c r="J29" s="540"/>
      <c r="K29" s="538"/>
      <c r="L29" s="539"/>
      <c r="M29" s="539"/>
      <c r="N29" s="539"/>
      <c r="O29" s="539"/>
      <c r="P29" s="539"/>
      <c r="Q29" s="539"/>
      <c r="R29" s="539"/>
      <c r="S29" s="540"/>
      <c r="T29" s="538"/>
      <c r="U29" s="539"/>
      <c r="V29" s="539"/>
      <c r="W29" s="539"/>
      <c r="X29" s="539"/>
      <c r="Y29" s="539"/>
      <c r="Z29" s="539"/>
      <c r="AA29" s="539"/>
      <c r="AB29" s="539"/>
    </row>
    <row r="30" spans="1:28">
      <c r="A30" s="541" t="s">
        <v>832</v>
      </c>
      <c r="B30" s="154">
        <v>3214</v>
      </c>
      <c r="C30" s="154">
        <v>2413</v>
      </c>
      <c r="D30" s="154">
        <v>5627</v>
      </c>
      <c r="E30" s="154">
        <v>245</v>
      </c>
      <c r="F30" s="154">
        <v>371</v>
      </c>
      <c r="G30" s="154">
        <v>616</v>
      </c>
      <c r="H30" s="154">
        <v>12716</v>
      </c>
      <c r="I30" s="154">
        <v>17995</v>
      </c>
      <c r="J30" s="154">
        <v>30711</v>
      </c>
      <c r="K30" s="154">
        <v>241521</v>
      </c>
      <c r="L30" s="154">
        <v>259643</v>
      </c>
      <c r="M30" s="154">
        <v>501164</v>
      </c>
      <c r="N30" s="154">
        <v>473</v>
      </c>
      <c r="O30" s="154">
        <v>576</v>
      </c>
      <c r="P30" s="154">
        <v>1049</v>
      </c>
      <c r="Q30" s="154">
        <v>10655</v>
      </c>
      <c r="R30" s="154">
        <v>7374</v>
      </c>
      <c r="S30" s="154">
        <v>18029</v>
      </c>
      <c r="T30" s="154">
        <v>739</v>
      </c>
      <c r="U30" s="154">
        <v>1165</v>
      </c>
      <c r="V30" s="154">
        <v>1904</v>
      </c>
      <c r="W30" s="154">
        <v>2446</v>
      </c>
      <c r="X30" s="154">
        <v>2247</v>
      </c>
      <c r="Y30" s="154">
        <v>4693</v>
      </c>
      <c r="Z30" s="154">
        <v>272009</v>
      </c>
      <c r="AA30" s="154">
        <v>291784</v>
      </c>
      <c r="AB30" s="154">
        <v>563793</v>
      </c>
    </row>
    <row r="31" spans="1:28">
      <c r="A31" s="541" t="s">
        <v>831</v>
      </c>
      <c r="B31" s="515">
        <v>2970</v>
      </c>
      <c r="C31" s="515">
        <v>1970</v>
      </c>
      <c r="D31" s="515">
        <v>4940</v>
      </c>
      <c r="E31" s="515">
        <v>192</v>
      </c>
      <c r="F31" s="515">
        <v>272</v>
      </c>
      <c r="G31" s="515">
        <v>464</v>
      </c>
      <c r="H31" s="515">
        <v>13127</v>
      </c>
      <c r="I31" s="515">
        <v>17545</v>
      </c>
      <c r="J31" s="515">
        <v>30672</v>
      </c>
      <c r="K31" s="515">
        <v>265072</v>
      </c>
      <c r="L31" s="515">
        <v>276843</v>
      </c>
      <c r="M31" s="515">
        <v>541915</v>
      </c>
      <c r="N31" s="515">
        <v>681</v>
      </c>
      <c r="O31" s="515">
        <v>737</v>
      </c>
      <c r="P31" s="515">
        <v>1418</v>
      </c>
      <c r="Q31" s="515">
        <v>8613</v>
      </c>
      <c r="R31" s="515">
        <v>5531</v>
      </c>
      <c r="S31" s="515">
        <v>14144</v>
      </c>
      <c r="T31" s="515">
        <v>753</v>
      </c>
      <c r="U31" s="515">
        <v>1025</v>
      </c>
      <c r="V31" s="515">
        <v>1778</v>
      </c>
      <c r="W31" s="515">
        <v>2377</v>
      </c>
      <c r="X31" s="515">
        <v>2172</v>
      </c>
      <c r="Y31" s="515">
        <v>4549</v>
      </c>
      <c r="Z31" s="515">
        <v>293785</v>
      </c>
      <c r="AA31" s="515">
        <v>306095</v>
      </c>
      <c r="AB31" s="515">
        <v>599880</v>
      </c>
    </row>
    <row r="32" spans="1:28">
      <c r="A32" s="541" t="s">
        <v>830</v>
      </c>
      <c r="B32" s="545">
        <v>2633</v>
      </c>
      <c r="C32" s="545">
        <v>1704</v>
      </c>
      <c r="D32" s="559">
        <v>4337</v>
      </c>
      <c r="E32" s="545">
        <v>129</v>
      </c>
      <c r="F32" s="545">
        <v>224</v>
      </c>
      <c r="G32" s="559">
        <v>353</v>
      </c>
      <c r="H32" s="543">
        <v>12125.581104964018</v>
      </c>
      <c r="I32" s="543">
        <v>15971.65349222636</v>
      </c>
      <c r="J32" s="563">
        <v>28097.234597190385</v>
      </c>
      <c r="K32" s="543">
        <v>251898.10512203502</v>
      </c>
      <c r="L32" s="543">
        <v>263822.19171424501</v>
      </c>
      <c r="M32" s="563">
        <v>515720.29683628003</v>
      </c>
      <c r="N32" s="545">
        <v>686</v>
      </c>
      <c r="O32" s="545">
        <v>733</v>
      </c>
      <c r="P32" s="559">
        <v>1419</v>
      </c>
      <c r="Q32" s="545">
        <v>6877</v>
      </c>
      <c r="R32" s="545">
        <v>4815</v>
      </c>
      <c r="S32" s="559">
        <v>11692</v>
      </c>
      <c r="T32" s="545">
        <v>1077</v>
      </c>
      <c r="U32" s="545">
        <v>1352</v>
      </c>
      <c r="V32" s="559">
        <v>2429</v>
      </c>
      <c r="W32" s="545">
        <v>2630</v>
      </c>
      <c r="X32" s="545">
        <v>2651</v>
      </c>
      <c r="Y32" s="559">
        <v>5281</v>
      </c>
      <c r="Z32" s="200">
        <v>278055.68622699904</v>
      </c>
      <c r="AA32" s="200">
        <v>291272.84520647139</v>
      </c>
      <c r="AB32" s="563">
        <v>569328.53143347043</v>
      </c>
    </row>
    <row r="33" spans="1:28">
      <c r="A33" s="541" t="s">
        <v>829</v>
      </c>
      <c r="B33" s="560">
        <v>2545</v>
      </c>
      <c r="C33" s="560">
        <v>1573</v>
      </c>
      <c r="D33" s="561">
        <v>4118</v>
      </c>
      <c r="E33" s="560">
        <v>76</v>
      </c>
      <c r="F33" s="560">
        <v>152</v>
      </c>
      <c r="G33" s="561">
        <v>228</v>
      </c>
      <c r="H33" s="560">
        <v>10797</v>
      </c>
      <c r="I33" s="560">
        <v>14105</v>
      </c>
      <c r="J33" s="561">
        <v>24902</v>
      </c>
      <c r="K33" s="560">
        <v>248429</v>
      </c>
      <c r="L33" s="560">
        <v>248071</v>
      </c>
      <c r="M33" s="561">
        <v>496500</v>
      </c>
      <c r="N33" s="560">
        <v>696</v>
      </c>
      <c r="O33" s="560">
        <v>556</v>
      </c>
      <c r="P33" s="561">
        <v>1252</v>
      </c>
      <c r="Q33" s="560">
        <v>6971</v>
      </c>
      <c r="R33" s="560">
        <v>4648</v>
      </c>
      <c r="S33" s="561">
        <v>11619</v>
      </c>
      <c r="T33" s="560">
        <v>963</v>
      </c>
      <c r="U33" s="560">
        <v>1322</v>
      </c>
      <c r="V33" s="561">
        <v>2285</v>
      </c>
      <c r="W33" s="560">
        <v>2472</v>
      </c>
      <c r="X33" s="560">
        <v>2476</v>
      </c>
      <c r="Y33" s="561">
        <v>4948</v>
      </c>
      <c r="Z33" s="562">
        <v>272949</v>
      </c>
      <c r="AA33" s="562">
        <v>272903</v>
      </c>
      <c r="AB33" s="561">
        <f t="shared" ref="AB33" si="6">Z33+AA33</f>
        <v>545852</v>
      </c>
    </row>
    <row r="34" spans="1:28">
      <c r="A34" s="514" t="s">
        <v>828</v>
      </c>
      <c r="B34" s="515">
        <v>2318</v>
      </c>
      <c r="C34" s="515">
        <v>1556</v>
      </c>
      <c r="D34" s="515">
        <v>3874</v>
      </c>
      <c r="E34" s="515">
        <v>65</v>
      </c>
      <c r="F34" s="515">
        <v>149</v>
      </c>
      <c r="G34" s="515">
        <v>214</v>
      </c>
      <c r="H34" s="515">
        <v>13202</v>
      </c>
      <c r="I34" s="515">
        <v>14638</v>
      </c>
      <c r="J34" s="515">
        <v>27840</v>
      </c>
      <c r="K34" s="515">
        <v>225119</v>
      </c>
      <c r="L34" s="515">
        <v>215193</v>
      </c>
      <c r="M34" s="515">
        <v>440312</v>
      </c>
      <c r="N34" s="515">
        <v>686</v>
      </c>
      <c r="O34" s="515">
        <v>518</v>
      </c>
      <c r="P34" s="515">
        <v>1204</v>
      </c>
      <c r="Q34" s="515">
        <v>6513</v>
      </c>
      <c r="R34" s="515">
        <v>4029</v>
      </c>
      <c r="S34" s="515">
        <v>10542</v>
      </c>
      <c r="T34" s="515">
        <v>1612</v>
      </c>
      <c r="U34" s="515">
        <v>1931</v>
      </c>
      <c r="V34" s="515">
        <v>3543</v>
      </c>
      <c r="W34" s="515">
        <v>2182</v>
      </c>
      <c r="X34" s="515">
        <v>2292</v>
      </c>
      <c r="Y34" s="515">
        <v>4474</v>
      </c>
      <c r="Z34" s="515">
        <f t="shared" ref="Z34:AB34" si="7">B34+E34+H34+K34+N34+Q34+T34+W34</f>
        <v>251697</v>
      </c>
      <c r="AA34" s="515">
        <f t="shared" si="7"/>
        <v>240306</v>
      </c>
      <c r="AB34" s="515">
        <f t="shared" si="7"/>
        <v>492003</v>
      </c>
    </row>
    <row r="35" spans="1:28" ht="15">
      <c r="A35" s="537" t="s">
        <v>18</v>
      </c>
      <c r="B35" s="538"/>
      <c r="C35" s="539"/>
      <c r="D35" s="539"/>
      <c r="E35" s="539"/>
      <c r="F35" s="539"/>
      <c r="G35" s="539"/>
      <c r="H35" s="539"/>
      <c r="I35" s="539"/>
      <c r="J35" s="540"/>
      <c r="K35" s="538"/>
      <c r="L35" s="539"/>
      <c r="M35" s="539"/>
      <c r="N35" s="539"/>
      <c r="O35" s="539"/>
      <c r="P35" s="539"/>
      <c r="Q35" s="539"/>
      <c r="R35" s="539"/>
      <c r="S35" s="540"/>
      <c r="T35" s="538"/>
      <c r="U35" s="539"/>
      <c r="V35" s="539"/>
      <c r="W35" s="539"/>
      <c r="X35" s="539"/>
      <c r="Y35" s="539"/>
      <c r="Z35" s="539"/>
      <c r="AA35" s="539"/>
      <c r="AB35" s="539"/>
    </row>
    <row r="36" spans="1:28">
      <c r="A36" s="541" t="s">
        <v>832</v>
      </c>
      <c r="B36" s="154">
        <v>1665</v>
      </c>
      <c r="C36" s="154">
        <v>1034</v>
      </c>
      <c r="D36" s="154">
        <v>2699</v>
      </c>
      <c r="E36" s="154">
        <v>55</v>
      </c>
      <c r="F36" s="154">
        <v>15</v>
      </c>
      <c r="G36" s="154">
        <v>70</v>
      </c>
      <c r="H36" s="154">
        <v>37369</v>
      </c>
      <c r="I36" s="154">
        <v>35886</v>
      </c>
      <c r="J36" s="154">
        <v>73255</v>
      </c>
      <c r="K36" s="154">
        <v>801196</v>
      </c>
      <c r="L36" s="154">
        <v>647494</v>
      </c>
      <c r="M36" s="154">
        <v>1448690</v>
      </c>
      <c r="N36" s="154">
        <v>788</v>
      </c>
      <c r="O36" s="154">
        <v>401</v>
      </c>
      <c r="P36" s="154">
        <v>1189</v>
      </c>
      <c r="Q36" s="154">
        <v>42497</v>
      </c>
      <c r="R36" s="154">
        <v>25277</v>
      </c>
      <c r="S36" s="154">
        <v>67774</v>
      </c>
      <c r="T36" s="154">
        <v>4024</v>
      </c>
      <c r="U36" s="154">
        <v>2562</v>
      </c>
      <c r="V36" s="154">
        <v>6586</v>
      </c>
      <c r="W36" s="154">
        <v>2258</v>
      </c>
      <c r="X36" s="154">
        <v>1026</v>
      </c>
      <c r="Y36" s="154">
        <v>3284</v>
      </c>
      <c r="Z36" s="154">
        <v>889852</v>
      </c>
      <c r="AA36" s="154">
        <v>713695</v>
      </c>
      <c r="AB36" s="154">
        <v>1603547</v>
      </c>
    </row>
    <row r="37" spans="1:28">
      <c r="A37" s="541" t="s">
        <v>831</v>
      </c>
      <c r="B37" s="515">
        <v>2239</v>
      </c>
      <c r="C37" s="515">
        <v>1123</v>
      </c>
      <c r="D37" s="515">
        <v>3362</v>
      </c>
      <c r="E37" s="515">
        <v>0</v>
      </c>
      <c r="F37" s="515">
        <v>0</v>
      </c>
      <c r="G37" s="515">
        <v>0</v>
      </c>
      <c r="H37" s="515">
        <v>49296</v>
      </c>
      <c r="I37" s="515">
        <v>40098</v>
      </c>
      <c r="J37" s="515">
        <v>89394</v>
      </c>
      <c r="K37" s="515">
        <v>760584</v>
      </c>
      <c r="L37" s="515">
        <v>580133</v>
      </c>
      <c r="M37" s="515">
        <v>1340717</v>
      </c>
      <c r="N37" s="515">
        <v>749</v>
      </c>
      <c r="O37" s="515">
        <v>373</v>
      </c>
      <c r="P37" s="515">
        <v>1122</v>
      </c>
      <c r="Q37" s="515">
        <v>34380</v>
      </c>
      <c r="R37" s="515">
        <v>17715</v>
      </c>
      <c r="S37" s="515">
        <v>52095</v>
      </c>
      <c r="T37" s="515">
        <v>2705</v>
      </c>
      <c r="U37" s="515">
        <v>1439</v>
      </c>
      <c r="V37" s="515">
        <v>4144</v>
      </c>
      <c r="W37" s="515">
        <v>1952</v>
      </c>
      <c r="X37" s="515">
        <v>896</v>
      </c>
      <c r="Y37" s="515">
        <v>2848</v>
      </c>
      <c r="Z37" s="515">
        <v>851905</v>
      </c>
      <c r="AA37" s="515">
        <v>641777</v>
      </c>
      <c r="AB37" s="515">
        <v>1493682</v>
      </c>
    </row>
    <row r="38" spans="1:28">
      <c r="A38" s="541" t="s">
        <v>830</v>
      </c>
      <c r="B38" s="545">
        <v>1902</v>
      </c>
      <c r="C38" s="545">
        <v>954</v>
      </c>
      <c r="D38" s="559">
        <v>2856</v>
      </c>
      <c r="E38" s="545">
        <v>0</v>
      </c>
      <c r="F38" s="545">
        <v>0</v>
      </c>
      <c r="G38" s="559">
        <v>0</v>
      </c>
      <c r="H38" s="545">
        <v>37001</v>
      </c>
      <c r="I38" s="545">
        <v>32460</v>
      </c>
      <c r="J38" s="559">
        <v>69461</v>
      </c>
      <c r="K38" s="545">
        <v>723821</v>
      </c>
      <c r="L38" s="545">
        <v>550366</v>
      </c>
      <c r="M38" s="559">
        <v>1274187</v>
      </c>
      <c r="N38" s="545">
        <v>681</v>
      </c>
      <c r="O38" s="545">
        <v>272</v>
      </c>
      <c r="P38" s="559">
        <v>953</v>
      </c>
      <c r="Q38" s="545">
        <v>27280</v>
      </c>
      <c r="R38" s="545">
        <v>11228</v>
      </c>
      <c r="S38" s="559">
        <v>38508</v>
      </c>
      <c r="T38" s="545">
        <v>2336</v>
      </c>
      <c r="U38" s="545">
        <v>1075</v>
      </c>
      <c r="V38" s="559">
        <v>3411</v>
      </c>
      <c r="W38" s="545">
        <v>1512</v>
      </c>
      <c r="X38" s="545">
        <v>788</v>
      </c>
      <c r="Y38" s="559">
        <v>2300</v>
      </c>
      <c r="Z38" s="209">
        <v>794533</v>
      </c>
      <c r="AA38" s="209">
        <v>597143</v>
      </c>
      <c r="AB38" s="559">
        <v>1391676</v>
      </c>
    </row>
    <row r="39" spans="1:28">
      <c r="A39" s="541" t="s">
        <v>829</v>
      </c>
      <c r="B39" s="560">
        <v>1502</v>
      </c>
      <c r="C39" s="560">
        <v>726</v>
      </c>
      <c r="D39" s="561">
        <v>2228</v>
      </c>
      <c r="E39" s="560">
        <v>0</v>
      </c>
      <c r="F39" s="560">
        <v>0</v>
      </c>
      <c r="G39" s="561">
        <v>0</v>
      </c>
      <c r="H39" s="560">
        <v>44327</v>
      </c>
      <c r="I39" s="560">
        <v>33630</v>
      </c>
      <c r="J39" s="561">
        <v>77957</v>
      </c>
      <c r="K39" s="560">
        <v>796541</v>
      </c>
      <c r="L39" s="560">
        <v>597755</v>
      </c>
      <c r="M39" s="561">
        <v>1394296</v>
      </c>
      <c r="N39" s="560">
        <v>669</v>
      </c>
      <c r="O39" s="560">
        <v>231</v>
      </c>
      <c r="P39" s="561">
        <v>900</v>
      </c>
      <c r="Q39" s="560">
        <v>22034</v>
      </c>
      <c r="R39" s="560">
        <v>6985</v>
      </c>
      <c r="S39" s="561">
        <v>29019</v>
      </c>
      <c r="T39" s="560">
        <v>2865</v>
      </c>
      <c r="U39" s="560">
        <v>1539</v>
      </c>
      <c r="V39" s="561">
        <v>4404</v>
      </c>
      <c r="W39" s="560">
        <v>1212</v>
      </c>
      <c r="X39" s="560">
        <v>640</v>
      </c>
      <c r="Y39" s="561">
        <v>1852</v>
      </c>
      <c r="Z39" s="562">
        <v>869150</v>
      </c>
      <c r="AA39" s="562">
        <v>641506</v>
      </c>
      <c r="AB39" s="561">
        <f t="shared" ref="AB39" si="8">Z39+AA39</f>
        <v>1510656</v>
      </c>
    </row>
    <row r="40" spans="1:28">
      <c r="A40" s="514" t="s">
        <v>828</v>
      </c>
      <c r="B40" s="515">
        <v>1567</v>
      </c>
      <c r="C40" s="515">
        <v>975</v>
      </c>
      <c r="D40" s="515">
        <v>2542</v>
      </c>
      <c r="E40" s="515">
        <v>20</v>
      </c>
      <c r="F40" s="515">
        <v>12</v>
      </c>
      <c r="G40" s="515">
        <v>32</v>
      </c>
      <c r="H40" s="515">
        <v>46962</v>
      </c>
      <c r="I40" s="515">
        <v>32779</v>
      </c>
      <c r="J40" s="515">
        <v>79741</v>
      </c>
      <c r="K40" s="515">
        <v>794322</v>
      </c>
      <c r="L40" s="515">
        <v>584728</v>
      </c>
      <c r="M40" s="515">
        <v>1379050</v>
      </c>
      <c r="N40" s="515">
        <v>648</v>
      </c>
      <c r="O40" s="515">
        <v>350</v>
      </c>
      <c r="P40" s="515">
        <v>998</v>
      </c>
      <c r="Q40" s="515">
        <v>18802</v>
      </c>
      <c r="R40" s="515">
        <v>6538</v>
      </c>
      <c r="S40" s="515">
        <v>25340</v>
      </c>
      <c r="T40" s="515">
        <v>2857</v>
      </c>
      <c r="U40" s="515">
        <v>1648</v>
      </c>
      <c r="V40" s="515">
        <v>4505</v>
      </c>
      <c r="W40" s="515">
        <v>1456</v>
      </c>
      <c r="X40" s="515">
        <v>755</v>
      </c>
      <c r="Y40" s="515">
        <v>2211</v>
      </c>
      <c r="Z40" s="515">
        <f t="shared" ref="Z40:AB40" si="9">B40+E40+H40+K40+N40+Q40+T40+W40</f>
        <v>866634</v>
      </c>
      <c r="AA40" s="515">
        <f t="shared" si="9"/>
        <v>627785</v>
      </c>
      <c r="AB40" s="515">
        <f t="shared" si="9"/>
        <v>1494419</v>
      </c>
    </row>
    <row r="41" spans="1:28" ht="15">
      <c r="A41" s="537" t="s">
        <v>19</v>
      </c>
      <c r="B41" s="538"/>
      <c r="C41" s="539"/>
      <c r="D41" s="539"/>
      <c r="E41" s="539"/>
      <c r="F41" s="539"/>
      <c r="G41" s="539"/>
      <c r="H41" s="539"/>
      <c r="I41" s="539"/>
      <c r="J41" s="540"/>
      <c r="K41" s="538"/>
      <c r="L41" s="539"/>
      <c r="M41" s="539"/>
      <c r="N41" s="539"/>
      <c r="O41" s="539"/>
      <c r="P41" s="539"/>
      <c r="Q41" s="539"/>
      <c r="R41" s="539"/>
      <c r="S41" s="540"/>
      <c r="T41" s="538"/>
      <c r="U41" s="539"/>
      <c r="V41" s="539"/>
      <c r="W41" s="539"/>
      <c r="X41" s="539"/>
      <c r="Y41" s="539"/>
      <c r="Z41" s="539"/>
      <c r="AA41" s="539"/>
      <c r="AB41" s="539"/>
    </row>
    <row r="42" spans="1:28">
      <c r="A42" s="541" t="s">
        <v>832</v>
      </c>
      <c r="B42" s="154">
        <v>409</v>
      </c>
      <c r="C42" s="154">
        <v>550</v>
      </c>
      <c r="D42" s="154">
        <v>959</v>
      </c>
      <c r="E42" s="154">
        <v>140</v>
      </c>
      <c r="F42" s="154">
        <v>48</v>
      </c>
      <c r="G42" s="154">
        <v>188</v>
      </c>
      <c r="H42" s="154">
        <v>4482</v>
      </c>
      <c r="I42" s="154">
        <v>8372</v>
      </c>
      <c r="J42" s="154">
        <v>12854</v>
      </c>
      <c r="K42" s="154">
        <v>26617</v>
      </c>
      <c r="L42" s="154">
        <v>28722</v>
      </c>
      <c r="M42" s="154">
        <v>55339</v>
      </c>
      <c r="N42" s="154">
        <v>264</v>
      </c>
      <c r="O42" s="154">
        <v>437</v>
      </c>
      <c r="P42" s="154">
        <v>701</v>
      </c>
      <c r="Q42" s="154">
        <v>2047</v>
      </c>
      <c r="R42" s="154">
        <v>1223</v>
      </c>
      <c r="S42" s="154">
        <v>3270</v>
      </c>
      <c r="T42" s="154">
        <v>409</v>
      </c>
      <c r="U42" s="154">
        <v>259</v>
      </c>
      <c r="V42" s="154">
        <v>668</v>
      </c>
      <c r="W42" s="154">
        <v>1139</v>
      </c>
      <c r="X42" s="154">
        <v>1290</v>
      </c>
      <c r="Y42" s="154">
        <v>2429</v>
      </c>
      <c r="Z42" s="154">
        <v>35507</v>
      </c>
      <c r="AA42" s="154">
        <v>40901</v>
      </c>
      <c r="AB42" s="154">
        <v>76408</v>
      </c>
    </row>
    <row r="43" spans="1:28">
      <c r="A43" s="541" t="s">
        <v>831</v>
      </c>
      <c r="B43" s="515">
        <v>353</v>
      </c>
      <c r="C43" s="515">
        <v>508</v>
      </c>
      <c r="D43" s="515">
        <v>861</v>
      </c>
      <c r="E43" s="515">
        <v>145</v>
      </c>
      <c r="F43" s="515">
        <v>43</v>
      </c>
      <c r="G43" s="515">
        <v>188</v>
      </c>
      <c r="H43" s="515">
        <v>4184</v>
      </c>
      <c r="I43" s="515">
        <v>8052</v>
      </c>
      <c r="J43" s="515">
        <v>12236</v>
      </c>
      <c r="K43" s="515">
        <v>26406</v>
      </c>
      <c r="L43" s="515">
        <v>28567</v>
      </c>
      <c r="M43" s="515">
        <v>54973</v>
      </c>
      <c r="N43" s="515">
        <v>257</v>
      </c>
      <c r="O43" s="515">
        <v>428</v>
      </c>
      <c r="P43" s="515">
        <v>685</v>
      </c>
      <c r="Q43" s="515">
        <v>1391</v>
      </c>
      <c r="R43" s="515">
        <v>1214</v>
      </c>
      <c r="S43" s="515">
        <v>2605</v>
      </c>
      <c r="T43" s="515">
        <v>549</v>
      </c>
      <c r="U43" s="515">
        <v>204</v>
      </c>
      <c r="V43" s="515">
        <v>753</v>
      </c>
      <c r="W43" s="515">
        <v>1111</v>
      </c>
      <c r="X43" s="515">
        <v>1091</v>
      </c>
      <c r="Y43" s="515">
        <v>2202</v>
      </c>
      <c r="Z43" s="515">
        <v>34396</v>
      </c>
      <c r="AA43" s="515">
        <v>40107</v>
      </c>
      <c r="AB43" s="515">
        <v>74503</v>
      </c>
    </row>
    <row r="44" spans="1:28">
      <c r="A44" s="541" t="s">
        <v>830</v>
      </c>
      <c r="B44" s="545">
        <v>472</v>
      </c>
      <c r="C44" s="545">
        <v>415</v>
      </c>
      <c r="D44" s="559">
        <v>887</v>
      </c>
      <c r="E44" s="545">
        <v>168</v>
      </c>
      <c r="F44" s="545">
        <v>67</v>
      </c>
      <c r="G44" s="559">
        <v>235</v>
      </c>
      <c r="H44" s="543">
        <v>4853.8463378402666</v>
      </c>
      <c r="I44" s="543">
        <v>8340.1839662067541</v>
      </c>
      <c r="J44" s="563">
        <v>13194.030304047021</v>
      </c>
      <c r="K44" s="543">
        <v>26275.809648325136</v>
      </c>
      <c r="L44" s="543">
        <v>29049.608451791282</v>
      </c>
      <c r="M44" s="563">
        <v>55325.418100116411</v>
      </c>
      <c r="N44" s="545">
        <v>243</v>
      </c>
      <c r="O44" s="545">
        <v>350</v>
      </c>
      <c r="P44" s="559">
        <v>593</v>
      </c>
      <c r="Q44" s="545">
        <v>1438</v>
      </c>
      <c r="R44" s="545">
        <v>1201</v>
      </c>
      <c r="S44" s="559">
        <v>2639</v>
      </c>
      <c r="T44" s="545">
        <v>456</v>
      </c>
      <c r="U44" s="545">
        <v>244</v>
      </c>
      <c r="V44" s="559">
        <v>700</v>
      </c>
      <c r="W44" s="545">
        <v>1058</v>
      </c>
      <c r="X44" s="545">
        <v>1133</v>
      </c>
      <c r="Y44" s="559">
        <v>2191</v>
      </c>
      <c r="Z44" s="200">
        <v>34964.655986165402</v>
      </c>
      <c r="AA44" s="200">
        <v>40799.792417998033</v>
      </c>
      <c r="AB44" s="563">
        <v>75764.448404163428</v>
      </c>
    </row>
    <row r="45" spans="1:28">
      <c r="A45" s="541" t="s">
        <v>829</v>
      </c>
      <c r="B45" s="560">
        <v>629</v>
      </c>
      <c r="C45" s="560">
        <v>625</v>
      </c>
      <c r="D45" s="561">
        <v>1254</v>
      </c>
      <c r="E45" s="560">
        <v>56</v>
      </c>
      <c r="F45" s="560">
        <v>87</v>
      </c>
      <c r="G45" s="561">
        <v>143</v>
      </c>
      <c r="H45" s="560">
        <v>4532</v>
      </c>
      <c r="I45" s="560">
        <v>8091</v>
      </c>
      <c r="J45" s="561">
        <v>12623</v>
      </c>
      <c r="K45" s="560">
        <v>25672</v>
      </c>
      <c r="L45" s="560">
        <v>27863</v>
      </c>
      <c r="M45" s="561">
        <v>53535</v>
      </c>
      <c r="N45" s="560">
        <v>182</v>
      </c>
      <c r="O45" s="560">
        <v>359</v>
      </c>
      <c r="P45" s="561">
        <v>541</v>
      </c>
      <c r="Q45" s="560">
        <v>1447</v>
      </c>
      <c r="R45" s="560">
        <v>1230</v>
      </c>
      <c r="S45" s="561">
        <v>2677</v>
      </c>
      <c r="T45" s="560">
        <v>363</v>
      </c>
      <c r="U45" s="560">
        <v>195</v>
      </c>
      <c r="V45" s="561">
        <v>558</v>
      </c>
      <c r="W45" s="560">
        <v>1100</v>
      </c>
      <c r="X45" s="560">
        <v>1264</v>
      </c>
      <c r="Y45" s="561">
        <v>2364</v>
      </c>
      <c r="Z45" s="562">
        <v>33981</v>
      </c>
      <c r="AA45" s="562">
        <v>39714</v>
      </c>
      <c r="AB45" s="561">
        <f t="shared" ref="AB45" si="10">Z45+AA45</f>
        <v>73695</v>
      </c>
    </row>
    <row r="46" spans="1:28">
      <c r="A46" s="514" t="s">
        <v>828</v>
      </c>
      <c r="B46" s="515">
        <v>448</v>
      </c>
      <c r="C46" s="515">
        <v>567</v>
      </c>
      <c r="D46" s="515">
        <v>1015</v>
      </c>
      <c r="E46" s="515">
        <v>58</v>
      </c>
      <c r="F46" s="515">
        <v>55</v>
      </c>
      <c r="G46" s="515">
        <v>113</v>
      </c>
      <c r="H46" s="515">
        <v>4690</v>
      </c>
      <c r="I46" s="515">
        <v>8237</v>
      </c>
      <c r="J46" s="515">
        <v>12927</v>
      </c>
      <c r="K46" s="515">
        <v>23461</v>
      </c>
      <c r="L46" s="515">
        <v>26995</v>
      </c>
      <c r="M46" s="515">
        <v>50456</v>
      </c>
      <c r="N46" s="515">
        <v>177</v>
      </c>
      <c r="O46" s="515">
        <v>316</v>
      </c>
      <c r="P46" s="515">
        <v>493</v>
      </c>
      <c r="Q46" s="515">
        <v>1451</v>
      </c>
      <c r="R46" s="515">
        <v>1287</v>
      </c>
      <c r="S46" s="515">
        <v>2738</v>
      </c>
      <c r="T46" s="515">
        <v>467</v>
      </c>
      <c r="U46" s="515">
        <v>239</v>
      </c>
      <c r="V46" s="515">
        <v>706</v>
      </c>
      <c r="W46" s="515">
        <v>1167</v>
      </c>
      <c r="X46" s="515">
        <v>1260</v>
      </c>
      <c r="Y46" s="515">
        <v>2427</v>
      </c>
      <c r="Z46" s="515">
        <f t="shared" ref="Z46:AB46" si="11">B46+E46+H46+K46+N46+Q46+T46+W46</f>
        <v>31919</v>
      </c>
      <c r="AA46" s="515">
        <f t="shared" si="11"/>
        <v>38956</v>
      </c>
      <c r="AB46" s="515">
        <f t="shared" si="11"/>
        <v>70875</v>
      </c>
    </row>
    <row r="47" spans="1:28" ht="15">
      <c r="A47" s="537" t="s">
        <v>20</v>
      </c>
      <c r="B47" s="538"/>
      <c r="C47" s="539"/>
      <c r="D47" s="539"/>
      <c r="E47" s="539"/>
      <c r="F47" s="539"/>
      <c r="G47" s="539"/>
      <c r="H47" s="539"/>
      <c r="I47" s="539"/>
      <c r="J47" s="540"/>
      <c r="K47" s="538"/>
      <c r="L47" s="539"/>
      <c r="M47" s="539"/>
      <c r="N47" s="539"/>
      <c r="O47" s="539"/>
      <c r="P47" s="539"/>
      <c r="Q47" s="539"/>
      <c r="R47" s="539"/>
      <c r="S47" s="540"/>
      <c r="T47" s="538"/>
      <c r="U47" s="539"/>
      <c r="V47" s="539"/>
      <c r="W47" s="539"/>
      <c r="X47" s="539"/>
      <c r="Y47" s="539"/>
      <c r="Z47" s="539"/>
      <c r="AA47" s="539"/>
      <c r="AB47" s="539"/>
    </row>
    <row r="48" spans="1:28">
      <c r="A48" s="541" t="s">
        <v>832</v>
      </c>
      <c r="B48" s="154">
        <v>824</v>
      </c>
      <c r="C48" s="154">
        <v>691</v>
      </c>
      <c r="D48" s="154">
        <v>1515</v>
      </c>
      <c r="E48" s="154">
        <v>109</v>
      </c>
      <c r="F48" s="154">
        <v>89</v>
      </c>
      <c r="G48" s="154">
        <v>198</v>
      </c>
      <c r="H48" s="154">
        <v>23040</v>
      </c>
      <c r="I48" s="154">
        <v>34523</v>
      </c>
      <c r="J48" s="154">
        <v>57563</v>
      </c>
      <c r="K48" s="154">
        <v>173403</v>
      </c>
      <c r="L48" s="154">
        <v>219635</v>
      </c>
      <c r="M48" s="154">
        <v>393038</v>
      </c>
      <c r="N48" s="154">
        <v>4672</v>
      </c>
      <c r="O48" s="154">
        <v>5099</v>
      </c>
      <c r="P48" s="154">
        <v>9771</v>
      </c>
      <c r="Q48" s="154">
        <v>22197</v>
      </c>
      <c r="R48" s="154">
        <v>15478</v>
      </c>
      <c r="S48" s="154">
        <v>37675</v>
      </c>
      <c r="T48" s="154">
        <v>210</v>
      </c>
      <c r="U48" s="154">
        <v>335</v>
      </c>
      <c r="V48" s="154">
        <v>545</v>
      </c>
      <c r="W48" s="154">
        <v>1882</v>
      </c>
      <c r="X48" s="154">
        <v>1848</v>
      </c>
      <c r="Y48" s="154">
        <v>3730</v>
      </c>
      <c r="Z48" s="154">
        <v>226337</v>
      </c>
      <c r="AA48" s="154">
        <v>277698</v>
      </c>
      <c r="AB48" s="154">
        <v>504035</v>
      </c>
    </row>
    <row r="49" spans="1:28">
      <c r="A49" s="541" t="s">
        <v>831</v>
      </c>
      <c r="B49" s="515">
        <v>965</v>
      </c>
      <c r="C49" s="515">
        <v>509</v>
      </c>
      <c r="D49" s="515">
        <v>1474</v>
      </c>
      <c r="E49" s="515">
        <v>193</v>
      </c>
      <c r="F49" s="515">
        <v>151</v>
      </c>
      <c r="G49" s="515">
        <v>344</v>
      </c>
      <c r="H49" s="515">
        <v>22060</v>
      </c>
      <c r="I49" s="515">
        <v>30531</v>
      </c>
      <c r="J49" s="515">
        <v>52591</v>
      </c>
      <c r="K49" s="515">
        <v>171481</v>
      </c>
      <c r="L49" s="515">
        <v>204922</v>
      </c>
      <c r="M49" s="515">
        <v>376403</v>
      </c>
      <c r="N49" s="515">
        <v>4491</v>
      </c>
      <c r="O49" s="515">
        <v>4916</v>
      </c>
      <c r="P49" s="515">
        <v>9407</v>
      </c>
      <c r="Q49" s="515">
        <v>23015</v>
      </c>
      <c r="R49" s="515">
        <v>15902</v>
      </c>
      <c r="S49" s="515">
        <v>38917</v>
      </c>
      <c r="T49" s="515">
        <v>190</v>
      </c>
      <c r="U49" s="515">
        <v>365</v>
      </c>
      <c r="V49" s="515">
        <v>555</v>
      </c>
      <c r="W49" s="515">
        <v>1357</v>
      </c>
      <c r="X49" s="515">
        <v>1444</v>
      </c>
      <c r="Y49" s="515">
        <v>2801</v>
      </c>
      <c r="Z49" s="515">
        <v>223752</v>
      </c>
      <c r="AA49" s="515">
        <v>258740</v>
      </c>
      <c r="AB49" s="515">
        <v>482492</v>
      </c>
    </row>
    <row r="50" spans="1:28">
      <c r="A50" s="541" t="s">
        <v>830</v>
      </c>
      <c r="B50" s="545">
        <v>740</v>
      </c>
      <c r="C50" s="545">
        <v>425</v>
      </c>
      <c r="D50" s="559">
        <v>1165</v>
      </c>
      <c r="E50" s="545">
        <v>149</v>
      </c>
      <c r="F50" s="545">
        <v>150</v>
      </c>
      <c r="G50" s="559">
        <v>299</v>
      </c>
      <c r="H50" s="545">
        <v>19804</v>
      </c>
      <c r="I50" s="545">
        <v>27619</v>
      </c>
      <c r="J50" s="559">
        <v>47423</v>
      </c>
      <c r="K50" s="545">
        <v>166217</v>
      </c>
      <c r="L50" s="545">
        <v>188330</v>
      </c>
      <c r="M50" s="559">
        <v>354547</v>
      </c>
      <c r="N50" s="545">
        <v>4163</v>
      </c>
      <c r="O50" s="545">
        <v>4377</v>
      </c>
      <c r="P50" s="559">
        <v>8540</v>
      </c>
      <c r="Q50" s="545">
        <v>23120</v>
      </c>
      <c r="R50" s="545">
        <v>16310</v>
      </c>
      <c r="S50" s="559">
        <v>39430</v>
      </c>
      <c r="T50" s="545">
        <v>211</v>
      </c>
      <c r="U50" s="545">
        <v>313</v>
      </c>
      <c r="V50" s="559">
        <v>524</v>
      </c>
      <c r="W50" s="545">
        <v>1014</v>
      </c>
      <c r="X50" s="545">
        <v>1005</v>
      </c>
      <c r="Y50" s="559">
        <v>2019</v>
      </c>
      <c r="Z50" s="209">
        <v>215418</v>
      </c>
      <c r="AA50" s="209">
        <v>238529</v>
      </c>
      <c r="AB50" s="559">
        <v>453947</v>
      </c>
    </row>
    <row r="51" spans="1:28">
      <c r="A51" s="541" t="s">
        <v>829</v>
      </c>
      <c r="B51" s="560">
        <v>778</v>
      </c>
      <c r="C51" s="560">
        <v>488</v>
      </c>
      <c r="D51" s="561">
        <v>1266</v>
      </c>
      <c r="E51" s="560">
        <v>141</v>
      </c>
      <c r="F51" s="560">
        <v>136</v>
      </c>
      <c r="G51" s="561">
        <v>277</v>
      </c>
      <c r="H51" s="560">
        <v>19086</v>
      </c>
      <c r="I51" s="560">
        <v>25009</v>
      </c>
      <c r="J51" s="561">
        <v>44095</v>
      </c>
      <c r="K51" s="560">
        <v>163885</v>
      </c>
      <c r="L51" s="560">
        <v>172395</v>
      </c>
      <c r="M51" s="561">
        <v>336280</v>
      </c>
      <c r="N51" s="560">
        <v>3391</v>
      </c>
      <c r="O51" s="560">
        <v>3575</v>
      </c>
      <c r="P51" s="561">
        <v>6966</v>
      </c>
      <c r="Q51" s="560">
        <v>22196</v>
      </c>
      <c r="R51" s="560">
        <v>15176</v>
      </c>
      <c r="S51" s="561">
        <v>37372</v>
      </c>
      <c r="T51" s="560">
        <v>220</v>
      </c>
      <c r="U51" s="560">
        <v>384</v>
      </c>
      <c r="V51" s="561">
        <v>604</v>
      </c>
      <c r="W51" s="560">
        <v>938</v>
      </c>
      <c r="X51" s="560">
        <v>921</v>
      </c>
      <c r="Y51" s="561">
        <v>1859</v>
      </c>
      <c r="Z51" s="562">
        <v>210635</v>
      </c>
      <c r="AA51" s="562">
        <v>218084</v>
      </c>
      <c r="AB51" s="561">
        <f t="shared" ref="AB51" si="12">Z51+AA51</f>
        <v>428719</v>
      </c>
    </row>
    <row r="52" spans="1:28">
      <c r="A52" s="514" t="s">
        <v>828</v>
      </c>
      <c r="B52" s="515">
        <v>406</v>
      </c>
      <c r="C52" s="515">
        <v>284</v>
      </c>
      <c r="D52" s="515">
        <v>690</v>
      </c>
      <c r="E52" s="515">
        <v>182</v>
      </c>
      <c r="F52" s="515">
        <v>173</v>
      </c>
      <c r="G52" s="515">
        <v>355</v>
      </c>
      <c r="H52" s="515">
        <v>18876</v>
      </c>
      <c r="I52" s="515">
        <v>23211</v>
      </c>
      <c r="J52" s="515">
        <v>42087</v>
      </c>
      <c r="K52" s="515">
        <v>160193</v>
      </c>
      <c r="L52" s="515">
        <v>159063</v>
      </c>
      <c r="M52" s="515">
        <v>319256</v>
      </c>
      <c r="N52" s="515">
        <v>3214</v>
      </c>
      <c r="O52" s="515">
        <v>3411</v>
      </c>
      <c r="P52" s="515">
        <v>6625</v>
      </c>
      <c r="Q52" s="515">
        <v>21724</v>
      </c>
      <c r="R52" s="515">
        <v>13706</v>
      </c>
      <c r="S52" s="515">
        <v>35430</v>
      </c>
      <c r="T52" s="515">
        <v>106</v>
      </c>
      <c r="U52" s="515">
        <v>258</v>
      </c>
      <c r="V52" s="515">
        <v>364</v>
      </c>
      <c r="W52" s="515">
        <v>827</v>
      </c>
      <c r="X52" s="515">
        <v>769</v>
      </c>
      <c r="Y52" s="515">
        <v>1596</v>
      </c>
      <c r="Z52" s="515">
        <f t="shared" ref="Z52:AB52" si="13">B52+E52+H52+K52+N52+Q52+T52+W52</f>
        <v>205528</v>
      </c>
      <c r="AA52" s="515">
        <f t="shared" si="13"/>
        <v>200875</v>
      </c>
      <c r="AB52" s="515">
        <f t="shared" si="13"/>
        <v>406403</v>
      </c>
    </row>
    <row r="53" spans="1:28" ht="15">
      <c r="A53" s="547" t="s">
        <v>155</v>
      </c>
      <c r="B53" s="550"/>
      <c r="C53" s="551"/>
      <c r="D53" s="551"/>
      <c r="E53" s="551"/>
      <c r="F53" s="551"/>
      <c r="G53" s="551"/>
      <c r="H53" s="551"/>
      <c r="I53" s="551"/>
      <c r="J53" s="552"/>
      <c r="K53" s="550"/>
      <c r="L53" s="551"/>
      <c r="M53" s="551"/>
      <c r="N53" s="551"/>
      <c r="O53" s="551"/>
      <c r="P53" s="551"/>
      <c r="Q53" s="551"/>
      <c r="R53" s="551"/>
      <c r="S53" s="552"/>
      <c r="T53" s="550"/>
      <c r="U53" s="551"/>
      <c r="V53" s="551"/>
      <c r="W53" s="551"/>
      <c r="X53" s="551"/>
      <c r="Y53" s="551"/>
      <c r="Z53" s="551"/>
      <c r="AA53" s="551"/>
      <c r="AB53" s="551"/>
    </row>
    <row r="54" spans="1:28">
      <c r="A54" s="541" t="s">
        <v>832</v>
      </c>
      <c r="B54" s="154">
        <v>0</v>
      </c>
      <c r="C54" s="154">
        <v>0</v>
      </c>
      <c r="D54" s="154">
        <v>0</v>
      </c>
      <c r="E54" s="154">
        <v>0</v>
      </c>
      <c r="F54" s="154">
        <v>0</v>
      </c>
      <c r="G54" s="154">
        <v>0</v>
      </c>
      <c r="H54" s="154">
        <v>122</v>
      </c>
      <c r="I54" s="154">
        <v>247</v>
      </c>
      <c r="J54" s="154">
        <v>369</v>
      </c>
      <c r="K54" s="154">
        <v>2401</v>
      </c>
      <c r="L54" s="154">
        <v>2855</v>
      </c>
      <c r="M54" s="154">
        <v>5256</v>
      </c>
      <c r="N54" s="154">
        <v>0</v>
      </c>
      <c r="O54" s="154">
        <v>0</v>
      </c>
      <c r="P54" s="154">
        <v>0</v>
      </c>
      <c r="Q54" s="154">
        <v>596</v>
      </c>
      <c r="R54" s="154">
        <v>135</v>
      </c>
      <c r="S54" s="154">
        <v>731</v>
      </c>
      <c r="T54" s="154">
        <v>0</v>
      </c>
      <c r="U54" s="154">
        <v>0</v>
      </c>
      <c r="V54" s="154">
        <v>0</v>
      </c>
      <c r="W54" s="154">
        <v>11</v>
      </c>
      <c r="X54" s="154">
        <v>26</v>
      </c>
      <c r="Y54" s="154">
        <v>37</v>
      </c>
      <c r="Z54" s="154">
        <v>3130</v>
      </c>
      <c r="AA54" s="154">
        <v>3263</v>
      </c>
      <c r="AB54" s="154">
        <v>6393</v>
      </c>
    </row>
    <row r="55" spans="1:28">
      <c r="A55" s="541" t="s">
        <v>831</v>
      </c>
      <c r="B55" s="515">
        <v>0</v>
      </c>
      <c r="C55" s="515">
        <v>0</v>
      </c>
      <c r="D55" s="515">
        <v>0</v>
      </c>
      <c r="E55" s="515">
        <v>0</v>
      </c>
      <c r="F55" s="515">
        <v>0</v>
      </c>
      <c r="G55" s="515">
        <v>0</v>
      </c>
      <c r="H55" s="515">
        <v>137</v>
      </c>
      <c r="I55" s="515">
        <v>223</v>
      </c>
      <c r="J55" s="515">
        <v>360</v>
      </c>
      <c r="K55" s="515">
        <v>2319</v>
      </c>
      <c r="L55" s="515">
        <v>2691</v>
      </c>
      <c r="M55" s="515">
        <v>5010</v>
      </c>
      <c r="N55" s="515">
        <v>0</v>
      </c>
      <c r="O55" s="515">
        <v>0</v>
      </c>
      <c r="P55" s="515">
        <v>0</v>
      </c>
      <c r="Q55" s="515">
        <v>570</v>
      </c>
      <c r="R55" s="515">
        <v>142</v>
      </c>
      <c r="S55" s="515">
        <v>712</v>
      </c>
      <c r="T55" s="515">
        <v>0</v>
      </c>
      <c r="U55" s="515">
        <v>0</v>
      </c>
      <c r="V55" s="515">
        <v>0</v>
      </c>
      <c r="W55" s="515">
        <v>6</v>
      </c>
      <c r="X55" s="515">
        <v>14</v>
      </c>
      <c r="Y55" s="515">
        <v>20</v>
      </c>
      <c r="Z55" s="515">
        <v>3032</v>
      </c>
      <c r="AA55" s="515">
        <v>3070</v>
      </c>
      <c r="AB55" s="515">
        <v>6102</v>
      </c>
    </row>
    <row r="56" spans="1:28">
      <c r="A56" s="541" t="s">
        <v>830</v>
      </c>
      <c r="B56" s="545">
        <v>0</v>
      </c>
      <c r="C56" s="545">
        <v>0</v>
      </c>
      <c r="D56" s="559">
        <v>0</v>
      </c>
      <c r="E56" s="545">
        <v>0</v>
      </c>
      <c r="F56" s="545">
        <v>0</v>
      </c>
      <c r="G56" s="559">
        <v>0</v>
      </c>
      <c r="H56" s="545">
        <v>126</v>
      </c>
      <c r="I56" s="545">
        <v>198</v>
      </c>
      <c r="J56" s="559">
        <v>324</v>
      </c>
      <c r="K56" s="545">
        <v>2134</v>
      </c>
      <c r="L56" s="545">
        <v>2628</v>
      </c>
      <c r="M56" s="559">
        <v>4762</v>
      </c>
      <c r="N56" s="545">
        <v>0</v>
      </c>
      <c r="O56" s="545">
        <v>0</v>
      </c>
      <c r="P56" s="559">
        <v>0</v>
      </c>
      <c r="Q56" s="545">
        <v>586</v>
      </c>
      <c r="R56" s="545">
        <v>98</v>
      </c>
      <c r="S56" s="559">
        <v>684</v>
      </c>
      <c r="T56" s="545">
        <v>0</v>
      </c>
      <c r="U56" s="545">
        <v>0</v>
      </c>
      <c r="V56" s="559">
        <v>0</v>
      </c>
      <c r="W56" s="545">
        <v>4</v>
      </c>
      <c r="X56" s="545">
        <v>2</v>
      </c>
      <c r="Y56" s="559">
        <v>6</v>
      </c>
      <c r="Z56" s="209">
        <v>2850</v>
      </c>
      <c r="AA56" s="209">
        <v>2926</v>
      </c>
      <c r="AB56" s="559">
        <v>5776</v>
      </c>
    </row>
    <row r="57" spans="1:28">
      <c r="A57" s="541" t="s">
        <v>829</v>
      </c>
      <c r="B57" s="560">
        <v>0</v>
      </c>
      <c r="C57" s="560">
        <v>0</v>
      </c>
      <c r="D57" s="561">
        <v>0</v>
      </c>
      <c r="E57" s="560">
        <v>0</v>
      </c>
      <c r="F57" s="560">
        <v>0</v>
      </c>
      <c r="G57" s="561">
        <v>0</v>
      </c>
      <c r="H57" s="560">
        <v>121</v>
      </c>
      <c r="I57" s="560">
        <v>176</v>
      </c>
      <c r="J57" s="561">
        <v>297</v>
      </c>
      <c r="K57" s="560">
        <v>2156</v>
      </c>
      <c r="L57" s="560">
        <v>2420</v>
      </c>
      <c r="M57" s="561">
        <v>4576</v>
      </c>
      <c r="N57" s="560">
        <v>0</v>
      </c>
      <c r="O57" s="560">
        <v>0</v>
      </c>
      <c r="P57" s="561">
        <v>0</v>
      </c>
      <c r="Q57" s="560">
        <v>632</v>
      </c>
      <c r="R57" s="560">
        <v>102</v>
      </c>
      <c r="S57" s="561">
        <v>734</v>
      </c>
      <c r="T57" s="560">
        <v>0</v>
      </c>
      <c r="U57" s="560">
        <v>0</v>
      </c>
      <c r="V57" s="561">
        <v>0</v>
      </c>
      <c r="W57" s="560">
        <v>0</v>
      </c>
      <c r="X57" s="560">
        <v>0</v>
      </c>
      <c r="Y57" s="561">
        <v>0</v>
      </c>
      <c r="Z57" s="562">
        <v>2909</v>
      </c>
      <c r="AA57" s="562">
        <v>2698</v>
      </c>
      <c r="AB57" s="561">
        <f t="shared" ref="AB57" si="14">Z57+AA57</f>
        <v>5607</v>
      </c>
    </row>
    <row r="58" spans="1:28">
      <c r="A58" s="514" t="s">
        <v>828</v>
      </c>
      <c r="B58" s="515">
        <v>0</v>
      </c>
      <c r="C58" s="515">
        <v>0</v>
      </c>
      <c r="D58" s="515">
        <v>0</v>
      </c>
      <c r="E58" s="515">
        <v>0</v>
      </c>
      <c r="F58" s="515">
        <v>0</v>
      </c>
      <c r="G58" s="515">
        <v>0</v>
      </c>
      <c r="H58" s="515">
        <v>120</v>
      </c>
      <c r="I58" s="515">
        <v>168</v>
      </c>
      <c r="J58" s="515">
        <v>288</v>
      </c>
      <c r="K58" s="515">
        <v>2182</v>
      </c>
      <c r="L58" s="515">
        <v>2276</v>
      </c>
      <c r="M58" s="515">
        <v>4458</v>
      </c>
      <c r="N58" s="515">
        <v>0</v>
      </c>
      <c r="O58" s="515">
        <v>19</v>
      </c>
      <c r="P58" s="515">
        <v>19</v>
      </c>
      <c r="Q58" s="515">
        <v>604</v>
      </c>
      <c r="R58" s="515">
        <v>80</v>
      </c>
      <c r="S58" s="515">
        <v>684</v>
      </c>
      <c r="T58" s="515">
        <v>0</v>
      </c>
      <c r="U58" s="515">
        <v>0</v>
      </c>
      <c r="V58" s="515">
        <v>0</v>
      </c>
      <c r="W58" s="515">
        <v>0</v>
      </c>
      <c r="X58" s="515">
        <v>0</v>
      </c>
      <c r="Y58" s="515">
        <v>0</v>
      </c>
      <c r="Z58" s="515">
        <f t="shared" ref="Z58:AB58" si="15">B58+E58+H58+K58+N58+Q58+T58+W58</f>
        <v>2906</v>
      </c>
      <c r="AA58" s="515">
        <f t="shared" si="15"/>
        <v>2543</v>
      </c>
      <c r="AB58" s="515">
        <f t="shared" si="15"/>
        <v>5449</v>
      </c>
    </row>
    <row r="59" spans="1:28" ht="15">
      <c r="A59" s="537" t="s">
        <v>156</v>
      </c>
      <c r="B59" s="538"/>
      <c r="C59" s="539"/>
      <c r="D59" s="539"/>
      <c r="E59" s="539"/>
      <c r="F59" s="539"/>
      <c r="G59" s="539"/>
      <c r="H59" s="539"/>
      <c r="I59" s="539"/>
      <c r="J59" s="540"/>
      <c r="K59" s="538"/>
      <c r="L59" s="539"/>
      <c r="M59" s="539"/>
      <c r="N59" s="539"/>
      <c r="O59" s="539"/>
      <c r="P59" s="539"/>
      <c r="Q59" s="539"/>
      <c r="R59" s="539"/>
      <c r="S59" s="540"/>
      <c r="T59" s="538"/>
      <c r="U59" s="539"/>
      <c r="V59" s="539"/>
      <c r="W59" s="539"/>
      <c r="X59" s="539"/>
      <c r="Y59" s="539"/>
      <c r="Z59" s="539"/>
      <c r="AA59" s="539"/>
      <c r="AB59" s="539"/>
    </row>
    <row r="60" spans="1:28">
      <c r="A60" s="541" t="s">
        <v>832</v>
      </c>
      <c r="B60" s="154">
        <v>0</v>
      </c>
      <c r="C60" s="154">
        <v>0</v>
      </c>
      <c r="D60" s="154">
        <v>0</v>
      </c>
      <c r="E60" s="154">
        <v>0</v>
      </c>
      <c r="F60" s="154">
        <v>0</v>
      </c>
      <c r="G60" s="154">
        <v>0</v>
      </c>
      <c r="H60" s="154">
        <v>66</v>
      </c>
      <c r="I60" s="154">
        <v>186</v>
      </c>
      <c r="J60" s="154">
        <v>252</v>
      </c>
      <c r="K60" s="154">
        <v>1035</v>
      </c>
      <c r="L60" s="154">
        <v>1310</v>
      </c>
      <c r="M60" s="154">
        <v>2345</v>
      </c>
      <c r="N60" s="154">
        <v>0</v>
      </c>
      <c r="O60" s="154">
        <v>0</v>
      </c>
      <c r="P60" s="154">
        <v>0</v>
      </c>
      <c r="Q60" s="154">
        <v>1089</v>
      </c>
      <c r="R60" s="154">
        <v>246</v>
      </c>
      <c r="S60" s="154">
        <v>1335</v>
      </c>
      <c r="T60" s="154">
        <v>0</v>
      </c>
      <c r="U60" s="154">
        <v>0</v>
      </c>
      <c r="V60" s="154">
        <v>0</v>
      </c>
      <c r="W60" s="154">
        <v>0</v>
      </c>
      <c r="X60" s="154">
        <v>0</v>
      </c>
      <c r="Y60" s="154">
        <v>0</v>
      </c>
      <c r="Z60" s="154">
        <v>2190</v>
      </c>
      <c r="AA60" s="154">
        <v>1742</v>
      </c>
      <c r="AB60" s="154">
        <v>3932</v>
      </c>
    </row>
    <row r="61" spans="1:28">
      <c r="A61" s="541" t="s">
        <v>831</v>
      </c>
      <c r="B61" s="515">
        <v>0</v>
      </c>
      <c r="C61" s="515">
        <v>0</v>
      </c>
      <c r="D61" s="515">
        <v>0</v>
      </c>
      <c r="E61" s="515">
        <v>0</v>
      </c>
      <c r="F61" s="515">
        <v>0</v>
      </c>
      <c r="G61" s="515">
        <v>0</v>
      </c>
      <c r="H61" s="515">
        <v>38</v>
      </c>
      <c r="I61" s="515">
        <v>85</v>
      </c>
      <c r="J61" s="515">
        <v>123</v>
      </c>
      <c r="K61" s="515">
        <v>808</v>
      </c>
      <c r="L61" s="515">
        <v>1143</v>
      </c>
      <c r="M61" s="515">
        <v>1951</v>
      </c>
      <c r="N61" s="515">
        <v>0</v>
      </c>
      <c r="O61" s="515">
        <v>0</v>
      </c>
      <c r="P61" s="515">
        <v>0</v>
      </c>
      <c r="Q61" s="515">
        <v>1116</v>
      </c>
      <c r="R61" s="515">
        <v>213</v>
      </c>
      <c r="S61" s="515">
        <v>1329</v>
      </c>
      <c r="T61" s="515">
        <v>0</v>
      </c>
      <c r="U61" s="515">
        <v>0</v>
      </c>
      <c r="V61" s="515">
        <v>0</v>
      </c>
      <c r="W61" s="515">
        <v>0</v>
      </c>
      <c r="X61" s="515">
        <v>0</v>
      </c>
      <c r="Y61" s="515">
        <v>0</v>
      </c>
      <c r="Z61" s="515">
        <v>1962</v>
      </c>
      <c r="AA61" s="515">
        <v>1441</v>
      </c>
      <c r="AB61" s="515">
        <v>3403</v>
      </c>
    </row>
    <row r="62" spans="1:28">
      <c r="A62" s="541" t="s">
        <v>830</v>
      </c>
      <c r="B62" s="545">
        <v>0</v>
      </c>
      <c r="C62" s="545">
        <v>0</v>
      </c>
      <c r="D62" s="559">
        <v>0</v>
      </c>
      <c r="E62" s="545">
        <v>0</v>
      </c>
      <c r="F62" s="545">
        <v>0</v>
      </c>
      <c r="G62" s="559">
        <v>0</v>
      </c>
      <c r="H62" s="545">
        <v>0</v>
      </c>
      <c r="I62" s="545">
        <v>0</v>
      </c>
      <c r="J62" s="559">
        <v>0</v>
      </c>
      <c r="K62" s="545">
        <v>573</v>
      </c>
      <c r="L62" s="545">
        <v>1061</v>
      </c>
      <c r="M62" s="559">
        <v>1634</v>
      </c>
      <c r="N62" s="545">
        <v>0</v>
      </c>
      <c r="O62" s="545">
        <v>0</v>
      </c>
      <c r="P62" s="559">
        <v>0</v>
      </c>
      <c r="Q62" s="545">
        <v>1235</v>
      </c>
      <c r="R62" s="545">
        <v>221</v>
      </c>
      <c r="S62" s="559">
        <v>1456</v>
      </c>
      <c r="T62" s="545">
        <v>0</v>
      </c>
      <c r="U62" s="545">
        <v>0</v>
      </c>
      <c r="V62" s="559">
        <v>0</v>
      </c>
      <c r="W62" s="545">
        <v>0</v>
      </c>
      <c r="X62" s="545">
        <v>0</v>
      </c>
      <c r="Y62" s="559">
        <v>0</v>
      </c>
      <c r="Z62" s="209">
        <v>1808</v>
      </c>
      <c r="AA62" s="209">
        <v>1282</v>
      </c>
      <c r="AB62" s="559">
        <v>3090</v>
      </c>
    </row>
    <row r="63" spans="1:28">
      <c r="A63" s="541" t="s">
        <v>829</v>
      </c>
      <c r="B63" s="560">
        <v>0</v>
      </c>
      <c r="C63" s="560">
        <v>0</v>
      </c>
      <c r="D63" s="561">
        <v>0</v>
      </c>
      <c r="E63" s="560">
        <v>0</v>
      </c>
      <c r="F63" s="560">
        <v>0</v>
      </c>
      <c r="G63" s="561">
        <v>0</v>
      </c>
      <c r="H63" s="560">
        <v>0</v>
      </c>
      <c r="I63" s="560">
        <v>0</v>
      </c>
      <c r="J63" s="561">
        <v>0</v>
      </c>
      <c r="K63" s="560">
        <v>628</v>
      </c>
      <c r="L63" s="560">
        <v>1002</v>
      </c>
      <c r="M63" s="561">
        <v>1630</v>
      </c>
      <c r="N63" s="560">
        <v>0</v>
      </c>
      <c r="O63" s="560">
        <v>0</v>
      </c>
      <c r="P63" s="561">
        <v>0</v>
      </c>
      <c r="Q63" s="560">
        <v>1306</v>
      </c>
      <c r="R63" s="560">
        <v>183</v>
      </c>
      <c r="S63" s="561">
        <v>1489</v>
      </c>
      <c r="T63" s="560">
        <v>0</v>
      </c>
      <c r="U63" s="560">
        <v>0</v>
      </c>
      <c r="V63" s="561">
        <v>0</v>
      </c>
      <c r="W63" s="560">
        <v>0</v>
      </c>
      <c r="X63" s="560">
        <v>0</v>
      </c>
      <c r="Y63" s="561">
        <v>0</v>
      </c>
      <c r="Z63" s="562">
        <v>1934</v>
      </c>
      <c r="AA63" s="562">
        <v>1185</v>
      </c>
      <c r="AB63" s="561">
        <f t="shared" ref="AB63" si="16">Z63+AA63</f>
        <v>3119</v>
      </c>
    </row>
    <row r="64" spans="1:28">
      <c r="A64" s="514" t="s">
        <v>828</v>
      </c>
      <c r="B64" s="515">
        <v>0</v>
      </c>
      <c r="C64" s="515">
        <v>0</v>
      </c>
      <c r="D64" s="515">
        <v>0</v>
      </c>
      <c r="E64" s="515">
        <v>0</v>
      </c>
      <c r="F64" s="515">
        <v>0</v>
      </c>
      <c r="G64" s="515">
        <v>0</v>
      </c>
      <c r="H64" s="515">
        <v>0</v>
      </c>
      <c r="I64" s="515">
        <v>0</v>
      </c>
      <c r="J64" s="515">
        <v>0</v>
      </c>
      <c r="K64" s="515">
        <v>695</v>
      </c>
      <c r="L64" s="515">
        <v>1088</v>
      </c>
      <c r="M64" s="515">
        <v>1783</v>
      </c>
      <c r="N64" s="515">
        <v>0</v>
      </c>
      <c r="O64" s="515">
        <v>0</v>
      </c>
      <c r="P64" s="515">
        <v>0</v>
      </c>
      <c r="Q64" s="515">
        <v>1186</v>
      </c>
      <c r="R64" s="515">
        <v>153</v>
      </c>
      <c r="S64" s="515">
        <v>1339</v>
      </c>
      <c r="T64" s="515">
        <v>0</v>
      </c>
      <c r="U64" s="515">
        <v>0</v>
      </c>
      <c r="V64" s="515">
        <v>0</v>
      </c>
      <c r="W64" s="515">
        <v>0</v>
      </c>
      <c r="X64" s="515">
        <v>0</v>
      </c>
      <c r="Y64" s="515">
        <v>0</v>
      </c>
      <c r="Z64" s="515">
        <f t="shared" ref="Z64:AB64" si="17">B64+E64+H64+K64+N64+Q64+T64+W64</f>
        <v>1881</v>
      </c>
      <c r="AA64" s="515">
        <f t="shared" si="17"/>
        <v>1241</v>
      </c>
      <c r="AB64" s="515">
        <f t="shared" si="17"/>
        <v>3122</v>
      </c>
    </row>
    <row r="65" spans="1:28" ht="15">
      <c r="A65" s="537" t="s">
        <v>23</v>
      </c>
      <c r="B65" s="538"/>
      <c r="C65" s="539"/>
      <c r="D65" s="539"/>
      <c r="E65" s="539"/>
      <c r="F65" s="539"/>
      <c r="G65" s="539"/>
      <c r="H65" s="539"/>
      <c r="I65" s="539"/>
      <c r="J65" s="540"/>
      <c r="K65" s="538"/>
      <c r="L65" s="539"/>
      <c r="M65" s="539"/>
      <c r="N65" s="539"/>
      <c r="O65" s="539"/>
      <c r="P65" s="539"/>
      <c r="Q65" s="539"/>
      <c r="R65" s="539"/>
      <c r="S65" s="540"/>
      <c r="T65" s="538"/>
      <c r="U65" s="539"/>
      <c r="V65" s="539"/>
      <c r="W65" s="539"/>
      <c r="X65" s="539"/>
      <c r="Y65" s="539"/>
      <c r="Z65" s="539"/>
      <c r="AA65" s="539"/>
      <c r="AB65" s="539"/>
    </row>
    <row r="66" spans="1:28">
      <c r="A66" s="541" t="s">
        <v>832</v>
      </c>
      <c r="B66" s="154">
        <v>8812</v>
      </c>
      <c r="C66" s="154">
        <v>7458</v>
      </c>
      <c r="D66" s="154">
        <v>16270</v>
      </c>
      <c r="E66" s="154">
        <v>650</v>
      </c>
      <c r="F66" s="154">
        <v>672</v>
      </c>
      <c r="G66" s="154">
        <v>1322</v>
      </c>
      <c r="H66" s="154">
        <v>24635</v>
      </c>
      <c r="I66" s="154">
        <v>24080</v>
      </c>
      <c r="J66" s="154">
        <v>48715</v>
      </c>
      <c r="K66" s="154">
        <v>162498</v>
      </c>
      <c r="L66" s="154">
        <v>178598</v>
      </c>
      <c r="M66" s="154">
        <v>341096</v>
      </c>
      <c r="N66" s="154">
        <v>2692</v>
      </c>
      <c r="O66" s="154">
        <v>2215</v>
      </c>
      <c r="P66" s="154">
        <v>4907</v>
      </c>
      <c r="Q66" s="154">
        <v>17816</v>
      </c>
      <c r="R66" s="154">
        <v>12949</v>
      </c>
      <c r="S66" s="154">
        <v>30765</v>
      </c>
      <c r="T66" s="154">
        <v>2340</v>
      </c>
      <c r="U66" s="154">
        <v>1627</v>
      </c>
      <c r="V66" s="154">
        <v>3967</v>
      </c>
      <c r="W66" s="154">
        <v>2999</v>
      </c>
      <c r="X66" s="154">
        <v>1497</v>
      </c>
      <c r="Y66" s="154">
        <v>4496</v>
      </c>
      <c r="Z66" s="154">
        <v>222442</v>
      </c>
      <c r="AA66" s="154">
        <v>229096</v>
      </c>
      <c r="AB66" s="154">
        <v>451538</v>
      </c>
    </row>
    <row r="67" spans="1:28">
      <c r="A67" s="541" t="s">
        <v>831</v>
      </c>
      <c r="B67" s="515">
        <v>4918</v>
      </c>
      <c r="C67" s="515">
        <v>4493</v>
      </c>
      <c r="D67" s="515">
        <v>9411</v>
      </c>
      <c r="E67" s="515">
        <v>2402</v>
      </c>
      <c r="F67" s="515">
        <v>2684</v>
      </c>
      <c r="G67" s="515">
        <v>5086</v>
      </c>
      <c r="H67" s="515">
        <v>25115</v>
      </c>
      <c r="I67" s="515">
        <v>24578</v>
      </c>
      <c r="J67" s="515">
        <v>49693</v>
      </c>
      <c r="K67" s="515">
        <v>159224</v>
      </c>
      <c r="L67" s="515">
        <v>169739</v>
      </c>
      <c r="M67" s="515">
        <v>328963</v>
      </c>
      <c r="N67" s="515">
        <v>1933</v>
      </c>
      <c r="O67" s="515">
        <v>1797</v>
      </c>
      <c r="P67" s="515">
        <v>3730</v>
      </c>
      <c r="Q67" s="515">
        <v>16697</v>
      </c>
      <c r="R67" s="515">
        <v>12316</v>
      </c>
      <c r="S67" s="515">
        <v>29013</v>
      </c>
      <c r="T67" s="515">
        <v>2348</v>
      </c>
      <c r="U67" s="515">
        <v>1656</v>
      </c>
      <c r="V67" s="515">
        <v>4004</v>
      </c>
      <c r="W67" s="515">
        <v>3189</v>
      </c>
      <c r="X67" s="515">
        <v>1882</v>
      </c>
      <c r="Y67" s="515">
        <v>5071</v>
      </c>
      <c r="Z67" s="515">
        <v>215826</v>
      </c>
      <c r="AA67" s="515">
        <v>219145</v>
      </c>
      <c r="AB67" s="515">
        <v>434971</v>
      </c>
    </row>
    <row r="68" spans="1:28">
      <c r="A68" s="541" t="s">
        <v>830</v>
      </c>
      <c r="B68" s="545">
        <v>7580</v>
      </c>
      <c r="C68" s="545">
        <v>7132</v>
      </c>
      <c r="D68" s="559">
        <v>14712</v>
      </c>
      <c r="E68" s="545">
        <v>1243</v>
      </c>
      <c r="F68" s="545">
        <v>1380</v>
      </c>
      <c r="G68" s="559">
        <v>2623</v>
      </c>
      <c r="H68" s="543">
        <v>24109.452372635584</v>
      </c>
      <c r="I68" s="543">
        <v>24492.275494269546</v>
      </c>
      <c r="J68" s="563">
        <v>48601.72786690513</v>
      </c>
      <c r="K68" s="543">
        <v>157782.12838086154</v>
      </c>
      <c r="L68" s="543">
        <v>164764.03819226782</v>
      </c>
      <c r="M68" s="563">
        <v>322546.16657312936</v>
      </c>
      <c r="N68" s="545">
        <v>2468</v>
      </c>
      <c r="O68" s="545">
        <v>1714</v>
      </c>
      <c r="P68" s="559">
        <v>4182</v>
      </c>
      <c r="Q68" s="545">
        <v>17060</v>
      </c>
      <c r="R68" s="545">
        <v>11596</v>
      </c>
      <c r="S68" s="559">
        <v>28656</v>
      </c>
      <c r="T68" s="545">
        <v>2257</v>
      </c>
      <c r="U68" s="545">
        <v>1471</v>
      </c>
      <c r="V68" s="559">
        <v>3728</v>
      </c>
      <c r="W68" s="545">
        <v>2126</v>
      </c>
      <c r="X68" s="545">
        <v>1019</v>
      </c>
      <c r="Y68" s="559">
        <v>3145</v>
      </c>
      <c r="Z68" s="200">
        <v>214625.58075349708</v>
      </c>
      <c r="AA68" s="200">
        <v>213568.31368653738</v>
      </c>
      <c r="AB68" s="563">
        <v>428193.8944400344</v>
      </c>
    </row>
    <row r="69" spans="1:28">
      <c r="A69" s="541" t="s">
        <v>829</v>
      </c>
      <c r="B69" s="560">
        <v>5319</v>
      </c>
      <c r="C69" s="560">
        <v>4604</v>
      </c>
      <c r="D69" s="561">
        <v>9923</v>
      </c>
      <c r="E69" s="560">
        <v>3028</v>
      </c>
      <c r="F69" s="560">
        <v>3380</v>
      </c>
      <c r="G69" s="561">
        <v>6408</v>
      </c>
      <c r="H69" s="560">
        <v>22423</v>
      </c>
      <c r="I69" s="560">
        <v>20826</v>
      </c>
      <c r="J69" s="561">
        <v>43249</v>
      </c>
      <c r="K69" s="560">
        <v>149412</v>
      </c>
      <c r="L69" s="560">
        <v>151142</v>
      </c>
      <c r="M69" s="561">
        <v>300554</v>
      </c>
      <c r="N69" s="560">
        <v>2776</v>
      </c>
      <c r="O69" s="560">
        <v>1705</v>
      </c>
      <c r="P69" s="561">
        <v>4481</v>
      </c>
      <c r="Q69" s="560">
        <v>16604</v>
      </c>
      <c r="R69" s="560">
        <v>11471</v>
      </c>
      <c r="S69" s="561">
        <v>28075</v>
      </c>
      <c r="T69" s="560">
        <v>1895</v>
      </c>
      <c r="U69" s="560">
        <v>1283</v>
      </c>
      <c r="V69" s="561">
        <v>3178</v>
      </c>
      <c r="W69" s="560">
        <v>2020</v>
      </c>
      <c r="X69" s="560">
        <v>754</v>
      </c>
      <c r="Y69" s="561">
        <v>2774</v>
      </c>
      <c r="Z69" s="562">
        <v>203477</v>
      </c>
      <c r="AA69" s="562">
        <v>195165</v>
      </c>
      <c r="AB69" s="561">
        <f t="shared" ref="AB69" si="18">Z69+AA69</f>
        <v>398642</v>
      </c>
    </row>
    <row r="70" spans="1:28">
      <c r="A70" s="514" t="s">
        <v>828</v>
      </c>
      <c r="B70" s="515">
        <v>4861</v>
      </c>
      <c r="C70" s="515">
        <v>4018</v>
      </c>
      <c r="D70" s="515">
        <v>8879</v>
      </c>
      <c r="E70" s="515">
        <v>2830</v>
      </c>
      <c r="F70" s="515">
        <v>3085</v>
      </c>
      <c r="G70" s="515">
        <v>5915</v>
      </c>
      <c r="H70" s="515">
        <v>22677</v>
      </c>
      <c r="I70" s="515">
        <v>20628</v>
      </c>
      <c r="J70" s="515">
        <v>43305</v>
      </c>
      <c r="K70" s="515">
        <v>141628</v>
      </c>
      <c r="L70" s="515">
        <v>139539</v>
      </c>
      <c r="M70" s="515">
        <v>281167</v>
      </c>
      <c r="N70" s="515">
        <v>2944</v>
      </c>
      <c r="O70" s="515">
        <v>1697</v>
      </c>
      <c r="P70" s="515">
        <v>4641</v>
      </c>
      <c r="Q70" s="515">
        <v>16534</v>
      </c>
      <c r="R70" s="515">
        <v>10511</v>
      </c>
      <c r="S70" s="515">
        <v>27045</v>
      </c>
      <c r="T70" s="515">
        <v>1990</v>
      </c>
      <c r="U70" s="515">
        <v>1235</v>
      </c>
      <c r="V70" s="515">
        <v>3225</v>
      </c>
      <c r="W70" s="515">
        <v>2278</v>
      </c>
      <c r="X70" s="515">
        <v>909</v>
      </c>
      <c r="Y70" s="515">
        <v>3187</v>
      </c>
      <c r="Z70" s="515">
        <f t="shared" ref="Z70:AB70" si="19">B70+E70+H70+K70+N70+Q70+T70+W70</f>
        <v>195742</v>
      </c>
      <c r="AA70" s="515">
        <f t="shared" si="19"/>
        <v>181622</v>
      </c>
      <c r="AB70" s="515">
        <f t="shared" si="19"/>
        <v>377364</v>
      </c>
    </row>
    <row r="71" spans="1:28" ht="15">
      <c r="A71" s="537" t="s">
        <v>24</v>
      </c>
      <c r="B71" s="538"/>
      <c r="C71" s="539"/>
      <c r="D71" s="539"/>
      <c r="E71" s="539"/>
      <c r="F71" s="539"/>
      <c r="G71" s="539"/>
      <c r="H71" s="539"/>
      <c r="I71" s="539"/>
      <c r="J71" s="540"/>
      <c r="K71" s="538"/>
      <c r="L71" s="539"/>
      <c r="M71" s="539"/>
      <c r="N71" s="539"/>
      <c r="O71" s="539"/>
      <c r="P71" s="539"/>
      <c r="Q71" s="539"/>
      <c r="R71" s="539"/>
      <c r="S71" s="540"/>
      <c r="T71" s="538"/>
      <c r="U71" s="539"/>
      <c r="V71" s="539"/>
      <c r="W71" s="539"/>
      <c r="X71" s="539"/>
      <c r="Y71" s="539"/>
      <c r="Z71" s="539"/>
      <c r="AA71" s="539"/>
      <c r="AB71" s="539"/>
    </row>
    <row r="72" spans="1:28">
      <c r="A72" s="541" t="s">
        <v>832</v>
      </c>
      <c r="B72" s="154">
        <v>217</v>
      </c>
      <c r="C72" s="154">
        <v>216</v>
      </c>
      <c r="D72" s="154">
        <v>433</v>
      </c>
      <c r="E72" s="154">
        <v>1</v>
      </c>
      <c r="F72" s="154">
        <v>4</v>
      </c>
      <c r="G72" s="154">
        <v>5</v>
      </c>
      <c r="H72" s="154">
        <v>1799</v>
      </c>
      <c r="I72" s="154">
        <v>3139</v>
      </c>
      <c r="J72" s="154">
        <v>4938</v>
      </c>
      <c r="K72" s="154">
        <v>15641</v>
      </c>
      <c r="L72" s="154">
        <v>20727</v>
      </c>
      <c r="M72" s="154">
        <v>36368</v>
      </c>
      <c r="N72" s="154">
        <v>39</v>
      </c>
      <c r="O72" s="154">
        <v>52</v>
      </c>
      <c r="P72" s="154">
        <v>91</v>
      </c>
      <c r="Q72" s="154">
        <v>4412</v>
      </c>
      <c r="R72" s="154">
        <v>872</v>
      </c>
      <c r="S72" s="154">
        <v>5284</v>
      </c>
      <c r="T72" s="154">
        <v>20</v>
      </c>
      <c r="U72" s="154">
        <v>4</v>
      </c>
      <c r="V72" s="154">
        <v>24</v>
      </c>
      <c r="W72" s="154">
        <v>196</v>
      </c>
      <c r="X72" s="154">
        <v>528</v>
      </c>
      <c r="Y72" s="154">
        <v>724</v>
      </c>
      <c r="Z72" s="154">
        <v>22325</v>
      </c>
      <c r="AA72" s="154">
        <v>25542</v>
      </c>
      <c r="AB72" s="154">
        <v>47867</v>
      </c>
    </row>
    <row r="73" spans="1:28">
      <c r="A73" s="541" t="s">
        <v>831</v>
      </c>
      <c r="B73" s="515">
        <v>167</v>
      </c>
      <c r="C73" s="515">
        <v>129</v>
      </c>
      <c r="D73" s="515">
        <v>296</v>
      </c>
      <c r="E73" s="515">
        <v>0</v>
      </c>
      <c r="F73" s="515">
        <v>0</v>
      </c>
      <c r="G73" s="515">
        <v>0</v>
      </c>
      <c r="H73" s="515">
        <v>1615</v>
      </c>
      <c r="I73" s="515">
        <v>2846</v>
      </c>
      <c r="J73" s="515">
        <v>4461</v>
      </c>
      <c r="K73" s="515">
        <v>16567</v>
      </c>
      <c r="L73" s="515">
        <v>21225</v>
      </c>
      <c r="M73" s="515">
        <v>37792</v>
      </c>
      <c r="N73" s="515">
        <v>37</v>
      </c>
      <c r="O73" s="515">
        <v>29</v>
      </c>
      <c r="P73" s="515">
        <v>66</v>
      </c>
      <c r="Q73" s="515">
        <v>5566</v>
      </c>
      <c r="R73" s="515">
        <v>751</v>
      </c>
      <c r="S73" s="515">
        <v>6317</v>
      </c>
      <c r="T73" s="515">
        <v>11</v>
      </c>
      <c r="U73" s="515">
        <v>0</v>
      </c>
      <c r="V73" s="515">
        <v>11</v>
      </c>
      <c r="W73" s="515">
        <v>213</v>
      </c>
      <c r="X73" s="515">
        <v>479</v>
      </c>
      <c r="Y73" s="515">
        <v>692</v>
      </c>
      <c r="Z73" s="515">
        <v>24176</v>
      </c>
      <c r="AA73" s="515">
        <v>25459</v>
      </c>
      <c r="AB73" s="515">
        <v>49635</v>
      </c>
    </row>
    <row r="74" spans="1:28">
      <c r="A74" s="541" t="s">
        <v>830</v>
      </c>
      <c r="B74" s="545">
        <v>71</v>
      </c>
      <c r="C74" s="545">
        <v>41</v>
      </c>
      <c r="D74" s="559">
        <v>112</v>
      </c>
      <c r="E74" s="545">
        <v>0</v>
      </c>
      <c r="F74" s="545">
        <v>0</v>
      </c>
      <c r="G74" s="559">
        <v>0</v>
      </c>
      <c r="H74" s="543">
        <v>1435.6060566671986</v>
      </c>
      <c r="I74" s="543">
        <v>2562.6443697007871</v>
      </c>
      <c r="J74" s="563">
        <v>3998.2504263679857</v>
      </c>
      <c r="K74" s="543">
        <v>13378.713183328669</v>
      </c>
      <c r="L74" s="543">
        <v>19031.159220925842</v>
      </c>
      <c r="M74" s="563">
        <v>32409.872404254507</v>
      </c>
      <c r="N74" s="545">
        <v>43</v>
      </c>
      <c r="O74" s="545">
        <v>37</v>
      </c>
      <c r="P74" s="559">
        <v>80</v>
      </c>
      <c r="Q74" s="545">
        <v>5924</v>
      </c>
      <c r="R74" s="545">
        <v>782</v>
      </c>
      <c r="S74" s="559">
        <v>6706</v>
      </c>
      <c r="T74" s="545">
        <v>12</v>
      </c>
      <c r="U74" s="545">
        <v>0</v>
      </c>
      <c r="V74" s="559">
        <v>12</v>
      </c>
      <c r="W74" s="545">
        <v>198</v>
      </c>
      <c r="X74" s="545">
        <v>376</v>
      </c>
      <c r="Y74" s="559">
        <v>574</v>
      </c>
      <c r="Z74" s="200">
        <v>21062.319239995868</v>
      </c>
      <c r="AA74" s="200">
        <v>22829.80359062663</v>
      </c>
      <c r="AB74" s="563">
        <v>43892.122830622495</v>
      </c>
    </row>
    <row r="75" spans="1:28">
      <c r="A75" s="541" t="s">
        <v>829</v>
      </c>
      <c r="B75" s="560">
        <v>194</v>
      </c>
      <c r="C75" s="560">
        <v>294</v>
      </c>
      <c r="D75" s="561">
        <v>488</v>
      </c>
      <c r="E75" s="560">
        <v>2</v>
      </c>
      <c r="F75" s="560">
        <v>1</v>
      </c>
      <c r="G75" s="561">
        <v>3</v>
      </c>
      <c r="H75" s="560">
        <v>1596</v>
      </c>
      <c r="I75" s="560">
        <v>2672</v>
      </c>
      <c r="J75" s="561">
        <v>4268</v>
      </c>
      <c r="K75" s="560">
        <v>12906</v>
      </c>
      <c r="L75" s="560">
        <v>17831</v>
      </c>
      <c r="M75" s="561">
        <v>30737</v>
      </c>
      <c r="N75" s="560">
        <v>64</v>
      </c>
      <c r="O75" s="560">
        <v>52</v>
      </c>
      <c r="P75" s="561">
        <v>116</v>
      </c>
      <c r="Q75" s="560">
        <v>5844</v>
      </c>
      <c r="R75" s="560">
        <v>800</v>
      </c>
      <c r="S75" s="561">
        <v>6644</v>
      </c>
      <c r="T75" s="560">
        <v>13</v>
      </c>
      <c r="U75" s="560">
        <v>0</v>
      </c>
      <c r="V75" s="561">
        <v>13</v>
      </c>
      <c r="W75" s="560">
        <v>131</v>
      </c>
      <c r="X75" s="560">
        <v>169</v>
      </c>
      <c r="Y75" s="561">
        <v>300</v>
      </c>
      <c r="Z75" s="562">
        <v>20750</v>
      </c>
      <c r="AA75" s="562">
        <v>21819</v>
      </c>
      <c r="AB75" s="561">
        <f t="shared" ref="AB75" si="20">Z75+AA75</f>
        <v>42569</v>
      </c>
    </row>
    <row r="76" spans="1:28">
      <c r="A76" s="514" t="s">
        <v>828</v>
      </c>
      <c r="B76" s="515">
        <v>44</v>
      </c>
      <c r="C76" s="515">
        <v>26</v>
      </c>
      <c r="D76" s="515">
        <v>70</v>
      </c>
      <c r="E76" s="515">
        <v>10</v>
      </c>
      <c r="F76" s="515">
        <v>0</v>
      </c>
      <c r="G76" s="515">
        <v>10</v>
      </c>
      <c r="H76" s="515">
        <v>1518</v>
      </c>
      <c r="I76" s="515">
        <v>2492</v>
      </c>
      <c r="J76" s="515">
        <v>4010</v>
      </c>
      <c r="K76" s="515">
        <v>12231</v>
      </c>
      <c r="L76" s="515">
        <v>16814</v>
      </c>
      <c r="M76" s="515">
        <v>29045</v>
      </c>
      <c r="N76" s="515">
        <v>46</v>
      </c>
      <c r="O76" s="515">
        <v>50</v>
      </c>
      <c r="P76" s="515">
        <v>96</v>
      </c>
      <c r="Q76" s="515">
        <v>5830</v>
      </c>
      <c r="R76" s="515">
        <v>721</v>
      </c>
      <c r="S76" s="515">
        <v>6551</v>
      </c>
      <c r="T76" s="515">
        <v>19</v>
      </c>
      <c r="U76" s="515">
        <v>5</v>
      </c>
      <c r="V76" s="515">
        <v>24</v>
      </c>
      <c r="W76" s="515">
        <v>47</v>
      </c>
      <c r="X76" s="515">
        <v>124</v>
      </c>
      <c r="Y76" s="515">
        <v>171</v>
      </c>
      <c r="Z76" s="515">
        <f t="shared" ref="Z76:AB76" si="21">B76+E76+H76+K76+N76+Q76+T76+W76</f>
        <v>19745</v>
      </c>
      <c r="AA76" s="515">
        <f t="shared" si="21"/>
        <v>20232</v>
      </c>
      <c r="AB76" s="515">
        <f t="shared" si="21"/>
        <v>39977</v>
      </c>
    </row>
    <row r="77" spans="1:28" ht="15">
      <c r="A77" s="537" t="s">
        <v>25</v>
      </c>
      <c r="B77" s="538"/>
      <c r="C77" s="539"/>
      <c r="D77" s="539"/>
      <c r="E77" s="539"/>
      <c r="F77" s="539"/>
      <c r="G77" s="539"/>
      <c r="H77" s="539"/>
      <c r="I77" s="539"/>
      <c r="J77" s="540"/>
      <c r="K77" s="538"/>
      <c r="L77" s="539"/>
      <c r="M77" s="539"/>
      <c r="N77" s="539"/>
      <c r="O77" s="539"/>
      <c r="P77" s="539"/>
      <c r="Q77" s="539"/>
      <c r="R77" s="539"/>
      <c r="S77" s="540"/>
      <c r="T77" s="538"/>
      <c r="U77" s="539"/>
      <c r="V77" s="539"/>
      <c r="W77" s="539"/>
      <c r="X77" s="539"/>
      <c r="Y77" s="539"/>
      <c r="Z77" s="539"/>
      <c r="AA77" s="539"/>
      <c r="AB77" s="539"/>
    </row>
    <row r="78" spans="1:28">
      <c r="A78" s="541" t="s">
        <v>832</v>
      </c>
      <c r="B78" s="154">
        <v>4380</v>
      </c>
      <c r="C78" s="154">
        <v>3050</v>
      </c>
      <c r="D78" s="154">
        <v>7430</v>
      </c>
      <c r="E78" s="154">
        <v>468</v>
      </c>
      <c r="F78" s="154">
        <v>469</v>
      </c>
      <c r="G78" s="154">
        <v>937</v>
      </c>
      <c r="H78" s="154">
        <v>62682</v>
      </c>
      <c r="I78" s="154">
        <v>81184</v>
      </c>
      <c r="J78" s="154">
        <v>143866</v>
      </c>
      <c r="K78" s="154">
        <v>652694</v>
      </c>
      <c r="L78" s="154">
        <v>509260</v>
      </c>
      <c r="M78" s="154">
        <v>1161954</v>
      </c>
      <c r="N78" s="154">
        <v>3055</v>
      </c>
      <c r="O78" s="154">
        <v>3009</v>
      </c>
      <c r="P78" s="154">
        <v>6064</v>
      </c>
      <c r="Q78" s="154">
        <v>94354</v>
      </c>
      <c r="R78" s="154">
        <v>44466</v>
      </c>
      <c r="S78" s="154">
        <v>138820</v>
      </c>
      <c r="T78" s="154">
        <v>3719</v>
      </c>
      <c r="U78" s="154">
        <v>4424</v>
      </c>
      <c r="V78" s="154">
        <v>8143</v>
      </c>
      <c r="W78" s="154">
        <v>7635</v>
      </c>
      <c r="X78" s="154">
        <v>6880</v>
      </c>
      <c r="Y78" s="154">
        <v>14515</v>
      </c>
      <c r="Z78" s="154">
        <v>828987</v>
      </c>
      <c r="AA78" s="154">
        <v>652742</v>
      </c>
      <c r="AB78" s="154">
        <v>1481729</v>
      </c>
    </row>
    <row r="79" spans="1:28">
      <c r="A79" s="541" t="s">
        <v>831</v>
      </c>
      <c r="B79" s="515">
        <v>3589</v>
      </c>
      <c r="C79" s="515">
        <v>2328</v>
      </c>
      <c r="D79" s="515">
        <v>5917</v>
      </c>
      <c r="E79" s="515">
        <v>470</v>
      </c>
      <c r="F79" s="515">
        <v>414</v>
      </c>
      <c r="G79" s="515">
        <v>884</v>
      </c>
      <c r="H79" s="515">
        <v>57767</v>
      </c>
      <c r="I79" s="515">
        <v>76620</v>
      </c>
      <c r="J79" s="515">
        <v>134387</v>
      </c>
      <c r="K79" s="515">
        <v>619723</v>
      </c>
      <c r="L79" s="515">
        <v>479352</v>
      </c>
      <c r="M79" s="515">
        <v>1099075</v>
      </c>
      <c r="N79" s="515">
        <v>2891</v>
      </c>
      <c r="O79" s="515">
        <v>2993</v>
      </c>
      <c r="P79" s="515">
        <v>5884</v>
      </c>
      <c r="Q79" s="515">
        <v>97310</v>
      </c>
      <c r="R79" s="515">
        <v>40022</v>
      </c>
      <c r="S79" s="515">
        <v>137332</v>
      </c>
      <c r="T79" s="515">
        <v>3217</v>
      </c>
      <c r="U79" s="515">
        <v>4378</v>
      </c>
      <c r="V79" s="515">
        <v>7595</v>
      </c>
      <c r="W79" s="515">
        <v>7727</v>
      </c>
      <c r="X79" s="515">
        <v>7389</v>
      </c>
      <c r="Y79" s="515">
        <v>15116</v>
      </c>
      <c r="Z79" s="515">
        <v>792694</v>
      </c>
      <c r="AA79" s="515">
        <v>613496</v>
      </c>
      <c r="AB79" s="515">
        <v>1406190</v>
      </c>
    </row>
    <row r="80" spans="1:28">
      <c r="A80" s="541" t="s">
        <v>830</v>
      </c>
      <c r="B80" s="545">
        <v>3256</v>
      </c>
      <c r="C80" s="545">
        <v>1995</v>
      </c>
      <c r="D80" s="559">
        <v>5251</v>
      </c>
      <c r="E80" s="545">
        <v>306</v>
      </c>
      <c r="F80" s="545">
        <v>291</v>
      </c>
      <c r="G80" s="559">
        <v>597</v>
      </c>
      <c r="H80" s="545">
        <v>55820</v>
      </c>
      <c r="I80" s="545">
        <v>71116</v>
      </c>
      <c r="J80" s="559">
        <v>126936</v>
      </c>
      <c r="K80" s="545">
        <v>615711</v>
      </c>
      <c r="L80" s="545">
        <v>471275</v>
      </c>
      <c r="M80" s="559">
        <v>1086986</v>
      </c>
      <c r="N80" s="545">
        <v>2859</v>
      </c>
      <c r="O80" s="545">
        <v>3007</v>
      </c>
      <c r="P80" s="559">
        <v>5866</v>
      </c>
      <c r="Q80" s="545">
        <v>102583</v>
      </c>
      <c r="R80" s="545">
        <v>37803</v>
      </c>
      <c r="S80" s="559">
        <v>140386</v>
      </c>
      <c r="T80" s="545">
        <v>3288</v>
      </c>
      <c r="U80" s="545">
        <v>4239</v>
      </c>
      <c r="V80" s="559">
        <v>7527</v>
      </c>
      <c r="W80" s="545">
        <v>7115</v>
      </c>
      <c r="X80" s="545">
        <v>7290</v>
      </c>
      <c r="Y80" s="559">
        <v>14405</v>
      </c>
      <c r="Z80" s="209">
        <v>790938</v>
      </c>
      <c r="AA80" s="209">
        <v>597016</v>
      </c>
      <c r="AB80" s="559">
        <v>1387954</v>
      </c>
    </row>
    <row r="81" spans="1:28">
      <c r="A81" s="541" t="s">
        <v>829</v>
      </c>
      <c r="B81" s="560">
        <v>3035</v>
      </c>
      <c r="C81" s="560">
        <v>1953</v>
      </c>
      <c r="D81" s="561">
        <v>4988</v>
      </c>
      <c r="E81" s="560">
        <v>352</v>
      </c>
      <c r="F81" s="560">
        <v>406</v>
      </c>
      <c r="G81" s="561">
        <v>758</v>
      </c>
      <c r="H81" s="560">
        <v>65749</v>
      </c>
      <c r="I81" s="560">
        <v>79069</v>
      </c>
      <c r="J81" s="561">
        <v>144818</v>
      </c>
      <c r="K81" s="560">
        <v>607268</v>
      </c>
      <c r="L81" s="560">
        <v>455387</v>
      </c>
      <c r="M81" s="561">
        <v>1062655</v>
      </c>
      <c r="N81" s="560">
        <v>3045</v>
      </c>
      <c r="O81" s="560">
        <v>3089</v>
      </c>
      <c r="P81" s="561">
        <v>6134</v>
      </c>
      <c r="Q81" s="560">
        <v>105649</v>
      </c>
      <c r="R81" s="560">
        <v>34552</v>
      </c>
      <c r="S81" s="561">
        <v>140201</v>
      </c>
      <c r="T81" s="560">
        <v>2712</v>
      </c>
      <c r="U81" s="560">
        <v>3481</v>
      </c>
      <c r="V81" s="561">
        <v>6193</v>
      </c>
      <c r="W81" s="560">
        <v>5886</v>
      </c>
      <c r="X81" s="560">
        <v>6383</v>
      </c>
      <c r="Y81" s="561">
        <v>12269</v>
      </c>
      <c r="Z81" s="562">
        <v>793696</v>
      </c>
      <c r="AA81" s="562">
        <v>584320</v>
      </c>
      <c r="AB81" s="561">
        <f t="shared" ref="AB81" si="22">Z81+AA81</f>
        <v>1378016</v>
      </c>
    </row>
    <row r="82" spans="1:28">
      <c r="A82" s="514" t="s">
        <v>828</v>
      </c>
      <c r="B82" s="515">
        <v>3286</v>
      </c>
      <c r="C82" s="515">
        <v>1883</v>
      </c>
      <c r="D82" s="515">
        <v>5169</v>
      </c>
      <c r="E82" s="515">
        <v>592</v>
      </c>
      <c r="F82" s="515">
        <v>665</v>
      </c>
      <c r="G82" s="515">
        <v>1257</v>
      </c>
      <c r="H82" s="515">
        <v>74692</v>
      </c>
      <c r="I82" s="515">
        <v>89100</v>
      </c>
      <c r="J82" s="515">
        <v>163792</v>
      </c>
      <c r="K82" s="515">
        <v>621287</v>
      </c>
      <c r="L82" s="515">
        <v>447732</v>
      </c>
      <c r="M82" s="515">
        <v>1069019</v>
      </c>
      <c r="N82" s="515">
        <v>3607</v>
      </c>
      <c r="O82" s="515">
        <v>3727</v>
      </c>
      <c r="P82" s="515">
        <v>7334</v>
      </c>
      <c r="Q82" s="515">
        <v>113241</v>
      </c>
      <c r="R82" s="515">
        <v>32044</v>
      </c>
      <c r="S82" s="515">
        <v>145285</v>
      </c>
      <c r="T82" s="515">
        <v>2214</v>
      </c>
      <c r="U82" s="515">
        <v>3021</v>
      </c>
      <c r="V82" s="515">
        <v>5235</v>
      </c>
      <c r="W82" s="515">
        <v>5158</v>
      </c>
      <c r="X82" s="515">
        <v>5591</v>
      </c>
      <c r="Y82" s="515">
        <v>10749</v>
      </c>
      <c r="Z82" s="515">
        <f t="shared" ref="Z82:AB82" si="23">B82+E82+H82+K82+N82+Q82+T82+W82</f>
        <v>824077</v>
      </c>
      <c r="AA82" s="515">
        <f t="shared" si="23"/>
        <v>583763</v>
      </c>
      <c r="AB82" s="515">
        <f t="shared" si="23"/>
        <v>1407840</v>
      </c>
    </row>
    <row r="83" spans="1:28" ht="15">
      <c r="A83" s="537" t="s">
        <v>26</v>
      </c>
      <c r="B83" s="538"/>
      <c r="C83" s="539"/>
      <c r="D83" s="539"/>
      <c r="E83" s="539"/>
      <c r="F83" s="539"/>
      <c r="G83" s="539"/>
      <c r="H83" s="539"/>
      <c r="I83" s="539"/>
      <c r="J83" s="540"/>
      <c r="K83" s="538"/>
      <c r="L83" s="539"/>
      <c r="M83" s="539"/>
      <c r="N83" s="539"/>
      <c r="O83" s="539"/>
      <c r="P83" s="539"/>
      <c r="Q83" s="539"/>
      <c r="R83" s="539"/>
      <c r="S83" s="540"/>
      <c r="T83" s="538"/>
      <c r="U83" s="539"/>
      <c r="V83" s="539"/>
      <c r="W83" s="539"/>
      <c r="X83" s="539"/>
      <c r="Y83" s="539"/>
      <c r="Z83" s="539"/>
      <c r="AA83" s="539"/>
      <c r="AB83" s="539"/>
    </row>
    <row r="84" spans="1:28">
      <c r="A84" s="541" t="s">
        <v>832</v>
      </c>
      <c r="B84" s="154">
        <v>1810</v>
      </c>
      <c r="C84" s="154">
        <v>2356</v>
      </c>
      <c r="D84" s="154">
        <v>4166</v>
      </c>
      <c r="E84" s="154">
        <v>80</v>
      </c>
      <c r="F84" s="154">
        <v>230</v>
      </c>
      <c r="G84" s="154">
        <v>310</v>
      </c>
      <c r="H84" s="154">
        <v>28328</v>
      </c>
      <c r="I84" s="154">
        <v>52669</v>
      </c>
      <c r="J84" s="154">
        <v>80997</v>
      </c>
      <c r="K84" s="154">
        <v>282926</v>
      </c>
      <c r="L84" s="154">
        <v>333714</v>
      </c>
      <c r="M84" s="154">
        <v>616640</v>
      </c>
      <c r="N84" s="154">
        <v>1372</v>
      </c>
      <c r="O84" s="154">
        <v>1360</v>
      </c>
      <c r="P84" s="154">
        <v>2732</v>
      </c>
      <c r="Q84" s="154">
        <v>49268</v>
      </c>
      <c r="R84" s="154">
        <v>21295</v>
      </c>
      <c r="S84" s="154">
        <v>70563</v>
      </c>
      <c r="T84" s="154">
        <v>1621</v>
      </c>
      <c r="U84" s="154">
        <v>1778</v>
      </c>
      <c r="V84" s="154">
        <v>3399</v>
      </c>
      <c r="W84" s="154">
        <v>8715</v>
      </c>
      <c r="X84" s="154">
        <v>4334</v>
      </c>
      <c r="Y84" s="154">
        <v>13049</v>
      </c>
      <c r="Z84" s="154">
        <v>374120</v>
      </c>
      <c r="AA84" s="154">
        <v>417736</v>
      </c>
      <c r="AB84" s="154">
        <v>791856</v>
      </c>
    </row>
    <row r="85" spans="1:28">
      <c r="A85" s="541" t="s">
        <v>831</v>
      </c>
      <c r="B85" s="515">
        <v>1827</v>
      </c>
      <c r="C85" s="515">
        <v>1966</v>
      </c>
      <c r="D85" s="515">
        <v>3793</v>
      </c>
      <c r="E85" s="515">
        <v>154</v>
      </c>
      <c r="F85" s="515">
        <v>287</v>
      </c>
      <c r="G85" s="515">
        <v>441</v>
      </c>
      <c r="H85" s="515">
        <v>28449</v>
      </c>
      <c r="I85" s="515">
        <v>52423</v>
      </c>
      <c r="J85" s="515">
        <v>80872</v>
      </c>
      <c r="K85" s="515">
        <v>297161</v>
      </c>
      <c r="L85" s="515">
        <v>339410</v>
      </c>
      <c r="M85" s="515">
        <v>636571</v>
      </c>
      <c r="N85" s="515">
        <v>1062</v>
      </c>
      <c r="O85" s="515">
        <v>1097</v>
      </c>
      <c r="P85" s="515">
        <v>2159</v>
      </c>
      <c r="Q85" s="515">
        <v>49547</v>
      </c>
      <c r="R85" s="515">
        <v>21885</v>
      </c>
      <c r="S85" s="515">
        <v>71432</v>
      </c>
      <c r="T85" s="515">
        <v>1175</v>
      </c>
      <c r="U85" s="515">
        <v>1577</v>
      </c>
      <c r="V85" s="515">
        <v>2752</v>
      </c>
      <c r="W85" s="515">
        <v>8489</v>
      </c>
      <c r="X85" s="515">
        <v>5960</v>
      </c>
      <c r="Y85" s="515">
        <v>14449</v>
      </c>
      <c r="Z85" s="515">
        <v>387276</v>
      </c>
      <c r="AA85" s="515">
        <v>421757</v>
      </c>
      <c r="AB85" s="515">
        <v>809033</v>
      </c>
    </row>
    <row r="86" spans="1:28">
      <c r="A86" s="541" t="s">
        <v>830</v>
      </c>
      <c r="B86" s="545">
        <v>1632</v>
      </c>
      <c r="C86" s="545">
        <v>1696</v>
      </c>
      <c r="D86" s="559">
        <v>3328</v>
      </c>
      <c r="E86" s="545">
        <v>170</v>
      </c>
      <c r="F86" s="545">
        <v>270</v>
      </c>
      <c r="G86" s="559">
        <v>440</v>
      </c>
      <c r="H86" s="543">
        <v>26862.360389324749</v>
      </c>
      <c r="I86" s="543">
        <v>49009.467817951023</v>
      </c>
      <c r="J86" s="563">
        <v>75871.828207275787</v>
      </c>
      <c r="K86" s="543">
        <v>306411.02289604669</v>
      </c>
      <c r="L86" s="543">
        <v>304134.36593495507</v>
      </c>
      <c r="M86" s="563">
        <v>610545.38883100171</v>
      </c>
      <c r="N86" s="545">
        <v>1199</v>
      </c>
      <c r="O86" s="545">
        <v>896</v>
      </c>
      <c r="P86" s="559">
        <v>2095</v>
      </c>
      <c r="Q86" s="545">
        <v>45327</v>
      </c>
      <c r="R86" s="545">
        <v>20664</v>
      </c>
      <c r="S86" s="559">
        <v>65991</v>
      </c>
      <c r="T86" s="545">
        <v>1241</v>
      </c>
      <c r="U86" s="545">
        <v>1831</v>
      </c>
      <c r="V86" s="559">
        <v>3072</v>
      </c>
      <c r="W86" s="545">
        <v>8294</v>
      </c>
      <c r="X86" s="545">
        <v>4858</v>
      </c>
      <c r="Y86" s="559">
        <v>13152</v>
      </c>
      <c r="Z86" s="200">
        <v>391136.38328537147</v>
      </c>
      <c r="AA86" s="200">
        <v>383358.83375290607</v>
      </c>
      <c r="AB86" s="563">
        <v>774495.21703827754</v>
      </c>
    </row>
    <row r="87" spans="1:28">
      <c r="A87" s="541" t="s">
        <v>829</v>
      </c>
      <c r="B87" s="560">
        <v>1817</v>
      </c>
      <c r="C87" s="560">
        <v>1784</v>
      </c>
      <c r="D87" s="561">
        <v>3601</v>
      </c>
      <c r="E87" s="560">
        <v>208</v>
      </c>
      <c r="F87" s="560">
        <v>260</v>
      </c>
      <c r="G87" s="561">
        <v>468</v>
      </c>
      <c r="H87" s="560">
        <v>25922</v>
      </c>
      <c r="I87" s="560">
        <v>47851</v>
      </c>
      <c r="J87" s="561">
        <v>73773</v>
      </c>
      <c r="K87" s="560">
        <v>303902</v>
      </c>
      <c r="L87" s="560">
        <v>284392</v>
      </c>
      <c r="M87" s="561">
        <v>588294</v>
      </c>
      <c r="N87" s="560">
        <v>1036</v>
      </c>
      <c r="O87" s="560">
        <v>971</v>
      </c>
      <c r="P87" s="561">
        <v>2007</v>
      </c>
      <c r="Q87" s="560">
        <v>49077</v>
      </c>
      <c r="R87" s="560">
        <v>19177</v>
      </c>
      <c r="S87" s="561">
        <v>68254</v>
      </c>
      <c r="T87" s="560">
        <v>1007</v>
      </c>
      <c r="U87" s="560">
        <v>1834</v>
      </c>
      <c r="V87" s="561">
        <v>2841</v>
      </c>
      <c r="W87" s="560">
        <v>6428</v>
      </c>
      <c r="X87" s="560">
        <v>3988</v>
      </c>
      <c r="Y87" s="561">
        <v>10416</v>
      </c>
      <c r="Z87" s="562">
        <v>389397</v>
      </c>
      <c r="AA87" s="562">
        <v>360257</v>
      </c>
      <c r="AB87" s="561">
        <f t="shared" ref="AB87" si="24">Z87+AA87</f>
        <v>749654</v>
      </c>
    </row>
    <row r="88" spans="1:28">
      <c r="A88" s="514" t="s">
        <v>828</v>
      </c>
      <c r="B88" s="515">
        <v>1556</v>
      </c>
      <c r="C88" s="515">
        <v>1706</v>
      </c>
      <c r="D88" s="515">
        <v>3262</v>
      </c>
      <c r="E88" s="515">
        <v>332</v>
      </c>
      <c r="F88" s="515">
        <v>432</v>
      </c>
      <c r="G88" s="515">
        <v>764</v>
      </c>
      <c r="H88" s="515">
        <v>28927</v>
      </c>
      <c r="I88" s="515">
        <v>50293</v>
      </c>
      <c r="J88" s="515">
        <v>79220</v>
      </c>
      <c r="K88" s="515">
        <v>336432</v>
      </c>
      <c r="L88" s="515">
        <v>294518</v>
      </c>
      <c r="M88" s="515">
        <v>630950</v>
      </c>
      <c r="N88" s="515">
        <v>1235</v>
      </c>
      <c r="O88" s="515">
        <v>1012</v>
      </c>
      <c r="P88" s="515">
        <v>2247</v>
      </c>
      <c r="Q88" s="515">
        <v>50835</v>
      </c>
      <c r="R88" s="515">
        <v>18012</v>
      </c>
      <c r="S88" s="515">
        <v>68847</v>
      </c>
      <c r="T88" s="515">
        <v>903</v>
      </c>
      <c r="U88" s="515">
        <v>1580</v>
      </c>
      <c r="V88" s="515">
        <v>2483</v>
      </c>
      <c r="W88" s="515">
        <v>7506</v>
      </c>
      <c r="X88" s="515">
        <v>4076</v>
      </c>
      <c r="Y88" s="515">
        <v>11582</v>
      </c>
      <c r="Z88" s="515">
        <f t="shared" ref="Z88:AB88" si="25">B88+E88+H88+K88+N88+Q88+T88+W88</f>
        <v>427726</v>
      </c>
      <c r="AA88" s="515">
        <f t="shared" si="25"/>
        <v>371629</v>
      </c>
      <c r="AB88" s="515">
        <f t="shared" si="25"/>
        <v>799355</v>
      </c>
    </row>
    <row r="89" spans="1:28" ht="15">
      <c r="A89" s="537" t="s">
        <v>27</v>
      </c>
      <c r="B89" s="538"/>
      <c r="C89" s="539"/>
      <c r="D89" s="539"/>
      <c r="E89" s="539"/>
      <c r="F89" s="539"/>
      <c r="G89" s="539"/>
      <c r="H89" s="539"/>
      <c r="I89" s="539"/>
      <c r="J89" s="540"/>
      <c r="K89" s="538"/>
      <c r="L89" s="539"/>
      <c r="M89" s="539"/>
      <c r="N89" s="539"/>
      <c r="O89" s="539"/>
      <c r="P89" s="539"/>
      <c r="Q89" s="539"/>
      <c r="R89" s="539"/>
      <c r="S89" s="540"/>
      <c r="T89" s="538"/>
      <c r="U89" s="539"/>
      <c r="V89" s="539"/>
      <c r="W89" s="539"/>
      <c r="X89" s="539"/>
      <c r="Y89" s="539"/>
      <c r="Z89" s="539"/>
      <c r="AA89" s="539"/>
      <c r="AB89" s="539"/>
    </row>
    <row r="90" spans="1:28">
      <c r="A90" s="541" t="s">
        <v>832</v>
      </c>
      <c r="B90" s="154">
        <v>1027</v>
      </c>
      <c r="C90" s="154">
        <v>897</v>
      </c>
      <c r="D90" s="154">
        <v>1924</v>
      </c>
      <c r="E90" s="154">
        <v>118</v>
      </c>
      <c r="F90" s="154">
        <v>214</v>
      </c>
      <c r="G90" s="154">
        <v>332</v>
      </c>
      <c r="H90" s="154">
        <v>7680</v>
      </c>
      <c r="I90" s="154">
        <v>10928</v>
      </c>
      <c r="J90" s="154">
        <v>18608</v>
      </c>
      <c r="K90" s="154">
        <v>88779</v>
      </c>
      <c r="L90" s="154">
        <v>113683</v>
      </c>
      <c r="M90" s="154">
        <v>202462</v>
      </c>
      <c r="N90" s="154">
        <v>354</v>
      </c>
      <c r="O90" s="154">
        <v>682</v>
      </c>
      <c r="P90" s="154">
        <v>1036</v>
      </c>
      <c r="Q90" s="154">
        <v>8449</v>
      </c>
      <c r="R90" s="154">
        <v>7753</v>
      </c>
      <c r="S90" s="154">
        <v>16202</v>
      </c>
      <c r="T90" s="154">
        <v>590</v>
      </c>
      <c r="U90" s="154">
        <v>677</v>
      </c>
      <c r="V90" s="154">
        <v>1267</v>
      </c>
      <c r="W90" s="154">
        <v>990</v>
      </c>
      <c r="X90" s="154">
        <v>523</v>
      </c>
      <c r="Y90" s="154">
        <v>1513</v>
      </c>
      <c r="Z90" s="154">
        <v>107987</v>
      </c>
      <c r="AA90" s="154">
        <v>135357</v>
      </c>
      <c r="AB90" s="154">
        <v>243344</v>
      </c>
    </row>
    <row r="91" spans="1:28">
      <c r="A91" s="541" t="s">
        <v>831</v>
      </c>
      <c r="B91" s="515">
        <v>1121</v>
      </c>
      <c r="C91" s="515">
        <v>794</v>
      </c>
      <c r="D91" s="515">
        <v>1915</v>
      </c>
      <c r="E91" s="515">
        <v>95</v>
      </c>
      <c r="F91" s="515">
        <v>179</v>
      </c>
      <c r="G91" s="515">
        <v>274</v>
      </c>
      <c r="H91" s="515">
        <v>7690</v>
      </c>
      <c r="I91" s="515">
        <v>10949</v>
      </c>
      <c r="J91" s="515">
        <v>18639</v>
      </c>
      <c r="K91" s="515">
        <v>89450</v>
      </c>
      <c r="L91" s="515">
        <v>113337</v>
      </c>
      <c r="M91" s="515">
        <v>202787</v>
      </c>
      <c r="N91" s="515">
        <v>747</v>
      </c>
      <c r="O91" s="515">
        <v>645</v>
      </c>
      <c r="P91" s="515">
        <v>1392</v>
      </c>
      <c r="Q91" s="515">
        <v>8284</v>
      </c>
      <c r="R91" s="515">
        <v>7872</v>
      </c>
      <c r="S91" s="515">
        <v>16156</v>
      </c>
      <c r="T91" s="515">
        <v>899</v>
      </c>
      <c r="U91" s="515">
        <v>1050</v>
      </c>
      <c r="V91" s="515">
        <v>1949</v>
      </c>
      <c r="W91" s="515">
        <v>913</v>
      </c>
      <c r="X91" s="515">
        <v>419</v>
      </c>
      <c r="Y91" s="515">
        <v>1332</v>
      </c>
      <c r="Z91" s="515">
        <v>109199</v>
      </c>
      <c r="AA91" s="515">
        <v>135245</v>
      </c>
      <c r="AB91" s="515">
        <v>244444</v>
      </c>
    </row>
    <row r="92" spans="1:28">
      <c r="A92" s="541" t="s">
        <v>830</v>
      </c>
      <c r="B92" s="545">
        <v>906</v>
      </c>
      <c r="C92" s="545">
        <v>794</v>
      </c>
      <c r="D92" s="559">
        <v>1700</v>
      </c>
      <c r="E92" s="545">
        <v>92</v>
      </c>
      <c r="F92" s="545">
        <v>167</v>
      </c>
      <c r="G92" s="559">
        <v>259</v>
      </c>
      <c r="H92" s="545">
        <v>7402</v>
      </c>
      <c r="I92" s="545">
        <v>11051</v>
      </c>
      <c r="J92" s="559">
        <v>18453</v>
      </c>
      <c r="K92" s="545">
        <v>87359</v>
      </c>
      <c r="L92" s="545">
        <v>109341</v>
      </c>
      <c r="M92" s="559">
        <v>196700</v>
      </c>
      <c r="N92" s="545">
        <v>445</v>
      </c>
      <c r="O92" s="545">
        <v>742</v>
      </c>
      <c r="P92" s="559">
        <v>1187</v>
      </c>
      <c r="Q92" s="545">
        <v>7925</v>
      </c>
      <c r="R92" s="545">
        <v>8091</v>
      </c>
      <c r="S92" s="559">
        <v>16016</v>
      </c>
      <c r="T92" s="545">
        <v>572</v>
      </c>
      <c r="U92" s="545">
        <v>851</v>
      </c>
      <c r="V92" s="559">
        <v>1423</v>
      </c>
      <c r="W92" s="545">
        <v>762</v>
      </c>
      <c r="X92" s="545">
        <v>397</v>
      </c>
      <c r="Y92" s="559">
        <v>1159</v>
      </c>
      <c r="Z92" s="209">
        <v>105463</v>
      </c>
      <c r="AA92" s="209">
        <v>131434</v>
      </c>
      <c r="AB92" s="559">
        <v>236897</v>
      </c>
    </row>
    <row r="93" spans="1:28">
      <c r="A93" s="541" t="s">
        <v>829</v>
      </c>
      <c r="B93" s="560">
        <v>721</v>
      </c>
      <c r="C93" s="560">
        <v>608</v>
      </c>
      <c r="D93" s="561">
        <v>1329</v>
      </c>
      <c r="E93" s="560">
        <v>104</v>
      </c>
      <c r="F93" s="560">
        <v>163</v>
      </c>
      <c r="G93" s="561">
        <v>267</v>
      </c>
      <c r="H93" s="560">
        <v>6621</v>
      </c>
      <c r="I93" s="560">
        <v>10240</v>
      </c>
      <c r="J93" s="561">
        <v>16861</v>
      </c>
      <c r="K93" s="560">
        <v>88384</v>
      </c>
      <c r="L93" s="560">
        <v>104863</v>
      </c>
      <c r="M93" s="561">
        <v>193247</v>
      </c>
      <c r="N93" s="560">
        <v>325</v>
      </c>
      <c r="O93" s="560">
        <v>536</v>
      </c>
      <c r="P93" s="561">
        <v>861</v>
      </c>
      <c r="Q93" s="560">
        <v>7896</v>
      </c>
      <c r="R93" s="560">
        <v>7376</v>
      </c>
      <c r="S93" s="561">
        <v>15272</v>
      </c>
      <c r="T93" s="560">
        <v>425</v>
      </c>
      <c r="U93" s="560">
        <v>517</v>
      </c>
      <c r="V93" s="561">
        <v>942</v>
      </c>
      <c r="W93" s="560">
        <v>647</v>
      </c>
      <c r="X93" s="560">
        <v>269</v>
      </c>
      <c r="Y93" s="561">
        <v>916</v>
      </c>
      <c r="Z93" s="562">
        <v>105123</v>
      </c>
      <c r="AA93" s="562">
        <v>124572</v>
      </c>
      <c r="AB93" s="561">
        <f t="shared" ref="AB93" si="26">Z93+AA93</f>
        <v>229695</v>
      </c>
    </row>
    <row r="94" spans="1:28">
      <c r="A94" s="514" t="s">
        <v>828</v>
      </c>
      <c r="B94" s="515">
        <v>590</v>
      </c>
      <c r="C94" s="515">
        <v>588</v>
      </c>
      <c r="D94" s="515">
        <v>1178</v>
      </c>
      <c r="E94" s="515">
        <v>103</v>
      </c>
      <c r="F94" s="515">
        <v>175</v>
      </c>
      <c r="G94" s="515">
        <v>278</v>
      </c>
      <c r="H94" s="515">
        <v>6465</v>
      </c>
      <c r="I94" s="515">
        <v>9330</v>
      </c>
      <c r="J94" s="515">
        <v>15795</v>
      </c>
      <c r="K94" s="515">
        <v>79876</v>
      </c>
      <c r="L94" s="515">
        <v>92112</v>
      </c>
      <c r="M94" s="515">
        <v>171988</v>
      </c>
      <c r="N94" s="515">
        <v>165</v>
      </c>
      <c r="O94" s="515">
        <v>466</v>
      </c>
      <c r="P94" s="515">
        <v>631</v>
      </c>
      <c r="Q94" s="515">
        <v>9475</v>
      </c>
      <c r="R94" s="515">
        <v>7253</v>
      </c>
      <c r="S94" s="515">
        <v>16728</v>
      </c>
      <c r="T94" s="515">
        <v>502</v>
      </c>
      <c r="U94" s="515">
        <v>503</v>
      </c>
      <c r="V94" s="515">
        <v>1005</v>
      </c>
      <c r="W94" s="515">
        <v>501</v>
      </c>
      <c r="X94" s="515">
        <v>181</v>
      </c>
      <c r="Y94" s="515">
        <v>682</v>
      </c>
      <c r="Z94" s="515">
        <f t="shared" ref="Z94:AB94" si="27">B94+E94+H94+K94+N94+Q94+T94+W94</f>
        <v>97677</v>
      </c>
      <c r="AA94" s="515">
        <f t="shared" si="27"/>
        <v>110608</v>
      </c>
      <c r="AB94" s="515">
        <f t="shared" si="27"/>
        <v>208285</v>
      </c>
    </row>
    <row r="95" spans="1:28" ht="15">
      <c r="A95" s="537" t="s">
        <v>57</v>
      </c>
      <c r="B95" s="538"/>
      <c r="C95" s="539"/>
      <c r="D95" s="539"/>
      <c r="E95" s="539"/>
      <c r="F95" s="539"/>
      <c r="G95" s="539"/>
      <c r="H95" s="539"/>
      <c r="I95" s="539"/>
      <c r="J95" s="540"/>
      <c r="K95" s="538"/>
      <c r="L95" s="539"/>
      <c r="M95" s="539"/>
      <c r="N95" s="539"/>
      <c r="O95" s="539"/>
      <c r="P95" s="539"/>
      <c r="Q95" s="539"/>
      <c r="R95" s="539"/>
      <c r="S95" s="540"/>
      <c r="T95" s="538"/>
      <c r="U95" s="539"/>
      <c r="V95" s="539"/>
      <c r="W95" s="539"/>
      <c r="X95" s="539"/>
      <c r="Y95" s="539"/>
      <c r="Z95" s="539"/>
      <c r="AA95" s="539"/>
      <c r="AB95" s="539"/>
    </row>
    <row r="96" spans="1:28">
      <c r="A96" s="541" t="s">
        <v>832</v>
      </c>
      <c r="B96" s="154">
        <v>2080</v>
      </c>
      <c r="C96" s="154">
        <v>1909</v>
      </c>
      <c r="D96" s="154">
        <v>3989</v>
      </c>
      <c r="E96" s="154">
        <v>94</v>
      </c>
      <c r="F96" s="154">
        <v>156</v>
      </c>
      <c r="G96" s="154">
        <v>250</v>
      </c>
      <c r="H96" s="154">
        <v>9412</v>
      </c>
      <c r="I96" s="154">
        <v>9747</v>
      </c>
      <c r="J96" s="154">
        <v>19159</v>
      </c>
      <c r="K96" s="154">
        <v>112144</v>
      </c>
      <c r="L96" s="154">
        <v>118427</v>
      </c>
      <c r="M96" s="154">
        <v>230571</v>
      </c>
      <c r="N96" s="154">
        <v>220</v>
      </c>
      <c r="O96" s="154">
        <v>145</v>
      </c>
      <c r="P96" s="154">
        <v>365</v>
      </c>
      <c r="Q96" s="154">
        <v>8637</v>
      </c>
      <c r="R96" s="154">
        <v>6219</v>
      </c>
      <c r="S96" s="154">
        <v>14856</v>
      </c>
      <c r="T96" s="154">
        <v>988</v>
      </c>
      <c r="U96" s="154">
        <v>1119</v>
      </c>
      <c r="V96" s="154">
        <v>2107</v>
      </c>
      <c r="W96" s="154">
        <v>2846</v>
      </c>
      <c r="X96" s="154">
        <v>3540</v>
      </c>
      <c r="Y96" s="154">
        <v>6386</v>
      </c>
      <c r="Z96" s="154">
        <v>136421</v>
      </c>
      <c r="AA96" s="154">
        <v>141262</v>
      </c>
      <c r="AB96" s="154">
        <v>277683</v>
      </c>
    </row>
    <row r="97" spans="1:28">
      <c r="A97" s="541" t="s">
        <v>831</v>
      </c>
      <c r="B97" s="515">
        <v>1392</v>
      </c>
      <c r="C97" s="515">
        <v>1291</v>
      </c>
      <c r="D97" s="515">
        <v>2683</v>
      </c>
      <c r="E97" s="515">
        <v>143</v>
      </c>
      <c r="F97" s="515">
        <v>174</v>
      </c>
      <c r="G97" s="515">
        <v>317</v>
      </c>
      <c r="H97" s="515">
        <v>9388</v>
      </c>
      <c r="I97" s="515">
        <v>9852</v>
      </c>
      <c r="J97" s="515">
        <v>19240</v>
      </c>
      <c r="K97" s="515">
        <v>108605</v>
      </c>
      <c r="L97" s="515">
        <v>127493</v>
      </c>
      <c r="M97" s="515">
        <v>236098</v>
      </c>
      <c r="N97" s="515">
        <v>262</v>
      </c>
      <c r="O97" s="515">
        <v>207</v>
      </c>
      <c r="P97" s="515">
        <v>469</v>
      </c>
      <c r="Q97" s="515">
        <v>8256</v>
      </c>
      <c r="R97" s="515">
        <v>3914</v>
      </c>
      <c r="S97" s="515">
        <v>12170</v>
      </c>
      <c r="T97" s="515">
        <v>124</v>
      </c>
      <c r="U97" s="515">
        <v>116</v>
      </c>
      <c r="V97" s="515">
        <v>240</v>
      </c>
      <c r="W97" s="515">
        <v>2618</v>
      </c>
      <c r="X97" s="515">
        <v>2894</v>
      </c>
      <c r="Y97" s="515">
        <v>5512</v>
      </c>
      <c r="Z97" s="515">
        <v>130788</v>
      </c>
      <c r="AA97" s="515">
        <v>145941</v>
      </c>
      <c r="AB97" s="515">
        <v>276729</v>
      </c>
    </row>
    <row r="98" spans="1:28">
      <c r="A98" s="541" t="s">
        <v>830</v>
      </c>
      <c r="B98" s="545">
        <v>1235</v>
      </c>
      <c r="C98" s="545">
        <v>1261</v>
      </c>
      <c r="D98" s="559">
        <v>2496</v>
      </c>
      <c r="E98" s="545">
        <v>119</v>
      </c>
      <c r="F98" s="545">
        <v>123</v>
      </c>
      <c r="G98" s="559">
        <v>242</v>
      </c>
      <c r="H98" s="543">
        <v>9728.6522775307603</v>
      </c>
      <c r="I98" s="543">
        <v>10431.068873210868</v>
      </c>
      <c r="J98" s="563">
        <v>20159.721150741621</v>
      </c>
      <c r="K98" s="543">
        <v>97067.851639348737</v>
      </c>
      <c r="L98" s="543">
        <v>121183.2367343462</v>
      </c>
      <c r="M98" s="563">
        <v>218251.08837369492</v>
      </c>
      <c r="N98" s="545">
        <v>182</v>
      </c>
      <c r="O98" s="545">
        <v>128</v>
      </c>
      <c r="P98" s="559">
        <v>310</v>
      </c>
      <c r="Q98" s="545">
        <v>7515</v>
      </c>
      <c r="R98" s="545">
        <v>3186</v>
      </c>
      <c r="S98" s="559">
        <v>10701</v>
      </c>
      <c r="T98" s="545">
        <v>8</v>
      </c>
      <c r="U98" s="545">
        <v>3</v>
      </c>
      <c r="V98" s="559">
        <v>11</v>
      </c>
      <c r="W98" s="545">
        <v>1532</v>
      </c>
      <c r="X98" s="545">
        <v>1875</v>
      </c>
      <c r="Y98" s="559">
        <v>3407</v>
      </c>
      <c r="Z98" s="200">
        <v>117387.5039168795</v>
      </c>
      <c r="AA98" s="200">
        <v>138190.30560755706</v>
      </c>
      <c r="AB98" s="563">
        <v>255577.80952443654</v>
      </c>
    </row>
    <row r="99" spans="1:28">
      <c r="A99" s="541" t="s">
        <v>829</v>
      </c>
      <c r="B99" s="560">
        <v>991</v>
      </c>
      <c r="C99" s="560">
        <v>977</v>
      </c>
      <c r="D99" s="561">
        <v>1968</v>
      </c>
      <c r="E99" s="560">
        <v>109</v>
      </c>
      <c r="F99" s="560">
        <v>143</v>
      </c>
      <c r="G99" s="561">
        <v>252</v>
      </c>
      <c r="H99" s="560">
        <v>8417</v>
      </c>
      <c r="I99" s="560">
        <v>8882</v>
      </c>
      <c r="J99" s="561">
        <v>17299</v>
      </c>
      <c r="K99" s="560">
        <v>95847</v>
      </c>
      <c r="L99" s="560">
        <v>113913</v>
      </c>
      <c r="M99" s="561">
        <v>209760</v>
      </c>
      <c r="N99" s="560">
        <v>296</v>
      </c>
      <c r="O99" s="560">
        <v>235</v>
      </c>
      <c r="P99" s="561">
        <v>531</v>
      </c>
      <c r="Q99" s="560">
        <v>7231</v>
      </c>
      <c r="R99" s="560">
        <v>2745</v>
      </c>
      <c r="S99" s="561">
        <v>9976</v>
      </c>
      <c r="T99" s="560">
        <v>14</v>
      </c>
      <c r="U99" s="560">
        <v>1</v>
      </c>
      <c r="V99" s="561">
        <v>15</v>
      </c>
      <c r="W99" s="560">
        <v>1021</v>
      </c>
      <c r="X99" s="560">
        <v>1465</v>
      </c>
      <c r="Y99" s="561">
        <v>2486</v>
      </c>
      <c r="Z99" s="562">
        <v>113926</v>
      </c>
      <c r="AA99" s="562">
        <v>128361</v>
      </c>
      <c r="AB99" s="561">
        <f t="shared" ref="AB99" si="28">Z99+AA99</f>
        <v>242287</v>
      </c>
    </row>
    <row r="100" spans="1:28">
      <c r="A100" s="514" t="s">
        <v>828</v>
      </c>
      <c r="B100" s="515">
        <v>985</v>
      </c>
      <c r="C100" s="515">
        <v>854</v>
      </c>
      <c r="D100" s="515">
        <v>1839</v>
      </c>
      <c r="E100" s="515">
        <v>170</v>
      </c>
      <c r="F100" s="515">
        <v>196</v>
      </c>
      <c r="G100" s="515">
        <v>366</v>
      </c>
      <c r="H100" s="515">
        <v>7621</v>
      </c>
      <c r="I100" s="515">
        <v>7704</v>
      </c>
      <c r="J100" s="515">
        <v>15325</v>
      </c>
      <c r="K100" s="515">
        <v>91462</v>
      </c>
      <c r="L100" s="515">
        <v>109074</v>
      </c>
      <c r="M100" s="515">
        <v>200536</v>
      </c>
      <c r="N100" s="515">
        <v>107</v>
      </c>
      <c r="O100" s="515">
        <v>101</v>
      </c>
      <c r="P100" s="515">
        <v>208</v>
      </c>
      <c r="Q100" s="515">
        <v>7203</v>
      </c>
      <c r="R100" s="515">
        <v>2245</v>
      </c>
      <c r="S100" s="515">
        <v>9448</v>
      </c>
      <c r="T100" s="515">
        <v>6</v>
      </c>
      <c r="U100" s="515">
        <v>2</v>
      </c>
      <c r="V100" s="515">
        <v>8</v>
      </c>
      <c r="W100" s="515">
        <v>1129</v>
      </c>
      <c r="X100" s="515">
        <v>1314</v>
      </c>
      <c r="Y100" s="515">
        <v>2443</v>
      </c>
      <c r="Z100" s="515">
        <f t="shared" ref="Z100:AB100" si="29">B100+E100+H100+K100+N100+Q100+T100+W100</f>
        <v>108683</v>
      </c>
      <c r="AA100" s="515">
        <f t="shared" si="29"/>
        <v>121490</v>
      </c>
      <c r="AB100" s="515">
        <f t="shared" si="29"/>
        <v>230173</v>
      </c>
    </row>
    <row r="101" spans="1:28" ht="15">
      <c r="A101" s="537" t="s">
        <v>29</v>
      </c>
      <c r="B101" s="538"/>
      <c r="C101" s="539"/>
      <c r="D101" s="539"/>
      <c r="E101" s="539"/>
      <c r="F101" s="539"/>
      <c r="G101" s="539"/>
      <c r="H101" s="539"/>
      <c r="I101" s="539"/>
      <c r="J101" s="540"/>
      <c r="K101" s="538"/>
      <c r="L101" s="539"/>
      <c r="M101" s="539"/>
      <c r="N101" s="539"/>
      <c r="O101" s="539"/>
      <c r="P101" s="539"/>
      <c r="Q101" s="539"/>
      <c r="R101" s="539"/>
      <c r="S101" s="540"/>
      <c r="T101" s="538"/>
      <c r="U101" s="539"/>
      <c r="V101" s="539"/>
      <c r="W101" s="539"/>
      <c r="X101" s="539"/>
      <c r="Y101" s="539"/>
      <c r="Z101" s="539"/>
      <c r="AA101" s="539"/>
      <c r="AB101" s="539"/>
    </row>
    <row r="102" spans="1:28">
      <c r="A102" s="541" t="s">
        <v>832</v>
      </c>
      <c r="B102" s="154">
        <v>2469</v>
      </c>
      <c r="C102" s="154">
        <v>1020</v>
      </c>
      <c r="D102" s="154">
        <v>3489</v>
      </c>
      <c r="E102" s="154">
        <v>33</v>
      </c>
      <c r="F102" s="154">
        <v>74</v>
      </c>
      <c r="G102" s="154">
        <v>107</v>
      </c>
      <c r="H102" s="154">
        <v>32122</v>
      </c>
      <c r="I102" s="154">
        <v>47381</v>
      </c>
      <c r="J102" s="154">
        <v>79503</v>
      </c>
      <c r="K102" s="154">
        <v>300527</v>
      </c>
      <c r="L102" s="154">
        <v>314385</v>
      </c>
      <c r="M102" s="154">
        <v>614912</v>
      </c>
      <c r="N102" s="154">
        <v>1516</v>
      </c>
      <c r="O102" s="154">
        <v>869</v>
      </c>
      <c r="P102" s="154">
        <v>2385</v>
      </c>
      <c r="Q102" s="154">
        <v>26778</v>
      </c>
      <c r="R102" s="154">
        <v>10714</v>
      </c>
      <c r="S102" s="154">
        <v>37492</v>
      </c>
      <c r="T102" s="154">
        <v>672</v>
      </c>
      <c r="U102" s="154">
        <v>1256</v>
      </c>
      <c r="V102" s="154">
        <v>1928</v>
      </c>
      <c r="W102" s="154">
        <v>2095</v>
      </c>
      <c r="X102" s="154">
        <v>1222</v>
      </c>
      <c r="Y102" s="154">
        <v>3317</v>
      </c>
      <c r="Z102" s="154">
        <v>366212</v>
      </c>
      <c r="AA102" s="154">
        <v>376921</v>
      </c>
      <c r="AB102" s="154">
        <v>743133</v>
      </c>
    </row>
    <row r="103" spans="1:28">
      <c r="A103" s="541" t="s">
        <v>831</v>
      </c>
      <c r="B103" s="515">
        <v>2108</v>
      </c>
      <c r="C103" s="515">
        <v>795</v>
      </c>
      <c r="D103" s="515">
        <v>2903</v>
      </c>
      <c r="E103" s="515">
        <v>46</v>
      </c>
      <c r="F103" s="515">
        <v>110</v>
      </c>
      <c r="G103" s="515">
        <v>156</v>
      </c>
      <c r="H103" s="515">
        <v>24359</v>
      </c>
      <c r="I103" s="515">
        <v>34374</v>
      </c>
      <c r="J103" s="515">
        <v>58733</v>
      </c>
      <c r="K103" s="515">
        <v>281348</v>
      </c>
      <c r="L103" s="515">
        <v>285456</v>
      </c>
      <c r="M103" s="515">
        <v>566804</v>
      </c>
      <c r="N103" s="515">
        <v>1416</v>
      </c>
      <c r="O103" s="515">
        <v>738</v>
      </c>
      <c r="P103" s="515">
        <v>2154</v>
      </c>
      <c r="Q103" s="515">
        <v>23712</v>
      </c>
      <c r="R103" s="515">
        <v>8747</v>
      </c>
      <c r="S103" s="515">
        <v>32459</v>
      </c>
      <c r="T103" s="515">
        <v>656</v>
      </c>
      <c r="U103" s="515">
        <v>1280</v>
      </c>
      <c r="V103" s="515">
        <v>1936</v>
      </c>
      <c r="W103" s="515">
        <v>2252</v>
      </c>
      <c r="X103" s="515">
        <v>1326</v>
      </c>
      <c r="Y103" s="515">
        <v>3578</v>
      </c>
      <c r="Z103" s="515">
        <v>335897</v>
      </c>
      <c r="AA103" s="515">
        <v>332826</v>
      </c>
      <c r="AB103" s="515">
        <v>668723</v>
      </c>
    </row>
    <row r="104" spans="1:28">
      <c r="A104" s="541" t="s">
        <v>830</v>
      </c>
      <c r="B104" s="545">
        <v>1158</v>
      </c>
      <c r="C104" s="545">
        <v>640</v>
      </c>
      <c r="D104" s="559">
        <v>1798</v>
      </c>
      <c r="E104" s="545">
        <v>79</v>
      </c>
      <c r="F104" s="545">
        <v>125</v>
      </c>
      <c r="G104" s="559">
        <v>204</v>
      </c>
      <c r="H104" s="543">
        <v>21129.148833576164</v>
      </c>
      <c r="I104" s="543">
        <v>28977.953000056877</v>
      </c>
      <c r="J104" s="563">
        <v>50107.101833633045</v>
      </c>
      <c r="K104" s="543">
        <v>278326.73487179331</v>
      </c>
      <c r="L104" s="543">
        <v>278589.39991410426</v>
      </c>
      <c r="M104" s="563">
        <v>556916.13478589756</v>
      </c>
      <c r="N104" s="545">
        <v>1817</v>
      </c>
      <c r="O104" s="545">
        <v>895</v>
      </c>
      <c r="P104" s="559">
        <v>2712</v>
      </c>
      <c r="Q104" s="545">
        <v>21144</v>
      </c>
      <c r="R104" s="545">
        <v>7797</v>
      </c>
      <c r="S104" s="559">
        <v>28941</v>
      </c>
      <c r="T104" s="545">
        <v>471</v>
      </c>
      <c r="U104" s="545">
        <v>1070</v>
      </c>
      <c r="V104" s="559">
        <v>1541</v>
      </c>
      <c r="W104" s="545">
        <v>2316</v>
      </c>
      <c r="X104" s="545">
        <v>1329</v>
      </c>
      <c r="Y104" s="559">
        <v>3645</v>
      </c>
      <c r="Z104" s="200">
        <v>326440.88370536949</v>
      </c>
      <c r="AA104" s="200">
        <v>319423.35291416117</v>
      </c>
      <c r="AB104" s="563">
        <v>645864.23661953059</v>
      </c>
    </row>
    <row r="105" spans="1:28">
      <c r="A105" s="541" t="s">
        <v>829</v>
      </c>
      <c r="B105" s="560">
        <v>1157</v>
      </c>
      <c r="C105" s="560">
        <v>648</v>
      </c>
      <c r="D105" s="561">
        <v>1805</v>
      </c>
      <c r="E105" s="560">
        <v>209</v>
      </c>
      <c r="F105" s="560">
        <v>368</v>
      </c>
      <c r="G105" s="561">
        <v>577</v>
      </c>
      <c r="H105" s="560">
        <v>20497</v>
      </c>
      <c r="I105" s="560">
        <v>24039</v>
      </c>
      <c r="J105" s="561">
        <v>44536</v>
      </c>
      <c r="K105" s="560">
        <v>274718</v>
      </c>
      <c r="L105" s="560">
        <v>263353</v>
      </c>
      <c r="M105" s="561">
        <v>538071</v>
      </c>
      <c r="N105" s="560">
        <v>1779</v>
      </c>
      <c r="O105" s="560">
        <v>839</v>
      </c>
      <c r="P105" s="561">
        <v>2618</v>
      </c>
      <c r="Q105" s="560">
        <v>18505</v>
      </c>
      <c r="R105" s="560">
        <v>4947</v>
      </c>
      <c r="S105" s="561">
        <v>23452</v>
      </c>
      <c r="T105" s="560">
        <v>272</v>
      </c>
      <c r="U105" s="560">
        <v>832</v>
      </c>
      <c r="V105" s="561">
        <v>1104</v>
      </c>
      <c r="W105" s="560">
        <v>2378</v>
      </c>
      <c r="X105" s="560">
        <v>1485</v>
      </c>
      <c r="Y105" s="561">
        <v>3863</v>
      </c>
      <c r="Z105" s="562">
        <v>319515</v>
      </c>
      <c r="AA105" s="562">
        <v>296511</v>
      </c>
      <c r="AB105" s="561">
        <f t="shared" ref="AB105" si="30">Z105+AA105</f>
        <v>616026</v>
      </c>
    </row>
    <row r="106" spans="1:28">
      <c r="A106" s="514" t="s">
        <v>828</v>
      </c>
      <c r="B106" s="515">
        <v>1726</v>
      </c>
      <c r="C106" s="515">
        <v>688</v>
      </c>
      <c r="D106" s="515">
        <v>2414</v>
      </c>
      <c r="E106" s="515">
        <v>109</v>
      </c>
      <c r="F106" s="515">
        <v>200</v>
      </c>
      <c r="G106" s="515">
        <v>309</v>
      </c>
      <c r="H106" s="515">
        <v>16693</v>
      </c>
      <c r="I106" s="515">
        <v>20910</v>
      </c>
      <c r="J106" s="515">
        <v>37603</v>
      </c>
      <c r="K106" s="515">
        <v>244486</v>
      </c>
      <c r="L106" s="515">
        <v>226578</v>
      </c>
      <c r="M106" s="515">
        <v>471064</v>
      </c>
      <c r="N106" s="515">
        <v>1844</v>
      </c>
      <c r="O106" s="515">
        <v>838</v>
      </c>
      <c r="P106" s="515">
        <v>2682</v>
      </c>
      <c r="Q106" s="515">
        <v>14708</v>
      </c>
      <c r="R106" s="515">
        <v>3033</v>
      </c>
      <c r="S106" s="515">
        <v>17741</v>
      </c>
      <c r="T106" s="515">
        <v>117</v>
      </c>
      <c r="U106" s="515">
        <v>655</v>
      </c>
      <c r="V106" s="515">
        <v>772</v>
      </c>
      <c r="W106" s="515">
        <v>3299</v>
      </c>
      <c r="X106" s="515">
        <v>2813</v>
      </c>
      <c r="Y106" s="515">
        <v>6112</v>
      </c>
      <c r="Z106" s="515">
        <f t="shared" ref="Z106:AB106" si="31">B106+E106+H106+K106+N106+Q106+T106+W106</f>
        <v>282982</v>
      </c>
      <c r="AA106" s="515">
        <f t="shared" si="31"/>
        <v>255715</v>
      </c>
      <c r="AB106" s="515">
        <f t="shared" si="31"/>
        <v>538697</v>
      </c>
    </row>
    <row r="107" spans="1:28" ht="15">
      <c r="A107" s="537" t="s">
        <v>30</v>
      </c>
      <c r="B107" s="538"/>
      <c r="C107" s="539"/>
      <c r="D107" s="539"/>
      <c r="E107" s="539"/>
      <c r="F107" s="539"/>
      <c r="G107" s="539"/>
      <c r="H107" s="539"/>
      <c r="I107" s="539"/>
      <c r="J107" s="540"/>
      <c r="K107" s="538"/>
      <c r="L107" s="539"/>
      <c r="M107" s="539"/>
      <c r="N107" s="539"/>
      <c r="O107" s="539"/>
      <c r="P107" s="539"/>
      <c r="Q107" s="539"/>
      <c r="R107" s="539"/>
      <c r="S107" s="540"/>
      <c r="T107" s="538"/>
      <c r="U107" s="539"/>
      <c r="V107" s="539"/>
      <c r="W107" s="539"/>
      <c r="X107" s="539"/>
      <c r="Y107" s="539"/>
      <c r="Z107" s="539"/>
      <c r="AA107" s="539"/>
      <c r="AB107" s="539"/>
    </row>
    <row r="108" spans="1:28">
      <c r="A108" s="541" t="s">
        <v>832</v>
      </c>
      <c r="B108" s="154">
        <v>8422</v>
      </c>
      <c r="C108" s="154">
        <v>6566</v>
      </c>
      <c r="D108" s="154">
        <v>14988</v>
      </c>
      <c r="E108" s="154">
        <v>160</v>
      </c>
      <c r="F108" s="154">
        <v>368</v>
      </c>
      <c r="G108" s="154">
        <v>528</v>
      </c>
      <c r="H108" s="154">
        <v>86081</v>
      </c>
      <c r="I108" s="154">
        <v>111740</v>
      </c>
      <c r="J108" s="154">
        <v>197821</v>
      </c>
      <c r="K108" s="154">
        <v>828434</v>
      </c>
      <c r="L108" s="154">
        <v>847140</v>
      </c>
      <c r="M108" s="154">
        <v>1675574</v>
      </c>
      <c r="N108" s="154">
        <v>2861</v>
      </c>
      <c r="O108" s="154">
        <v>2790</v>
      </c>
      <c r="P108" s="154">
        <v>5651</v>
      </c>
      <c r="Q108" s="154">
        <v>113133</v>
      </c>
      <c r="R108" s="154">
        <v>80208</v>
      </c>
      <c r="S108" s="154">
        <v>193341</v>
      </c>
      <c r="T108" s="154">
        <v>1148</v>
      </c>
      <c r="U108" s="154">
        <v>1495</v>
      </c>
      <c r="V108" s="154">
        <v>2643</v>
      </c>
      <c r="W108" s="154">
        <v>6382</v>
      </c>
      <c r="X108" s="154">
        <v>5074</v>
      </c>
      <c r="Y108" s="154">
        <v>11456</v>
      </c>
      <c r="Z108" s="154">
        <v>1046621</v>
      </c>
      <c r="AA108" s="154">
        <v>1055381</v>
      </c>
      <c r="AB108" s="154">
        <v>2102002</v>
      </c>
    </row>
    <row r="109" spans="1:28">
      <c r="A109" s="541" t="s">
        <v>831</v>
      </c>
      <c r="B109" s="515">
        <v>8070</v>
      </c>
      <c r="C109" s="515">
        <v>5230</v>
      </c>
      <c r="D109" s="515">
        <v>13300</v>
      </c>
      <c r="E109" s="515">
        <v>152</v>
      </c>
      <c r="F109" s="515">
        <v>316</v>
      </c>
      <c r="G109" s="515">
        <v>468</v>
      </c>
      <c r="H109" s="515">
        <v>80841</v>
      </c>
      <c r="I109" s="515">
        <v>101159</v>
      </c>
      <c r="J109" s="515">
        <v>182000</v>
      </c>
      <c r="K109" s="515">
        <v>754255</v>
      </c>
      <c r="L109" s="515">
        <v>777917</v>
      </c>
      <c r="M109" s="515">
        <v>1532172</v>
      </c>
      <c r="N109" s="515">
        <v>2280</v>
      </c>
      <c r="O109" s="515">
        <v>2251</v>
      </c>
      <c r="P109" s="515">
        <v>4531</v>
      </c>
      <c r="Q109" s="515">
        <v>113266</v>
      </c>
      <c r="R109" s="515">
        <v>72897</v>
      </c>
      <c r="S109" s="515">
        <v>186163</v>
      </c>
      <c r="T109" s="515">
        <v>1281</v>
      </c>
      <c r="U109" s="515">
        <v>1793</v>
      </c>
      <c r="V109" s="515">
        <v>3074</v>
      </c>
      <c r="W109" s="515">
        <v>4495</v>
      </c>
      <c r="X109" s="515">
        <v>3652</v>
      </c>
      <c r="Y109" s="515">
        <v>8147</v>
      </c>
      <c r="Z109" s="515">
        <v>964640</v>
      </c>
      <c r="AA109" s="515">
        <v>965215</v>
      </c>
      <c r="AB109" s="515">
        <v>1929855</v>
      </c>
    </row>
    <row r="110" spans="1:28">
      <c r="A110" s="541" t="s">
        <v>830</v>
      </c>
      <c r="B110" s="545">
        <v>9103</v>
      </c>
      <c r="C110" s="545">
        <v>5087</v>
      </c>
      <c r="D110" s="559">
        <v>14190</v>
      </c>
      <c r="E110" s="545">
        <v>189</v>
      </c>
      <c r="F110" s="545">
        <v>338</v>
      </c>
      <c r="G110" s="559">
        <v>527</v>
      </c>
      <c r="H110" s="543">
        <v>80937.749361816663</v>
      </c>
      <c r="I110" s="543">
        <v>96783.309504860168</v>
      </c>
      <c r="J110" s="563">
        <v>177721.05886667682</v>
      </c>
      <c r="K110" s="543">
        <v>719930.31147513888</v>
      </c>
      <c r="L110" s="543">
        <v>756748.26757246209</v>
      </c>
      <c r="M110" s="563">
        <v>1476678.579047601</v>
      </c>
      <c r="N110" s="545">
        <v>2182</v>
      </c>
      <c r="O110" s="545">
        <v>2062</v>
      </c>
      <c r="P110" s="559">
        <v>4244</v>
      </c>
      <c r="Q110" s="545">
        <v>121254</v>
      </c>
      <c r="R110" s="545">
        <v>77215</v>
      </c>
      <c r="S110" s="559">
        <v>198469</v>
      </c>
      <c r="T110" s="545">
        <v>2049</v>
      </c>
      <c r="U110" s="545">
        <v>1637</v>
      </c>
      <c r="V110" s="559">
        <v>3686</v>
      </c>
      <c r="W110" s="545">
        <v>3879</v>
      </c>
      <c r="X110" s="545">
        <v>3112</v>
      </c>
      <c r="Y110" s="559">
        <v>6991</v>
      </c>
      <c r="Z110" s="200">
        <v>939524.06083695556</v>
      </c>
      <c r="AA110" s="200">
        <v>942982.57707732229</v>
      </c>
      <c r="AB110" s="563">
        <v>1882506.6379142778</v>
      </c>
    </row>
    <row r="111" spans="1:28">
      <c r="A111" s="541" t="s">
        <v>829</v>
      </c>
      <c r="B111" s="560">
        <v>6630</v>
      </c>
      <c r="C111" s="560">
        <v>4211</v>
      </c>
      <c r="D111" s="561">
        <v>10841</v>
      </c>
      <c r="E111" s="560">
        <v>198</v>
      </c>
      <c r="F111" s="560">
        <v>329</v>
      </c>
      <c r="G111" s="561">
        <v>527</v>
      </c>
      <c r="H111" s="560">
        <v>82065</v>
      </c>
      <c r="I111" s="560">
        <v>87824</v>
      </c>
      <c r="J111" s="561">
        <v>169889</v>
      </c>
      <c r="K111" s="560">
        <v>697936</v>
      </c>
      <c r="L111" s="560">
        <v>708806</v>
      </c>
      <c r="M111" s="561">
        <v>1406742</v>
      </c>
      <c r="N111" s="560">
        <v>2008</v>
      </c>
      <c r="O111" s="560">
        <v>1884</v>
      </c>
      <c r="P111" s="561">
        <v>3892</v>
      </c>
      <c r="Q111" s="560">
        <v>129732</v>
      </c>
      <c r="R111" s="560">
        <v>75159</v>
      </c>
      <c r="S111" s="561">
        <v>204891</v>
      </c>
      <c r="T111" s="560">
        <v>1953</v>
      </c>
      <c r="U111" s="560">
        <v>1759</v>
      </c>
      <c r="V111" s="561">
        <v>3712</v>
      </c>
      <c r="W111" s="560">
        <v>4406</v>
      </c>
      <c r="X111" s="560">
        <v>3636</v>
      </c>
      <c r="Y111" s="561">
        <v>8042</v>
      </c>
      <c r="Z111" s="562">
        <v>924928</v>
      </c>
      <c r="AA111" s="562">
        <v>883608</v>
      </c>
      <c r="AB111" s="561">
        <f t="shared" ref="AB111" si="32">Z111+AA111</f>
        <v>1808536</v>
      </c>
    </row>
    <row r="112" spans="1:28">
      <c r="A112" s="514" t="s">
        <v>828</v>
      </c>
      <c r="B112" s="515">
        <v>7424</v>
      </c>
      <c r="C112" s="515">
        <v>4353</v>
      </c>
      <c r="D112" s="515">
        <v>11777</v>
      </c>
      <c r="E112" s="515">
        <v>214</v>
      </c>
      <c r="F112" s="515">
        <v>378</v>
      </c>
      <c r="G112" s="515">
        <v>592</v>
      </c>
      <c r="H112" s="515">
        <v>83570</v>
      </c>
      <c r="I112" s="515">
        <v>80953</v>
      </c>
      <c r="J112" s="515">
        <v>164523</v>
      </c>
      <c r="K112" s="515">
        <v>700401</v>
      </c>
      <c r="L112" s="515">
        <v>688405</v>
      </c>
      <c r="M112" s="515">
        <v>1388806</v>
      </c>
      <c r="N112" s="515">
        <v>2239</v>
      </c>
      <c r="O112" s="515">
        <v>1690</v>
      </c>
      <c r="P112" s="515">
        <v>3929</v>
      </c>
      <c r="Q112" s="515">
        <v>131997</v>
      </c>
      <c r="R112" s="515">
        <v>73600</v>
      </c>
      <c r="S112" s="515">
        <v>205597</v>
      </c>
      <c r="T112" s="515">
        <v>2112</v>
      </c>
      <c r="U112" s="515">
        <v>2213</v>
      </c>
      <c r="V112" s="515">
        <v>4325</v>
      </c>
      <c r="W112" s="515">
        <v>4072</v>
      </c>
      <c r="X112" s="515">
        <v>3344</v>
      </c>
      <c r="Y112" s="515">
        <v>7416</v>
      </c>
      <c r="Z112" s="515">
        <f t="shared" ref="Z112:AB112" si="33">B112+E112+H112+K112+N112+Q112+T112+W112</f>
        <v>932029</v>
      </c>
      <c r="AA112" s="515">
        <f t="shared" si="33"/>
        <v>854936</v>
      </c>
      <c r="AB112" s="515">
        <f t="shared" si="33"/>
        <v>1786965</v>
      </c>
    </row>
    <row r="113" spans="1:28" ht="15">
      <c r="A113" s="537" t="s">
        <v>31</v>
      </c>
      <c r="B113" s="538"/>
      <c r="C113" s="539"/>
      <c r="D113" s="539"/>
      <c r="E113" s="539"/>
      <c r="F113" s="539"/>
      <c r="G113" s="539"/>
      <c r="H113" s="539"/>
      <c r="I113" s="539"/>
      <c r="J113" s="540"/>
      <c r="K113" s="538"/>
      <c r="L113" s="539"/>
      <c r="M113" s="539"/>
      <c r="N113" s="539"/>
      <c r="O113" s="539"/>
      <c r="P113" s="539"/>
      <c r="Q113" s="539"/>
      <c r="R113" s="539"/>
      <c r="S113" s="540"/>
      <c r="T113" s="538"/>
      <c r="U113" s="539"/>
      <c r="V113" s="539"/>
      <c r="W113" s="539"/>
      <c r="X113" s="539"/>
      <c r="Y113" s="539"/>
      <c r="Z113" s="539"/>
      <c r="AA113" s="539"/>
      <c r="AB113" s="539"/>
    </row>
    <row r="114" spans="1:28">
      <c r="A114" s="541" t="s">
        <v>832</v>
      </c>
      <c r="B114" s="154">
        <v>2817</v>
      </c>
      <c r="C114" s="154">
        <v>4687</v>
      </c>
      <c r="D114" s="154">
        <v>7504</v>
      </c>
      <c r="E114" s="154">
        <v>197</v>
      </c>
      <c r="F114" s="154">
        <v>676</v>
      </c>
      <c r="G114" s="154">
        <v>873</v>
      </c>
      <c r="H114" s="154">
        <v>21928</v>
      </c>
      <c r="I114" s="154">
        <v>69228</v>
      </c>
      <c r="J114" s="154">
        <v>91156</v>
      </c>
      <c r="K114" s="154">
        <v>287531</v>
      </c>
      <c r="L114" s="154">
        <v>410502</v>
      </c>
      <c r="M114" s="154">
        <v>698033</v>
      </c>
      <c r="N114" s="154">
        <v>399</v>
      </c>
      <c r="O114" s="154">
        <v>467</v>
      </c>
      <c r="P114" s="154">
        <v>866</v>
      </c>
      <c r="Q114" s="154">
        <v>41458</v>
      </c>
      <c r="R114" s="154">
        <v>30502</v>
      </c>
      <c r="S114" s="154">
        <v>71960</v>
      </c>
      <c r="T114" s="154">
        <v>780</v>
      </c>
      <c r="U114" s="154">
        <v>2510</v>
      </c>
      <c r="V114" s="154">
        <v>3290</v>
      </c>
      <c r="W114" s="154">
        <v>3701</v>
      </c>
      <c r="X114" s="154">
        <v>4094</v>
      </c>
      <c r="Y114" s="154">
        <v>7795</v>
      </c>
      <c r="Z114" s="154">
        <v>358811</v>
      </c>
      <c r="AA114" s="154">
        <v>522666</v>
      </c>
      <c r="AB114" s="154">
        <v>881477</v>
      </c>
    </row>
    <row r="115" spans="1:28">
      <c r="A115" s="541" t="s">
        <v>831</v>
      </c>
      <c r="B115" s="515">
        <v>2503</v>
      </c>
      <c r="C115" s="515">
        <v>4183</v>
      </c>
      <c r="D115" s="515">
        <v>6686</v>
      </c>
      <c r="E115" s="515">
        <v>204</v>
      </c>
      <c r="F115" s="515">
        <v>685</v>
      </c>
      <c r="G115" s="515">
        <v>889</v>
      </c>
      <c r="H115" s="515">
        <v>20891</v>
      </c>
      <c r="I115" s="515">
        <v>64717</v>
      </c>
      <c r="J115" s="515">
        <v>85608</v>
      </c>
      <c r="K115" s="515">
        <v>281525</v>
      </c>
      <c r="L115" s="515">
        <v>397212</v>
      </c>
      <c r="M115" s="515">
        <v>678737</v>
      </c>
      <c r="N115" s="515">
        <v>476</v>
      </c>
      <c r="O115" s="515">
        <v>462</v>
      </c>
      <c r="P115" s="515">
        <v>938</v>
      </c>
      <c r="Q115" s="515">
        <v>36948</v>
      </c>
      <c r="R115" s="515">
        <v>29262</v>
      </c>
      <c r="S115" s="515">
        <v>66210</v>
      </c>
      <c r="T115" s="515">
        <v>857</v>
      </c>
      <c r="U115" s="515">
        <v>2626</v>
      </c>
      <c r="V115" s="515">
        <v>3483</v>
      </c>
      <c r="W115" s="515">
        <v>2828</v>
      </c>
      <c r="X115" s="515">
        <v>2864</v>
      </c>
      <c r="Y115" s="515">
        <v>5692</v>
      </c>
      <c r="Z115" s="515">
        <v>346232</v>
      </c>
      <c r="AA115" s="515">
        <v>502011</v>
      </c>
      <c r="AB115" s="515">
        <v>848243</v>
      </c>
    </row>
    <row r="116" spans="1:28">
      <c r="A116" s="541" t="s">
        <v>830</v>
      </c>
      <c r="B116" s="545">
        <v>2256</v>
      </c>
      <c r="C116" s="545">
        <v>3655</v>
      </c>
      <c r="D116" s="559">
        <v>5911</v>
      </c>
      <c r="E116" s="545">
        <v>280</v>
      </c>
      <c r="F116" s="545">
        <v>630</v>
      </c>
      <c r="G116" s="559">
        <v>910</v>
      </c>
      <c r="H116" s="543">
        <v>19937.435627667954</v>
      </c>
      <c r="I116" s="543">
        <v>60431.771676272299</v>
      </c>
      <c r="J116" s="563">
        <v>80369.207303940246</v>
      </c>
      <c r="K116" s="543">
        <v>276683.30778716237</v>
      </c>
      <c r="L116" s="543">
        <v>392323.28400024667</v>
      </c>
      <c r="M116" s="563">
        <v>669006.59178740904</v>
      </c>
      <c r="N116" s="545">
        <v>639</v>
      </c>
      <c r="O116" s="545">
        <v>422</v>
      </c>
      <c r="P116" s="559">
        <v>1061</v>
      </c>
      <c r="Q116" s="545">
        <v>36183</v>
      </c>
      <c r="R116" s="545">
        <v>30690</v>
      </c>
      <c r="S116" s="559">
        <v>66873</v>
      </c>
      <c r="T116" s="545">
        <v>740</v>
      </c>
      <c r="U116" s="545">
        <v>2918</v>
      </c>
      <c r="V116" s="559">
        <v>3658</v>
      </c>
      <c r="W116" s="545">
        <v>2252</v>
      </c>
      <c r="X116" s="545">
        <v>2159</v>
      </c>
      <c r="Y116" s="559">
        <v>4411</v>
      </c>
      <c r="Z116" s="200">
        <v>338970.7434148303</v>
      </c>
      <c r="AA116" s="200">
        <v>493229.05567651894</v>
      </c>
      <c r="AB116" s="563">
        <v>832199.79909134936</v>
      </c>
    </row>
    <row r="117" spans="1:28">
      <c r="A117" s="541" t="s">
        <v>829</v>
      </c>
      <c r="B117" s="560">
        <v>2185</v>
      </c>
      <c r="C117" s="560">
        <v>3121</v>
      </c>
      <c r="D117" s="561">
        <v>5306</v>
      </c>
      <c r="E117" s="560">
        <v>165</v>
      </c>
      <c r="F117" s="560">
        <v>569</v>
      </c>
      <c r="G117" s="561">
        <v>734</v>
      </c>
      <c r="H117" s="560">
        <v>21369</v>
      </c>
      <c r="I117" s="560">
        <v>57243</v>
      </c>
      <c r="J117" s="561">
        <v>78612</v>
      </c>
      <c r="K117" s="560">
        <v>273120</v>
      </c>
      <c r="L117" s="560">
        <v>368794</v>
      </c>
      <c r="M117" s="561">
        <v>641914</v>
      </c>
      <c r="N117" s="560">
        <v>244</v>
      </c>
      <c r="O117" s="560">
        <v>263</v>
      </c>
      <c r="P117" s="561">
        <v>507</v>
      </c>
      <c r="Q117" s="560">
        <v>34801</v>
      </c>
      <c r="R117" s="560">
        <v>28389</v>
      </c>
      <c r="S117" s="561">
        <v>63190</v>
      </c>
      <c r="T117" s="560">
        <v>726</v>
      </c>
      <c r="U117" s="560">
        <v>2186</v>
      </c>
      <c r="V117" s="561">
        <v>2912</v>
      </c>
      <c r="W117" s="560">
        <v>2488</v>
      </c>
      <c r="X117" s="560">
        <v>2389</v>
      </c>
      <c r="Y117" s="561">
        <v>4877</v>
      </c>
      <c r="Z117" s="562">
        <v>335098</v>
      </c>
      <c r="AA117" s="562">
        <v>462954</v>
      </c>
      <c r="AB117" s="561">
        <f t="shared" ref="AB117" si="34">Z117+AA117</f>
        <v>798052</v>
      </c>
    </row>
    <row r="118" spans="1:28">
      <c r="A118" s="514" t="s">
        <v>828</v>
      </c>
      <c r="B118" s="515">
        <v>1956</v>
      </c>
      <c r="C118" s="515">
        <v>2675</v>
      </c>
      <c r="D118" s="515">
        <v>4631</v>
      </c>
      <c r="E118" s="515">
        <v>228</v>
      </c>
      <c r="F118" s="515">
        <v>684</v>
      </c>
      <c r="G118" s="515">
        <v>912</v>
      </c>
      <c r="H118" s="515">
        <v>23873</v>
      </c>
      <c r="I118" s="515">
        <v>56302</v>
      </c>
      <c r="J118" s="515">
        <v>80175</v>
      </c>
      <c r="K118" s="515">
        <v>257312</v>
      </c>
      <c r="L118" s="515">
        <v>340566</v>
      </c>
      <c r="M118" s="515">
        <v>597878</v>
      </c>
      <c r="N118" s="515">
        <v>195</v>
      </c>
      <c r="O118" s="515">
        <v>260</v>
      </c>
      <c r="P118" s="515">
        <v>455</v>
      </c>
      <c r="Q118" s="515">
        <v>34439</v>
      </c>
      <c r="R118" s="515">
        <v>28650</v>
      </c>
      <c r="S118" s="515">
        <v>63089</v>
      </c>
      <c r="T118" s="515">
        <v>489</v>
      </c>
      <c r="U118" s="515">
        <v>2370</v>
      </c>
      <c r="V118" s="515">
        <v>2859</v>
      </c>
      <c r="W118" s="515">
        <v>2431</v>
      </c>
      <c r="X118" s="515">
        <v>2312</v>
      </c>
      <c r="Y118" s="515">
        <v>4743</v>
      </c>
      <c r="Z118" s="515">
        <f t="shared" ref="Z118:AB118" si="35">B118+E118+H118+K118+N118+Q118+T118+W118</f>
        <v>320923</v>
      </c>
      <c r="AA118" s="515">
        <f t="shared" si="35"/>
        <v>433819</v>
      </c>
      <c r="AB118" s="515">
        <f t="shared" si="35"/>
        <v>754742</v>
      </c>
    </row>
    <row r="119" spans="1:28" ht="15">
      <c r="A119" s="537" t="s">
        <v>761</v>
      </c>
      <c r="B119" s="564"/>
      <c r="C119" s="512"/>
      <c r="D119" s="512"/>
      <c r="E119" s="512"/>
      <c r="F119" s="512"/>
      <c r="G119" s="512"/>
      <c r="H119" s="512"/>
      <c r="I119" s="515"/>
      <c r="J119" s="513"/>
      <c r="K119" s="564"/>
      <c r="L119" s="512"/>
      <c r="M119" s="512"/>
      <c r="N119" s="512"/>
      <c r="O119" s="512"/>
      <c r="P119" s="512"/>
      <c r="Q119" s="512"/>
      <c r="R119" s="512"/>
      <c r="S119" s="513"/>
      <c r="T119" s="564"/>
      <c r="U119" s="512"/>
      <c r="V119" s="512"/>
      <c r="W119" s="512"/>
      <c r="X119" s="512"/>
      <c r="Y119" s="512"/>
      <c r="Z119" s="512"/>
      <c r="AA119" s="512"/>
      <c r="AB119" s="512"/>
    </row>
    <row r="120" spans="1:28">
      <c r="A120" s="541" t="s">
        <v>832</v>
      </c>
      <c r="B120" s="154">
        <v>6</v>
      </c>
      <c r="C120" s="154">
        <v>2</v>
      </c>
      <c r="D120" s="154">
        <v>8</v>
      </c>
      <c r="E120" s="154">
        <v>0</v>
      </c>
      <c r="F120" s="154">
        <v>0</v>
      </c>
      <c r="G120" s="154">
        <v>0</v>
      </c>
      <c r="H120" s="154">
        <v>26</v>
      </c>
      <c r="I120" s="154">
        <v>28</v>
      </c>
      <c r="J120" s="154">
        <v>54</v>
      </c>
      <c r="K120" s="154">
        <v>798</v>
      </c>
      <c r="L120" s="154">
        <v>1746</v>
      </c>
      <c r="M120" s="154">
        <v>2544</v>
      </c>
      <c r="N120" s="154">
        <v>0</v>
      </c>
      <c r="O120" s="154">
        <v>0</v>
      </c>
      <c r="P120" s="154">
        <v>0</v>
      </c>
      <c r="Q120" s="154">
        <v>112</v>
      </c>
      <c r="R120" s="154">
        <v>24</v>
      </c>
      <c r="S120" s="154">
        <v>136</v>
      </c>
      <c r="T120" s="154">
        <v>0</v>
      </c>
      <c r="U120" s="154">
        <v>0</v>
      </c>
      <c r="V120" s="154">
        <v>0</v>
      </c>
      <c r="W120" s="154">
        <v>57</v>
      </c>
      <c r="X120" s="154">
        <v>98</v>
      </c>
      <c r="Y120" s="154">
        <v>155</v>
      </c>
      <c r="Z120" s="154">
        <v>999</v>
      </c>
      <c r="AA120" s="154">
        <v>1898</v>
      </c>
      <c r="AB120" s="154">
        <v>2897</v>
      </c>
    </row>
    <row r="121" spans="1:28" ht="15">
      <c r="A121" s="537" t="s">
        <v>32</v>
      </c>
      <c r="B121" s="538"/>
      <c r="C121" s="539"/>
      <c r="D121" s="539"/>
      <c r="E121" s="539"/>
      <c r="F121" s="539"/>
      <c r="G121" s="539"/>
      <c r="H121" s="539"/>
      <c r="I121" s="545"/>
      <c r="J121" s="540"/>
      <c r="K121" s="538"/>
      <c r="L121" s="539"/>
      <c r="M121" s="539"/>
      <c r="N121" s="539"/>
      <c r="O121" s="539"/>
      <c r="P121" s="539"/>
      <c r="Q121" s="539"/>
      <c r="R121" s="539"/>
      <c r="S121" s="540"/>
      <c r="T121" s="538"/>
      <c r="U121" s="539"/>
      <c r="V121" s="539"/>
      <c r="W121" s="539"/>
      <c r="X121" s="539"/>
      <c r="Y121" s="539"/>
      <c r="Z121" s="539"/>
      <c r="AA121" s="539"/>
      <c r="AB121" s="539"/>
    </row>
    <row r="122" spans="1:28">
      <c r="A122" s="541" t="s">
        <v>832</v>
      </c>
      <c r="B122" s="154">
        <v>0</v>
      </c>
      <c r="C122" s="154">
        <v>0</v>
      </c>
      <c r="D122" s="154">
        <v>0</v>
      </c>
      <c r="E122" s="154">
        <v>0</v>
      </c>
      <c r="F122" s="154">
        <v>0</v>
      </c>
      <c r="G122" s="154">
        <v>0</v>
      </c>
      <c r="H122" s="154">
        <v>0</v>
      </c>
      <c r="I122" s="154">
        <v>26</v>
      </c>
      <c r="J122" s="154">
        <v>26</v>
      </c>
      <c r="K122" s="154">
        <v>133</v>
      </c>
      <c r="L122" s="154">
        <v>401</v>
      </c>
      <c r="M122" s="154">
        <v>534</v>
      </c>
      <c r="N122" s="154">
        <v>0</v>
      </c>
      <c r="O122" s="154">
        <v>0</v>
      </c>
      <c r="P122" s="154">
        <v>0</v>
      </c>
      <c r="Q122" s="154">
        <v>0</v>
      </c>
      <c r="R122" s="154">
        <v>0</v>
      </c>
      <c r="S122" s="154">
        <v>0</v>
      </c>
      <c r="T122" s="154">
        <v>0</v>
      </c>
      <c r="U122" s="154">
        <v>0</v>
      </c>
      <c r="V122" s="154">
        <v>0</v>
      </c>
      <c r="W122" s="154">
        <v>0</v>
      </c>
      <c r="X122" s="154">
        <v>0</v>
      </c>
      <c r="Y122" s="154">
        <v>0</v>
      </c>
      <c r="Z122" s="154">
        <v>133</v>
      </c>
      <c r="AA122" s="154">
        <v>427</v>
      </c>
      <c r="AB122" s="154">
        <v>560</v>
      </c>
    </row>
    <row r="123" spans="1:28">
      <c r="A123" s="541" t="s">
        <v>831</v>
      </c>
      <c r="B123" s="515">
        <v>0</v>
      </c>
      <c r="C123" s="515">
        <v>0</v>
      </c>
      <c r="D123" s="515">
        <v>0</v>
      </c>
      <c r="E123" s="515">
        <v>0</v>
      </c>
      <c r="F123" s="515">
        <v>0</v>
      </c>
      <c r="G123" s="515">
        <v>0</v>
      </c>
      <c r="H123" s="515">
        <v>0</v>
      </c>
      <c r="I123" s="545">
        <v>26</v>
      </c>
      <c r="J123" s="515">
        <v>26</v>
      </c>
      <c r="K123" s="515">
        <v>127</v>
      </c>
      <c r="L123" s="515">
        <v>392</v>
      </c>
      <c r="M123" s="515">
        <v>519</v>
      </c>
      <c r="N123" s="515">
        <v>0</v>
      </c>
      <c r="O123" s="515">
        <v>0</v>
      </c>
      <c r="P123" s="515">
        <v>0</v>
      </c>
      <c r="Q123" s="515">
        <v>0</v>
      </c>
      <c r="R123" s="515">
        <v>0</v>
      </c>
      <c r="S123" s="515">
        <v>0</v>
      </c>
      <c r="T123" s="515">
        <v>0</v>
      </c>
      <c r="U123" s="515">
        <v>0</v>
      </c>
      <c r="V123" s="515">
        <v>0</v>
      </c>
      <c r="W123" s="515">
        <v>0</v>
      </c>
      <c r="X123" s="515">
        <v>0</v>
      </c>
      <c r="Y123" s="515">
        <v>0</v>
      </c>
      <c r="Z123" s="515">
        <v>127</v>
      </c>
      <c r="AA123" s="515">
        <v>418</v>
      </c>
      <c r="AB123" s="515">
        <v>545</v>
      </c>
    </row>
    <row r="124" spans="1:28">
      <c r="A124" s="541" t="s">
        <v>830</v>
      </c>
      <c r="B124" s="545">
        <v>0</v>
      </c>
      <c r="C124" s="545">
        <v>0</v>
      </c>
      <c r="D124" s="559">
        <v>0</v>
      </c>
      <c r="E124" s="545">
        <v>0</v>
      </c>
      <c r="F124" s="545">
        <v>0</v>
      </c>
      <c r="G124" s="559">
        <v>0</v>
      </c>
      <c r="H124" s="545">
        <v>4</v>
      </c>
      <c r="I124" s="545">
        <v>33</v>
      </c>
      <c r="J124" s="559">
        <v>37</v>
      </c>
      <c r="K124" s="545">
        <v>112</v>
      </c>
      <c r="L124" s="545">
        <v>403</v>
      </c>
      <c r="M124" s="559">
        <v>515</v>
      </c>
      <c r="N124" s="545">
        <v>0</v>
      </c>
      <c r="O124" s="545">
        <v>0</v>
      </c>
      <c r="P124" s="559">
        <v>0</v>
      </c>
      <c r="Q124" s="545">
        <v>0</v>
      </c>
      <c r="R124" s="545">
        <v>0</v>
      </c>
      <c r="S124" s="559">
        <v>0</v>
      </c>
      <c r="T124" s="545">
        <v>0</v>
      </c>
      <c r="U124" s="545">
        <v>0</v>
      </c>
      <c r="V124" s="559">
        <v>0</v>
      </c>
      <c r="W124" s="545">
        <v>0</v>
      </c>
      <c r="X124" s="545">
        <v>0</v>
      </c>
      <c r="Y124" s="559">
        <v>0</v>
      </c>
      <c r="Z124" s="209">
        <v>116</v>
      </c>
      <c r="AA124" s="209">
        <v>436</v>
      </c>
      <c r="AB124" s="559">
        <v>552</v>
      </c>
    </row>
    <row r="125" spans="1:28">
      <c r="A125" s="541" t="s">
        <v>829</v>
      </c>
      <c r="B125" s="560">
        <v>0</v>
      </c>
      <c r="C125" s="560">
        <v>0</v>
      </c>
      <c r="D125" s="561">
        <v>0</v>
      </c>
      <c r="E125" s="560">
        <v>0</v>
      </c>
      <c r="F125" s="560">
        <v>0</v>
      </c>
      <c r="G125" s="561">
        <v>0</v>
      </c>
      <c r="H125" s="560">
        <v>1</v>
      </c>
      <c r="I125" s="560">
        <v>12</v>
      </c>
      <c r="J125" s="561">
        <v>13</v>
      </c>
      <c r="K125" s="560">
        <v>148</v>
      </c>
      <c r="L125" s="560">
        <v>363</v>
      </c>
      <c r="M125" s="561">
        <v>511</v>
      </c>
      <c r="N125" s="560">
        <v>0</v>
      </c>
      <c r="O125" s="560">
        <v>0</v>
      </c>
      <c r="P125" s="561">
        <v>0</v>
      </c>
      <c r="Q125" s="560">
        <v>0</v>
      </c>
      <c r="R125" s="560">
        <v>0</v>
      </c>
      <c r="S125" s="561">
        <v>0</v>
      </c>
      <c r="T125" s="560">
        <v>0</v>
      </c>
      <c r="U125" s="560">
        <v>0</v>
      </c>
      <c r="V125" s="561">
        <v>0</v>
      </c>
      <c r="W125" s="560">
        <v>0</v>
      </c>
      <c r="X125" s="560">
        <v>0</v>
      </c>
      <c r="Y125" s="561">
        <v>0</v>
      </c>
      <c r="Z125" s="562">
        <v>149</v>
      </c>
      <c r="AA125" s="562">
        <v>375</v>
      </c>
      <c r="AB125" s="561">
        <f t="shared" ref="AB125" si="36">Z125+AA125</f>
        <v>524</v>
      </c>
    </row>
    <row r="126" spans="1:28">
      <c r="A126" s="514" t="s">
        <v>828</v>
      </c>
      <c r="B126" s="515">
        <v>0</v>
      </c>
      <c r="C126" s="515">
        <v>0</v>
      </c>
      <c r="D126" s="515">
        <v>0</v>
      </c>
      <c r="E126" s="515">
        <v>0</v>
      </c>
      <c r="F126" s="515">
        <v>0</v>
      </c>
      <c r="G126" s="515">
        <v>0</v>
      </c>
      <c r="H126" s="515">
        <v>4</v>
      </c>
      <c r="I126" s="515">
        <v>17</v>
      </c>
      <c r="J126" s="515">
        <v>21</v>
      </c>
      <c r="K126" s="515">
        <v>146</v>
      </c>
      <c r="L126" s="515">
        <v>334</v>
      </c>
      <c r="M126" s="515">
        <v>480</v>
      </c>
      <c r="N126" s="515">
        <v>0</v>
      </c>
      <c r="O126" s="515">
        <v>0</v>
      </c>
      <c r="P126" s="515">
        <v>0</v>
      </c>
      <c r="Q126" s="515">
        <v>0</v>
      </c>
      <c r="R126" s="515">
        <v>0</v>
      </c>
      <c r="S126" s="515">
        <v>0</v>
      </c>
      <c r="T126" s="515">
        <v>0</v>
      </c>
      <c r="U126" s="515">
        <v>0</v>
      </c>
      <c r="V126" s="515">
        <v>0</v>
      </c>
      <c r="W126" s="515">
        <v>0</v>
      </c>
      <c r="X126" s="515">
        <v>0</v>
      </c>
      <c r="Y126" s="515">
        <v>0</v>
      </c>
      <c r="Z126" s="515">
        <f t="shared" ref="Z126:AB126" si="37">B126+E126+H126+K126+N126+Q126+T126+W126</f>
        <v>150</v>
      </c>
      <c r="AA126" s="515">
        <f t="shared" si="37"/>
        <v>351</v>
      </c>
      <c r="AB126" s="515">
        <f t="shared" si="37"/>
        <v>501</v>
      </c>
    </row>
    <row r="127" spans="1:28" ht="15">
      <c r="A127" s="537" t="s">
        <v>33</v>
      </c>
      <c r="B127" s="538"/>
      <c r="C127" s="539"/>
      <c r="D127" s="539"/>
      <c r="E127" s="539"/>
      <c r="F127" s="539"/>
      <c r="G127" s="539"/>
      <c r="H127" s="539"/>
      <c r="I127" s="539"/>
      <c r="J127" s="540"/>
      <c r="K127" s="538"/>
      <c r="L127" s="539"/>
      <c r="M127" s="539"/>
      <c r="N127" s="539"/>
      <c r="O127" s="539"/>
      <c r="P127" s="539"/>
      <c r="Q127" s="539"/>
      <c r="R127" s="539"/>
      <c r="S127" s="540"/>
      <c r="T127" s="538"/>
      <c r="U127" s="539"/>
      <c r="V127" s="539"/>
      <c r="W127" s="539"/>
      <c r="X127" s="539"/>
      <c r="Y127" s="539"/>
      <c r="Z127" s="539"/>
      <c r="AA127" s="539"/>
      <c r="AB127" s="539"/>
    </row>
    <row r="128" spans="1:28">
      <c r="A128" s="541" t="s">
        <v>832</v>
      </c>
      <c r="B128" s="154">
        <v>3006</v>
      </c>
      <c r="C128" s="154">
        <v>2441</v>
      </c>
      <c r="D128" s="154">
        <v>5447</v>
      </c>
      <c r="E128" s="154">
        <v>427</v>
      </c>
      <c r="F128" s="154">
        <v>449</v>
      </c>
      <c r="G128" s="154">
        <v>876</v>
      </c>
      <c r="H128" s="154">
        <v>116350</v>
      </c>
      <c r="I128" s="154">
        <v>150926</v>
      </c>
      <c r="J128" s="154">
        <v>267276</v>
      </c>
      <c r="K128" s="154">
        <v>825452</v>
      </c>
      <c r="L128" s="154">
        <v>753608</v>
      </c>
      <c r="M128" s="154">
        <v>1579060</v>
      </c>
      <c r="N128" s="154">
        <v>16921</v>
      </c>
      <c r="O128" s="154">
        <v>19014</v>
      </c>
      <c r="P128" s="154">
        <v>35935</v>
      </c>
      <c r="Q128" s="154">
        <v>74612</v>
      </c>
      <c r="R128" s="154">
        <v>42157</v>
      </c>
      <c r="S128" s="154">
        <v>116769</v>
      </c>
      <c r="T128" s="154">
        <v>845</v>
      </c>
      <c r="U128" s="154">
        <v>837</v>
      </c>
      <c r="V128" s="154">
        <v>1682</v>
      </c>
      <c r="W128" s="154">
        <v>10498</v>
      </c>
      <c r="X128" s="154">
        <v>8326</v>
      </c>
      <c r="Y128" s="154">
        <v>18824</v>
      </c>
      <c r="Z128" s="154">
        <v>1048111</v>
      </c>
      <c r="AA128" s="154">
        <v>977758</v>
      </c>
      <c r="AB128" s="154">
        <v>2025869</v>
      </c>
    </row>
    <row r="129" spans="1:28">
      <c r="A129" s="541" t="s">
        <v>831</v>
      </c>
      <c r="B129" s="515">
        <v>2383</v>
      </c>
      <c r="C129" s="515">
        <v>1710</v>
      </c>
      <c r="D129" s="515">
        <v>4093</v>
      </c>
      <c r="E129" s="515">
        <v>264</v>
      </c>
      <c r="F129" s="515">
        <v>379</v>
      </c>
      <c r="G129" s="515">
        <v>643</v>
      </c>
      <c r="H129" s="515">
        <v>90434</v>
      </c>
      <c r="I129" s="515">
        <v>112362</v>
      </c>
      <c r="J129" s="515">
        <v>202796</v>
      </c>
      <c r="K129" s="515">
        <v>719279</v>
      </c>
      <c r="L129" s="515">
        <v>648370</v>
      </c>
      <c r="M129" s="515">
        <v>1367649</v>
      </c>
      <c r="N129" s="515">
        <v>18203</v>
      </c>
      <c r="O129" s="515">
        <v>20074</v>
      </c>
      <c r="P129" s="515">
        <v>38277</v>
      </c>
      <c r="Q129" s="515">
        <v>72142</v>
      </c>
      <c r="R129" s="515">
        <v>43251</v>
      </c>
      <c r="S129" s="515">
        <v>115393</v>
      </c>
      <c r="T129" s="515">
        <v>1253</v>
      </c>
      <c r="U129" s="515">
        <v>673</v>
      </c>
      <c r="V129" s="515">
        <v>1926</v>
      </c>
      <c r="W129" s="515">
        <v>8300</v>
      </c>
      <c r="X129" s="515">
        <v>6086</v>
      </c>
      <c r="Y129" s="515">
        <v>14386</v>
      </c>
      <c r="Z129" s="515">
        <v>912258</v>
      </c>
      <c r="AA129" s="515">
        <v>832905</v>
      </c>
      <c r="AB129" s="515">
        <v>1745163</v>
      </c>
    </row>
    <row r="130" spans="1:28">
      <c r="A130" s="541" t="s">
        <v>830</v>
      </c>
      <c r="B130" s="545">
        <v>2427</v>
      </c>
      <c r="C130" s="545">
        <v>1558</v>
      </c>
      <c r="D130" s="559">
        <v>3985</v>
      </c>
      <c r="E130" s="545">
        <v>299</v>
      </c>
      <c r="F130" s="545">
        <v>466</v>
      </c>
      <c r="G130" s="559">
        <v>765</v>
      </c>
      <c r="H130" s="543">
        <v>83110.90634232352</v>
      </c>
      <c r="I130" s="543">
        <v>99069.116163813436</v>
      </c>
      <c r="J130" s="563">
        <v>182180.02250613697</v>
      </c>
      <c r="K130" s="543">
        <v>700004.54182277003</v>
      </c>
      <c r="L130" s="543">
        <v>604738.29455067066</v>
      </c>
      <c r="M130" s="563">
        <v>1304742.8363734407</v>
      </c>
      <c r="N130" s="545">
        <v>25153</v>
      </c>
      <c r="O130" s="545">
        <v>29328</v>
      </c>
      <c r="P130" s="559">
        <v>54481</v>
      </c>
      <c r="Q130" s="545">
        <v>93594</v>
      </c>
      <c r="R130" s="545">
        <v>53399</v>
      </c>
      <c r="S130" s="559">
        <v>146993</v>
      </c>
      <c r="T130" s="545">
        <v>1224</v>
      </c>
      <c r="U130" s="545">
        <v>819</v>
      </c>
      <c r="V130" s="559">
        <v>2043</v>
      </c>
      <c r="W130" s="545">
        <v>6118</v>
      </c>
      <c r="X130" s="545">
        <v>3859</v>
      </c>
      <c r="Y130" s="559">
        <v>9977</v>
      </c>
      <c r="Z130" s="200">
        <v>911930.44816509355</v>
      </c>
      <c r="AA130" s="200">
        <v>793236.41071448405</v>
      </c>
      <c r="AB130" s="563">
        <v>1705166.8588795776</v>
      </c>
    </row>
    <row r="131" spans="1:28">
      <c r="A131" s="541" t="s">
        <v>829</v>
      </c>
      <c r="B131" s="560">
        <v>1988</v>
      </c>
      <c r="C131" s="560">
        <v>1284</v>
      </c>
      <c r="D131" s="561">
        <v>3272</v>
      </c>
      <c r="E131" s="560">
        <v>336</v>
      </c>
      <c r="F131" s="560">
        <v>547</v>
      </c>
      <c r="G131" s="561">
        <v>883</v>
      </c>
      <c r="H131" s="560">
        <v>79470</v>
      </c>
      <c r="I131" s="560">
        <v>92331</v>
      </c>
      <c r="J131" s="561">
        <v>171801</v>
      </c>
      <c r="K131" s="560">
        <v>678062</v>
      </c>
      <c r="L131" s="560">
        <v>562793</v>
      </c>
      <c r="M131" s="561">
        <v>1240855</v>
      </c>
      <c r="N131" s="560">
        <v>23552</v>
      </c>
      <c r="O131" s="560">
        <v>26292</v>
      </c>
      <c r="P131" s="561">
        <v>49844</v>
      </c>
      <c r="Q131" s="560">
        <v>90285</v>
      </c>
      <c r="R131" s="560">
        <v>48774</v>
      </c>
      <c r="S131" s="561">
        <v>139059</v>
      </c>
      <c r="T131" s="560">
        <v>1306</v>
      </c>
      <c r="U131" s="560">
        <v>889</v>
      </c>
      <c r="V131" s="561">
        <v>2195</v>
      </c>
      <c r="W131" s="560">
        <v>4732</v>
      </c>
      <c r="X131" s="560">
        <v>3163</v>
      </c>
      <c r="Y131" s="561">
        <v>7895</v>
      </c>
      <c r="Z131" s="562">
        <v>879731</v>
      </c>
      <c r="AA131" s="562">
        <v>736073</v>
      </c>
      <c r="AB131" s="561">
        <f t="shared" ref="AB131" si="38">Z131+AA131</f>
        <v>1615804</v>
      </c>
    </row>
    <row r="132" spans="1:28">
      <c r="A132" s="514" t="s">
        <v>828</v>
      </c>
      <c r="B132" s="515">
        <v>2243</v>
      </c>
      <c r="C132" s="515">
        <v>1585</v>
      </c>
      <c r="D132" s="515">
        <v>3828</v>
      </c>
      <c r="E132" s="515">
        <v>681</v>
      </c>
      <c r="F132" s="515">
        <v>771</v>
      </c>
      <c r="G132" s="515">
        <v>1452</v>
      </c>
      <c r="H132" s="515">
        <v>83725</v>
      </c>
      <c r="I132" s="515">
        <v>94120</v>
      </c>
      <c r="J132" s="515">
        <v>177845</v>
      </c>
      <c r="K132" s="515">
        <v>627057</v>
      </c>
      <c r="L132" s="515">
        <v>473668</v>
      </c>
      <c r="M132" s="515">
        <v>1100725</v>
      </c>
      <c r="N132" s="515">
        <v>36011</v>
      </c>
      <c r="O132" s="515">
        <v>43742</v>
      </c>
      <c r="P132" s="515">
        <v>79753</v>
      </c>
      <c r="Q132" s="515">
        <v>111052</v>
      </c>
      <c r="R132" s="515">
        <v>56431</v>
      </c>
      <c r="S132" s="515">
        <v>167483</v>
      </c>
      <c r="T132" s="515">
        <v>2405</v>
      </c>
      <c r="U132" s="515">
        <v>546</v>
      </c>
      <c r="V132" s="515">
        <v>2951</v>
      </c>
      <c r="W132" s="515">
        <v>3930</v>
      </c>
      <c r="X132" s="515">
        <v>2655</v>
      </c>
      <c r="Y132" s="515">
        <v>6585</v>
      </c>
      <c r="Z132" s="515">
        <f t="shared" ref="Z132:AB132" si="39">B132+E132+H132+K132+N132+Q132+T132+W132</f>
        <v>867104</v>
      </c>
      <c r="AA132" s="515">
        <f t="shared" si="39"/>
        <v>673518</v>
      </c>
      <c r="AB132" s="515">
        <f t="shared" si="39"/>
        <v>1540622</v>
      </c>
    </row>
    <row r="133" spans="1:28" ht="15">
      <c r="A133" s="537" t="s">
        <v>34</v>
      </c>
      <c r="B133" s="538"/>
      <c r="C133" s="539"/>
      <c r="D133" s="539"/>
      <c r="E133" s="539"/>
      <c r="F133" s="539"/>
      <c r="G133" s="539"/>
      <c r="H133" s="539"/>
      <c r="I133" s="539"/>
      <c r="J133" s="540"/>
      <c r="K133" s="538"/>
      <c r="L133" s="539"/>
      <c r="M133" s="539"/>
      <c r="N133" s="539"/>
      <c r="O133" s="539"/>
      <c r="P133" s="539"/>
      <c r="Q133" s="539"/>
      <c r="R133" s="539"/>
      <c r="S133" s="540"/>
      <c r="T133" s="538"/>
      <c r="U133" s="539"/>
      <c r="V133" s="539"/>
      <c r="W133" s="539"/>
      <c r="X133" s="539"/>
      <c r="Y133" s="539"/>
      <c r="Z133" s="539"/>
      <c r="AA133" s="539"/>
      <c r="AB133" s="539"/>
    </row>
    <row r="134" spans="1:28">
      <c r="A134" s="541" t="s">
        <v>832</v>
      </c>
      <c r="B134" s="154">
        <v>7122</v>
      </c>
      <c r="C134" s="154">
        <v>4861</v>
      </c>
      <c r="D134" s="154">
        <v>11983</v>
      </c>
      <c r="E134" s="154">
        <v>760</v>
      </c>
      <c r="F134" s="154">
        <v>716</v>
      </c>
      <c r="G134" s="154">
        <v>1476</v>
      </c>
      <c r="H134" s="154">
        <v>184339</v>
      </c>
      <c r="I134" s="154">
        <v>215963</v>
      </c>
      <c r="J134" s="154">
        <v>400302</v>
      </c>
      <c r="K134" s="154">
        <v>1504364</v>
      </c>
      <c r="L134" s="154">
        <v>1341482</v>
      </c>
      <c r="M134" s="154">
        <v>2845846</v>
      </c>
      <c r="N134" s="154">
        <v>9129</v>
      </c>
      <c r="O134" s="154">
        <v>7369</v>
      </c>
      <c r="P134" s="154">
        <v>16498</v>
      </c>
      <c r="Q134" s="154">
        <v>165508</v>
      </c>
      <c r="R134" s="154">
        <v>129520</v>
      </c>
      <c r="S134" s="154">
        <v>295028</v>
      </c>
      <c r="T134" s="154">
        <v>6100</v>
      </c>
      <c r="U134" s="154">
        <v>6516</v>
      </c>
      <c r="V134" s="154">
        <v>12616</v>
      </c>
      <c r="W134" s="154">
        <v>8085</v>
      </c>
      <c r="X134" s="154">
        <v>7837</v>
      </c>
      <c r="Y134" s="154">
        <v>15922</v>
      </c>
      <c r="Z134" s="154">
        <v>1885407</v>
      </c>
      <c r="AA134" s="154">
        <v>1714264</v>
      </c>
      <c r="AB134" s="154">
        <v>3599671</v>
      </c>
    </row>
    <row r="135" spans="1:28">
      <c r="A135" s="541" t="s">
        <v>831</v>
      </c>
      <c r="B135" s="515">
        <v>4923</v>
      </c>
      <c r="C135" s="515">
        <v>3873</v>
      </c>
      <c r="D135" s="515">
        <v>8796</v>
      </c>
      <c r="E135" s="515">
        <v>1007</v>
      </c>
      <c r="F135" s="515">
        <v>1165</v>
      </c>
      <c r="G135" s="515">
        <v>2172</v>
      </c>
      <c r="H135" s="515">
        <v>177933</v>
      </c>
      <c r="I135" s="515">
        <v>205550</v>
      </c>
      <c r="J135" s="515">
        <v>383483</v>
      </c>
      <c r="K135" s="515">
        <v>1504130</v>
      </c>
      <c r="L135" s="515">
        <v>1321255</v>
      </c>
      <c r="M135" s="515">
        <v>2825385</v>
      </c>
      <c r="N135" s="515">
        <v>8490</v>
      </c>
      <c r="O135" s="515">
        <v>6404</v>
      </c>
      <c r="P135" s="515">
        <v>14894</v>
      </c>
      <c r="Q135" s="515">
        <v>198942</v>
      </c>
      <c r="R135" s="515">
        <v>130061</v>
      </c>
      <c r="S135" s="515">
        <v>329003</v>
      </c>
      <c r="T135" s="515">
        <v>6034</v>
      </c>
      <c r="U135" s="515">
        <v>5978</v>
      </c>
      <c r="V135" s="515">
        <v>12012</v>
      </c>
      <c r="W135" s="515">
        <v>7053</v>
      </c>
      <c r="X135" s="515">
        <v>6470</v>
      </c>
      <c r="Y135" s="515">
        <v>13523</v>
      </c>
      <c r="Z135" s="515">
        <v>1908512</v>
      </c>
      <c r="AA135" s="515">
        <v>1680756</v>
      </c>
      <c r="AB135" s="515">
        <v>3589268</v>
      </c>
    </row>
    <row r="136" spans="1:28">
      <c r="A136" s="541" t="s">
        <v>830</v>
      </c>
      <c r="B136" s="545">
        <v>5365</v>
      </c>
      <c r="C136" s="545">
        <v>3841</v>
      </c>
      <c r="D136" s="559">
        <v>9206</v>
      </c>
      <c r="E136" s="545">
        <v>1176</v>
      </c>
      <c r="F136" s="545">
        <v>1245</v>
      </c>
      <c r="G136" s="559">
        <v>2421</v>
      </c>
      <c r="H136" s="543">
        <v>159619.55704424754</v>
      </c>
      <c r="I136" s="543">
        <v>172083.06880900724</v>
      </c>
      <c r="J136" s="563">
        <v>331702.62585325481</v>
      </c>
      <c r="K136" s="543">
        <v>1443382.386085392</v>
      </c>
      <c r="L136" s="543">
        <v>1282846.6642717505</v>
      </c>
      <c r="M136" s="563">
        <v>2726229.0503571425</v>
      </c>
      <c r="N136" s="545">
        <v>8586</v>
      </c>
      <c r="O136" s="545">
        <v>6051</v>
      </c>
      <c r="P136" s="559">
        <v>14637</v>
      </c>
      <c r="Q136" s="545">
        <v>189102</v>
      </c>
      <c r="R136" s="545">
        <v>117068</v>
      </c>
      <c r="S136" s="559">
        <v>306170</v>
      </c>
      <c r="T136" s="545">
        <v>5385</v>
      </c>
      <c r="U136" s="545">
        <v>4725</v>
      </c>
      <c r="V136" s="559">
        <v>10110</v>
      </c>
      <c r="W136" s="545">
        <v>6076</v>
      </c>
      <c r="X136" s="545">
        <v>5868</v>
      </c>
      <c r="Y136" s="559">
        <v>11944</v>
      </c>
      <c r="Z136" s="200">
        <v>1818691.9431296396</v>
      </c>
      <c r="AA136" s="200">
        <v>1593727.7330807578</v>
      </c>
      <c r="AB136" s="563">
        <v>3412419.6762103974</v>
      </c>
    </row>
    <row r="137" spans="1:28">
      <c r="A137" s="541" t="s">
        <v>829</v>
      </c>
      <c r="B137" s="560">
        <v>4382</v>
      </c>
      <c r="C137" s="560">
        <v>3146</v>
      </c>
      <c r="D137" s="561">
        <v>7528</v>
      </c>
      <c r="E137" s="560">
        <v>1300</v>
      </c>
      <c r="F137" s="560">
        <v>1360</v>
      </c>
      <c r="G137" s="561">
        <v>2660</v>
      </c>
      <c r="H137" s="560">
        <v>160932</v>
      </c>
      <c r="I137" s="560">
        <v>157145</v>
      </c>
      <c r="J137" s="561">
        <v>318077</v>
      </c>
      <c r="K137" s="560">
        <v>1429213</v>
      </c>
      <c r="L137" s="560">
        <v>1213913</v>
      </c>
      <c r="M137" s="561">
        <v>2643126</v>
      </c>
      <c r="N137" s="560">
        <v>8742</v>
      </c>
      <c r="O137" s="560">
        <v>5593</v>
      </c>
      <c r="P137" s="561">
        <v>14335</v>
      </c>
      <c r="Q137" s="560">
        <v>198783</v>
      </c>
      <c r="R137" s="560">
        <v>112369</v>
      </c>
      <c r="S137" s="561">
        <v>311152</v>
      </c>
      <c r="T137" s="560">
        <v>5096</v>
      </c>
      <c r="U137" s="560">
        <v>4411</v>
      </c>
      <c r="V137" s="561">
        <v>9507</v>
      </c>
      <c r="W137" s="560">
        <v>5555</v>
      </c>
      <c r="X137" s="560">
        <v>5367</v>
      </c>
      <c r="Y137" s="561">
        <v>10922</v>
      </c>
      <c r="Z137" s="562">
        <v>1814003</v>
      </c>
      <c r="AA137" s="562">
        <v>1503304</v>
      </c>
      <c r="AB137" s="561">
        <f t="shared" ref="AB137" si="40">Z137+AA137</f>
        <v>3317307</v>
      </c>
    </row>
    <row r="138" spans="1:28">
      <c r="A138" s="514" t="s">
        <v>828</v>
      </c>
      <c r="B138" s="515">
        <v>5757</v>
      </c>
      <c r="C138" s="515">
        <v>3472</v>
      </c>
      <c r="D138" s="515">
        <v>9229</v>
      </c>
      <c r="E138" s="515">
        <v>1487</v>
      </c>
      <c r="F138" s="515">
        <v>1413</v>
      </c>
      <c r="G138" s="515">
        <v>2900</v>
      </c>
      <c r="H138" s="515">
        <v>171457</v>
      </c>
      <c r="I138" s="515">
        <v>153404</v>
      </c>
      <c r="J138" s="515">
        <v>324861</v>
      </c>
      <c r="K138" s="515">
        <v>1462455</v>
      </c>
      <c r="L138" s="515">
        <v>1200425</v>
      </c>
      <c r="M138" s="515">
        <v>2662880</v>
      </c>
      <c r="N138" s="515">
        <v>7777</v>
      </c>
      <c r="O138" s="515">
        <v>4850</v>
      </c>
      <c r="P138" s="515">
        <v>12627</v>
      </c>
      <c r="Q138" s="515">
        <v>212871</v>
      </c>
      <c r="R138" s="515">
        <v>115721</v>
      </c>
      <c r="S138" s="515">
        <v>328592</v>
      </c>
      <c r="T138" s="515">
        <v>3808</v>
      </c>
      <c r="U138" s="515">
        <v>3031</v>
      </c>
      <c r="V138" s="515">
        <v>6839</v>
      </c>
      <c r="W138" s="515">
        <v>5133</v>
      </c>
      <c r="X138" s="515">
        <v>4857</v>
      </c>
      <c r="Y138" s="515">
        <v>9990</v>
      </c>
      <c r="Z138" s="515">
        <f t="shared" ref="Z138:AB138" si="41">B138+E138+H138+K138+N138+Q138+T138+W138</f>
        <v>1870745</v>
      </c>
      <c r="AA138" s="515">
        <f t="shared" si="41"/>
        <v>1487173</v>
      </c>
      <c r="AB138" s="515">
        <f t="shared" si="41"/>
        <v>3357918</v>
      </c>
    </row>
    <row r="139" spans="1:28" ht="15">
      <c r="A139" s="537" t="s">
        <v>35</v>
      </c>
      <c r="B139" s="538"/>
      <c r="C139" s="539"/>
      <c r="D139" s="539"/>
      <c r="E139" s="539"/>
      <c r="F139" s="539"/>
      <c r="G139" s="539"/>
      <c r="H139" s="539"/>
      <c r="I139" s="539"/>
      <c r="J139" s="540"/>
      <c r="K139" s="538"/>
      <c r="L139" s="539"/>
      <c r="M139" s="539"/>
      <c r="N139" s="539"/>
      <c r="O139" s="539"/>
      <c r="P139" s="539"/>
      <c r="Q139" s="539"/>
      <c r="R139" s="539"/>
      <c r="S139" s="540"/>
      <c r="T139" s="538"/>
      <c r="U139" s="539"/>
      <c r="V139" s="539"/>
      <c r="W139" s="539"/>
      <c r="X139" s="539"/>
      <c r="Y139" s="539"/>
      <c r="Z139" s="539"/>
      <c r="AA139" s="539"/>
      <c r="AB139" s="539"/>
    </row>
    <row r="140" spans="1:28">
      <c r="A140" s="541" t="s">
        <v>832</v>
      </c>
      <c r="B140" s="154">
        <v>538</v>
      </c>
      <c r="C140" s="154">
        <v>507</v>
      </c>
      <c r="D140" s="154">
        <v>1045</v>
      </c>
      <c r="E140" s="154">
        <v>2</v>
      </c>
      <c r="F140" s="154">
        <v>10</v>
      </c>
      <c r="G140" s="154">
        <v>12</v>
      </c>
      <c r="H140" s="154">
        <v>2744</v>
      </c>
      <c r="I140" s="154">
        <v>3274</v>
      </c>
      <c r="J140" s="154">
        <v>6018</v>
      </c>
      <c r="K140" s="154">
        <v>52759</v>
      </c>
      <c r="L140" s="154">
        <v>54453</v>
      </c>
      <c r="M140" s="154">
        <v>107212</v>
      </c>
      <c r="N140" s="154">
        <v>144</v>
      </c>
      <c r="O140" s="154">
        <v>79</v>
      </c>
      <c r="P140" s="154">
        <v>223</v>
      </c>
      <c r="Q140" s="154">
        <v>1376</v>
      </c>
      <c r="R140" s="154">
        <v>2561</v>
      </c>
      <c r="S140" s="154">
        <v>3937</v>
      </c>
      <c r="T140" s="154">
        <v>55</v>
      </c>
      <c r="U140" s="154">
        <v>90</v>
      </c>
      <c r="V140" s="154">
        <v>145</v>
      </c>
      <c r="W140" s="154">
        <v>0</v>
      </c>
      <c r="X140" s="154">
        <v>0</v>
      </c>
      <c r="Y140" s="154">
        <v>0</v>
      </c>
      <c r="Z140" s="154">
        <v>57618</v>
      </c>
      <c r="AA140" s="154">
        <v>60974</v>
      </c>
      <c r="AB140" s="154">
        <v>118592</v>
      </c>
    </row>
    <row r="141" spans="1:28">
      <c r="A141" s="541" t="s">
        <v>831</v>
      </c>
      <c r="B141" s="515">
        <v>601</v>
      </c>
      <c r="C141" s="515">
        <v>487</v>
      </c>
      <c r="D141" s="515">
        <v>1088</v>
      </c>
      <c r="E141" s="515">
        <v>1</v>
      </c>
      <c r="F141" s="515">
        <v>10</v>
      </c>
      <c r="G141" s="515">
        <v>11</v>
      </c>
      <c r="H141" s="515">
        <v>2433</v>
      </c>
      <c r="I141" s="515">
        <v>2633</v>
      </c>
      <c r="J141" s="515">
        <v>5066</v>
      </c>
      <c r="K141" s="515">
        <v>46921</v>
      </c>
      <c r="L141" s="515">
        <v>47938</v>
      </c>
      <c r="M141" s="515">
        <v>94859</v>
      </c>
      <c r="N141" s="515">
        <v>106</v>
      </c>
      <c r="O141" s="515">
        <v>77</v>
      </c>
      <c r="P141" s="515">
        <v>183</v>
      </c>
      <c r="Q141" s="515">
        <v>1261</v>
      </c>
      <c r="R141" s="515">
        <v>1768</v>
      </c>
      <c r="S141" s="515">
        <v>3029</v>
      </c>
      <c r="T141" s="515">
        <v>46</v>
      </c>
      <c r="U141" s="515">
        <v>72</v>
      </c>
      <c r="V141" s="515">
        <v>118</v>
      </c>
      <c r="W141" s="515">
        <v>0</v>
      </c>
      <c r="X141" s="515">
        <v>0</v>
      </c>
      <c r="Y141" s="515">
        <v>0</v>
      </c>
      <c r="Z141" s="515">
        <v>51369</v>
      </c>
      <c r="AA141" s="515">
        <v>52985</v>
      </c>
      <c r="AB141" s="515">
        <v>104354</v>
      </c>
    </row>
    <row r="142" spans="1:28">
      <c r="A142" s="541" t="s">
        <v>830</v>
      </c>
      <c r="B142" s="545">
        <v>332</v>
      </c>
      <c r="C142" s="545">
        <v>314</v>
      </c>
      <c r="D142" s="559">
        <v>646</v>
      </c>
      <c r="E142" s="545">
        <v>0</v>
      </c>
      <c r="F142" s="545">
        <v>7</v>
      </c>
      <c r="G142" s="559">
        <v>7</v>
      </c>
      <c r="H142" s="543">
        <v>1995.0058442846948</v>
      </c>
      <c r="I142" s="543">
        <v>2210.6823511592738</v>
      </c>
      <c r="J142" s="563">
        <v>4205.6881954439687</v>
      </c>
      <c r="K142" s="543">
        <v>43571.869593728305</v>
      </c>
      <c r="L142" s="543">
        <v>47757.413332074699</v>
      </c>
      <c r="M142" s="563">
        <v>91329.282925803011</v>
      </c>
      <c r="N142" s="545">
        <v>96</v>
      </c>
      <c r="O142" s="545">
        <v>40</v>
      </c>
      <c r="P142" s="559">
        <v>136</v>
      </c>
      <c r="Q142" s="545">
        <v>949</v>
      </c>
      <c r="R142" s="545">
        <v>794</v>
      </c>
      <c r="S142" s="559">
        <v>1743</v>
      </c>
      <c r="T142" s="545">
        <v>0</v>
      </c>
      <c r="U142" s="545">
        <v>30</v>
      </c>
      <c r="V142" s="559">
        <v>30</v>
      </c>
      <c r="W142" s="545">
        <v>0</v>
      </c>
      <c r="X142" s="545">
        <v>0</v>
      </c>
      <c r="Y142" s="559">
        <v>0</v>
      </c>
      <c r="Z142" s="200">
        <v>46943.875438012998</v>
      </c>
      <c r="AA142" s="200">
        <v>51153.095683233973</v>
      </c>
      <c r="AB142" s="563">
        <v>98096.971121246985</v>
      </c>
    </row>
    <row r="143" spans="1:28">
      <c r="A143" s="541" t="s">
        <v>829</v>
      </c>
      <c r="B143" s="560">
        <v>392</v>
      </c>
      <c r="C143" s="560">
        <v>334</v>
      </c>
      <c r="D143" s="561">
        <v>726</v>
      </c>
      <c r="E143" s="560">
        <v>0</v>
      </c>
      <c r="F143" s="560">
        <v>3</v>
      </c>
      <c r="G143" s="561">
        <v>3</v>
      </c>
      <c r="H143" s="560">
        <v>2190</v>
      </c>
      <c r="I143" s="560">
        <v>2041</v>
      </c>
      <c r="J143" s="561">
        <v>4231</v>
      </c>
      <c r="K143" s="560">
        <v>42698</v>
      </c>
      <c r="L143" s="560">
        <v>44860</v>
      </c>
      <c r="M143" s="561">
        <v>87558</v>
      </c>
      <c r="N143" s="560">
        <v>114</v>
      </c>
      <c r="O143" s="560">
        <v>57</v>
      </c>
      <c r="P143" s="561">
        <v>171</v>
      </c>
      <c r="Q143" s="560">
        <v>1020</v>
      </c>
      <c r="R143" s="560">
        <v>764</v>
      </c>
      <c r="S143" s="561">
        <v>1784</v>
      </c>
      <c r="T143" s="560">
        <v>0</v>
      </c>
      <c r="U143" s="560">
        <v>70</v>
      </c>
      <c r="V143" s="561">
        <v>70</v>
      </c>
      <c r="W143" s="560">
        <v>0</v>
      </c>
      <c r="X143" s="560">
        <v>0</v>
      </c>
      <c r="Y143" s="561">
        <v>0</v>
      </c>
      <c r="Z143" s="562">
        <v>46414</v>
      </c>
      <c r="AA143" s="562">
        <v>48129</v>
      </c>
      <c r="AB143" s="561">
        <f t="shared" ref="AB143" si="42">Z143+AA143</f>
        <v>94543</v>
      </c>
    </row>
    <row r="144" spans="1:28">
      <c r="A144" s="514" t="s">
        <v>828</v>
      </c>
      <c r="B144" s="515">
        <v>315</v>
      </c>
      <c r="C144" s="515">
        <v>303</v>
      </c>
      <c r="D144" s="515">
        <v>618</v>
      </c>
      <c r="E144" s="515">
        <v>1</v>
      </c>
      <c r="F144" s="515">
        <v>13</v>
      </c>
      <c r="G144" s="515">
        <v>14</v>
      </c>
      <c r="H144" s="515">
        <v>1991</v>
      </c>
      <c r="I144" s="515">
        <v>1724</v>
      </c>
      <c r="J144" s="515">
        <v>3715</v>
      </c>
      <c r="K144" s="515">
        <v>43776</v>
      </c>
      <c r="L144" s="515">
        <v>43845</v>
      </c>
      <c r="M144" s="515">
        <v>87621</v>
      </c>
      <c r="N144" s="515">
        <v>184</v>
      </c>
      <c r="O144" s="515">
        <v>97</v>
      </c>
      <c r="P144" s="515">
        <v>281</v>
      </c>
      <c r="Q144" s="515">
        <v>681</v>
      </c>
      <c r="R144" s="515">
        <v>211</v>
      </c>
      <c r="S144" s="515">
        <v>892</v>
      </c>
      <c r="T144" s="515">
        <v>45</v>
      </c>
      <c r="U144" s="515">
        <v>86</v>
      </c>
      <c r="V144" s="515">
        <v>131</v>
      </c>
      <c r="W144" s="515">
        <v>0</v>
      </c>
      <c r="X144" s="515">
        <v>0</v>
      </c>
      <c r="Y144" s="515">
        <v>0</v>
      </c>
      <c r="Z144" s="515">
        <f t="shared" ref="Z144:AB144" si="43">B144+E144+H144+K144+N144+Q144+T144+W144</f>
        <v>46993</v>
      </c>
      <c r="AA144" s="515">
        <f t="shared" si="43"/>
        <v>46279</v>
      </c>
      <c r="AB144" s="515">
        <f t="shared" si="43"/>
        <v>93272</v>
      </c>
    </row>
    <row r="145" spans="1:28" ht="15">
      <c r="A145" s="537" t="s">
        <v>36</v>
      </c>
      <c r="B145" s="538"/>
      <c r="C145" s="539"/>
      <c r="D145" s="539"/>
      <c r="E145" s="539"/>
      <c r="F145" s="539"/>
      <c r="G145" s="539"/>
      <c r="H145" s="539"/>
      <c r="I145" s="539"/>
      <c r="J145" s="540"/>
      <c r="K145" s="538"/>
      <c r="L145" s="539"/>
      <c r="M145" s="539"/>
      <c r="N145" s="539"/>
      <c r="O145" s="539"/>
      <c r="P145" s="539"/>
      <c r="Q145" s="539"/>
      <c r="R145" s="539"/>
      <c r="S145" s="540"/>
      <c r="T145" s="538"/>
      <c r="U145" s="539"/>
      <c r="V145" s="539"/>
      <c r="W145" s="539"/>
      <c r="X145" s="539"/>
      <c r="Y145" s="539"/>
      <c r="Z145" s="539"/>
      <c r="AA145" s="539"/>
      <c r="AB145" s="539"/>
    </row>
    <row r="146" spans="1:28">
      <c r="A146" s="541" t="s">
        <v>832</v>
      </c>
      <c r="B146" s="154">
        <v>492</v>
      </c>
      <c r="C146" s="154">
        <v>378</v>
      </c>
      <c r="D146" s="154">
        <v>870</v>
      </c>
      <c r="E146" s="154">
        <v>10</v>
      </c>
      <c r="F146" s="154">
        <v>23</v>
      </c>
      <c r="G146" s="154">
        <v>33</v>
      </c>
      <c r="H146" s="154">
        <v>2979</v>
      </c>
      <c r="I146" s="154">
        <v>4304</v>
      </c>
      <c r="J146" s="154">
        <v>7283</v>
      </c>
      <c r="K146" s="154">
        <v>32135</v>
      </c>
      <c r="L146" s="154">
        <v>37234</v>
      </c>
      <c r="M146" s="154">
        <v>69369</v>
      </c>
      <c r="N146" s="154">
        <v>32</v>
      </c>
      <c r="O146" s="154">
        <v>37</v>
      </c>
      <c r="P146" s="154">
        <v>69</v>
      </c>
      <c r="Q146" s="154">
        <v>1076</v>
      </c>
      <c r="R146" s="154">
        <v>1637</v>
      </c>
      <c r="S146" s="154">
        <v>2713</v>
      </c>
      <c r="T146" s="154">
        <v>47</v>
      </c>
      <c r="U146" s="154">
        <v>47</v>
      </c>
      <c r="V146" s="154">
        <v>94</v>
      </c>
      <c r="W146" s="154">
        <v>70</v>
      </c>
      <c r="X146" s="154">
        <v>52</v>
      </c>
      <c r="Y146" s="154">
        <v>122</v>
      </c>
      <c r="Z146" s="154">
        <v>36841</v>
      </c>
      <c r="AA146" s="154">
        <v>43712</v>
      </c>
      <c r="AB146" s="154">
        <v>80553</v>
      </c>
    </row>
    <row r="147" spans="1:28">
      <c r="A147" s="541" t="s">
        <v>831</v>
      </c>
      <c r="B147" s="515">
        <v>475</v>
      </c>
      <c r="C147" s="515">
        <v>678</v>
      </c>
      <c r="D147" s="515">
        <v>1153</v>
      </c>
      <c r="E147" s="515">
        <v>29</v>
      </c>
      <c r="F147" s="515">
        <v>46</v>
      </c>
      <c r="G147" s="515">
        <v>75</v>
      </c>
      <c r="H147" s="515">
        <v>2479</v>
      </c>
      <c r="I147" s="515">
        <v>3772</v>
      </c>
      <c r="J147" s="515">
        <v>6251</v>
      </c>
      <c r="K147" s="515">
        <v>31975</v>
      </c>
      <c r="L147" s="515">
        <v>36789</v>
      </c>
      <c r="M147" s="515">
        <v>68764</v>
      </c>
      <c r="N147" s="515">
        <v>26</v>
      </c>
      <c r="O147" s="515">
        <v>11</v>
      </c>
      <c r="P147" s="515">
        <v>37</v>
      </c>
      <c r="Q147" s="515">
        <v>1083</v>
      </c>
      <c r="R147" s="515">
        <v>1719</v>
      </c>
      <c r="S147" s="515">
        <v>2802</v>
      </c>
      <c r="T147" s="515">
        <v>0</v>
      </c>
      <c r="U147" s="515">
        <v>0</v>
      </c>
      <c r="V147" s="515">
        <v>0</v>
      </c>
      <c r="W147" s="515">
        <v>52</v>
      </c>
      <c r="X147" s="515">
        <v>42</v>
      </c>
      <c r="Y147" s="515">
        <v>94</v>
      </c>
      <c r="Z147" s="515">
        <v>36119</v>
      </c>
      <c r="AA147" s="515">
        <v>43057</v>
      </c>
      <c r="AB147" s="515">
        <v>79176</v>
      </c>
    </row>
    <row r="148" spans="1:28">
      <c r="A148" s="541" t="s">
        <v>830</v>
      </c>
      <c r="B148" s="545">
        <v>466</v>
      </c>
      <c r="C148" s="545">
        <v>513</v>
      </c>
      <c r="D148" s="559">
        <v>979</v>
      </c>
      <c r="E148" s="545">
        <v>29</v>
      </c>
      <c r="F148" s="545">
        <v>57</v>
      </c>
      <c r="G148" s="559">
        <v>86</v>
      </c>
      <c r="H148" s="543">
        <v>2352.6169960883171</v>
      </c>
      <c r="I148" s="543">
        <v>3120.526674096649</v>
      </c>
      <c r="J148" s="563">
        <v>5473.143670184967</v>
      </c>
      <c r="K148" s="543">
        <v>31670.096490820324</v>
      </c>
      <c r="L148" s="543">
        <v>34496.56319698006</v>
      </c>
      <c r="M148" s="563">
        <v>66166.659687800377</v>
      </c>
      <c r="N148" s="545">
        <v>17</v>
      </c>
      <c r="O148" s="545">
        <v>32</v>
      </c>
      <c r="P148" s="559">
        <v>49</v>
      </c>
      <c r="Q148" s="545">
        <v>873</v>
      </c>
      <c r="R148" s="545">
        <v>1436</v>
      </c>
      <c r="S148" s="559">
        <v>2309</v>
      </c>
      <c r="T148" s="545">
        <v>5</v>
      </c>
      <c r="U148" s="545">
        <v>73</v>
      </c>
      <c r="V148" s="559">
        <v>78</v>
      </c>
      <c r="W148" s="545">
        <v>40</v>
      </c>
      <c r="X148" s="545">
        <v>27</v>
      </c>
      <c r="Y148" s="559">
        <v>67</v>
      </c>
      <c r="Z148" s="200">
        <v>35452.713486908644</v>
      </c>
      <c r="AA148" s="200">
        <v>39755.089871076707</v>
      </c>
      <c r="AB148" s="563">
        <v>75207.803357985336</v>
      </c>
    </row>
    <row r="149" spans="1:28">
      <c r="A149" s="541" t="s">
        <v>829</v>
      </c>
      <c r="B149" s="560">
        <v>471</v>
      </c>
      <c r="C149" s="560">
        <v>492</v>
      </c>
      <c r="D149" s="561">
        <v>963</v>
      </c>
      <c r="E149" s="560">
        <v>108</v>
      </c>
      <c r="F149" s="560">
        <v>137</v>
      </c>
      <c r="G149" s="561">
        <v>245</v>
      </c>
      <c r="H149" s="560">
        <v>2100</v>
      </c>
      <c r="I149" s="560">
        <v>2855</v>
      </c>
      <c r="J149" s="561">
        <v>4955</v>
      </c>
      <c r="K149" s="560">
        <v>31345</v>
      </c>
      <c r="L149" s="560">
        <v>31952</v>
      </c>
      <c r="M149" s="561">
        <v>63297</v>
      </c>
      <c r="N149" s="560">
        <v>34</v>
      </c>
      <c r="O149" s="560">
        <v>33</v>
      </c>
      <c r="P149" s="561">
        <v>67</v>
      </c>
      <c r="Q149" s="560">
        <v>819</v>
      </c>
      <c r="R149" s="560">
        <v>1147</v>
      </c>
      <c r="S149" s="561">
        <v>1966</v>
      </c>
      <c r="T149" s="560">
        <v>0</v>
      </c>
      <c r="U149" s="560">
        <v>0</v>
      </c>
      <c r="V149" s="561">
        <v>0</v>
      </c>
      <c r="W149" s="560">
        <v>21</v>
      </c>
      <c r="X149" s="560">
        <v>17</v>
      </c>
      <c r="Y149" s="561">
        <v>38</v>
      </c>
      <c r="Z149" s="562">
        <v>34898</v>
      </c>
      <c r="AA149" s="562">
        <v>36633</v>
      </c>
      <c r="AB149" s="561">
        <f t="shared" ref="AB149" si="44">Z149+AA149</f>
        <v>71531</v>
      </c>
    </row>
    <row r="150" spans="1:28">
      <c r="A150" s="514" t="s">
        <v>828</v>
      </c>
      <c r="B150" s="515">
        <v>382</v>
      </c>
      <c r="C150" s="515">
        <v>428</v>
      </c>
      <c r="D150" s="515">
        <v>810</v>
      </c>
      <c r="E150" s="515">
        <v>61</v>
      </c>
      <c r="F150" s="515">
        <v>142</v>
      </c>
      <c r="G150" s="515">
        <v>203</v>
      </c>
      <c r="H150" s="515">
        <v>1976</v>
      </c>
      <c r="I150" s="515">
        <v>2492</v>
      </c>
      <c r="J150" s="515">
        <v>4468</v>
      </c>
      <c r="K150" s="515">
        <v>27683</v>
      </c>
      <c r="L150" s="515">
        <v>28075</v>
      </c>
      <c r="M150" s="515">
        <v>55758</v>
      </c>
      <c r="N150" s="515">
        <v>21</v>
      </c>
      <c r="O150" s="515">
        <v>26</v>
      </c>
      <c r="P150" s="515">
        <v>47</v>
      </c>
      <c r="Q150" s="515">
        <v>479</v>
      </c>
      <c r="R150" s="515">
        <v>755</v>
      </c>
      <c r="S150" s="515">
        <v>1234</v>
      </c>
      <c r="T150" s="515">
        <v>0</v>
      </c>
      <c r="U150" s="515">
        <v>0</v>
      </c>
      <c r="V150" s="515">
        <v>0</v>
      </c>
      <c r="W150" s="515">
        <v>8</v>
      </c>
      <c r="X150" s="515">
        <v>5</v>
      </c>
      <c r="Y150" s="515">
        <v>13</v>
      </c>
      <c r="Z150" s="515">
        <f t="shared" ref="Z150:AB150" si="45">B150+E150+H150+K150+N150+Q150+T150+W150</f>
        <v>30610</v>
      </c>
      <c r="AA150" s="515">
        <f t="shared" si="45"/>
        <v>31923</v>
      </c>
      <c r="AB150" s="515">
        <f t="shared" si="45"/>
        <v>62533</v>
      </c>
    </row>
    <row r="151" spans="1:28" ht="15">
      <c r="A151" s="537" t="s">
        <v>37</v>
      </c>
      <c r="B151" s="538"/>
      <c r="C151" s="539"/>
      <c r="D151" s="539"/>
      <c r="E151" s="539"/>
      <c r="F151" s="539"/>
      <c r="G151" s="539"/>
      <c r="H151" s="539"/>
      <c r="I151" s="539"/>
      <c r="J151" s="540"/>
      <c r="K151" s="538"/>
      <c r="L151" s="539"/>
      <c r="M151" s="539"/>
      <c r="N151" s="539"/>
      <c r="O151" s="539"/>
      <c r="P151" s="539"/>
      <c r="Q151" s="539"/>
      <c r="R151" s="539"/>
      <c r="S151" s="540"/>
      <c r="T151" s="538"/>
      <c r="U151" s="539"/>
      <c r="V151" s="539"/>
      <c r="W151" s="539"/>
      <c r="X151" s="539"/>
      <c r="Y151" s="539"/>
      <c r="Z151" s="539"/>
      <c r="AA151" s="539"/>
      <c r="AB151" s="539"/>
    </row>
    <row r="152" spans="1:28">
      <c r="A152" s="541" t="s">
        <v>832</v>
      </c>
      <c r="B152" s="154">
        <v>479</v>
      </c>
      <c r="C152" s="154">
        <v>388</v>
      </c>
      <c r="D152" s="154">
        <v>867</v>
      </c>
      <c r="E152" s="154">
        <v>75</v>
      </c>
      <c r="F152" s="154">
        <v>77</v>
      </c>
      <c r="G152" s="154">
        <v>152</v>
      </c>
      <c r="H152" s="154">
        <v>1143</v>
      </c>
      <c r="I152" s="154">
        <v>1173</v>
      </c>
      <c r="J152" s="154">
        <v>2316</v>
      </c>
      <c r="K152" s="154">
        <v>10938</v>
      </c>
      <c r="L152" s="154">
        <v>9351</v>
      </c>
      <c r="M152" s="154">
        <v>20289</v>
      </c>
      <c r="N152" s="154">
        <v>0</v>
      </c>
      <c r="O152" s="154">
        <v>0</v>
      </c>
      <c r="P152" s="154">
        <v>0</v>
      </c>
      <c r="Q152" s="154">
        <v>649</v>
      </c>
      <c r="R152" s="154">
        <v>1213</v>
      </c>
      <c r="S152" s="154">
        <v>1862</v>
      </c>
      <c r="T152" s="154">
        <v>304</v>
      </c>
      <c r="U152" s="154">
        <v>159</v>
      </c>
      <c r="V152" s="154">
        <v>463</v>
      </c>
      <c r="W152" s="154">
        <v>47</v>
      </c>
      <c r="X152" s="154">
        <v>26</v>
      </c>
      <c r="Y152" s="154">
        <v>73</v>
      </c>
      <c r="Z152" s="154">
        <v>13635</v>
      </c>
      <c r="AA152" s="154">
        <v>12387</v>
      </c>
      <c r="AB152" s="154">
        <v>26022</v>
      </c>
    </row>
    <row r="153" spans="1:28">
      <c r="A153" s="541" t="s">
        <v>831</v>
      </c>
      <c r="B153" s="515">
        <v>415</v>
      </c>
      <c r="C153" s="515">
        <v>368</v>
      </c>
      <c r="D153" s="515">
        <v>783</v>
      </c>
      <c r="E153" s="515">
        <v>77</v>
      </c>
      <c r="F153" s="515">
        <v>112</v>
      </c>
      <c r="G153" s="515">
        <v>189</v>
      </c>
      <c r="H153" s="515">
        <v>1217</v>
      </c>
      <c r="I153" s="515">
        <v>1174</v>
      </c>
      <c r="J153" s="515">
        <v>2391</v>
      </c>
      <c r="K153" s="515">
        <v>10794</v>
      </c>
      <c r="L153" s="515">
        <v>9069</v>
      </c>
      <c r="M153" s="515">
        <v>19863</v>
      </c>
      <c r="N153" s="515">
        <v>0</v>
      </c>
      <c r="O153" s="515">
        <v>0</v>
      </c>
      <c r="P153" s="515">
        <v>0</v>
      </c>
      <c r="Q153" s="515">
        <v>666</v>
      </c>
      <c r="R153" s="515">
        <v>1138</v>
      </c>
      <c r="S153" s="515">
        <v>1804</v>
      </c>
      <c r="T153" s="515">
        <v>285</v>
      </c>
      <c r="U153" s="515">
        <v>171</v>
      </c>
      <c r="V153" s="515">
        <v>456</v>
      </c>
      <c r="W153" s="515">
        <v>66</v>
      </c>
      <c r="X153" s="515">
        <v>44</v>
      </c>
      <c r="Y153" s="515">
        <v>110</v>
      </c>
      <c r="Z153" s="515">
        <v>13520</v>
      </c>
      <c r="AA153" s="515">
        <v>12076</v>
      </c>
      <c r="AB153" s="515">
        <v>25596</v>
      </c>
    </row>
    <row r="154" spans="1:28">
      <c r="A154" s="541" t="s">
        <v>830</v>
      </c>
      <c r="B154" s="545">
        <v>347</v>
      </c>
      <c r="C154" s="545">
        <v>296</v>
      </c>
      <c r="D154" s="559">
        <v>643</v>
      </c>
      <c r="E154" s="545">
        <v>71</v>
      </c>
      <c r="F154" s="545">
        <v>75</v>
      </c>
      <c r="G154" s="559">
        <v>146</v>
      </c>
      <c r="H154" s="545">
        <v>1168</v>
      </c>
      <c r="I154" s="545">
        <v>1183</v>
      </c>
      <c r="J154" s="559">
        <v>2351</v>
      </c>
      <c r="K154" s="545">
        <v>10263</v>
      </c>
      <c r="L154" s="545">
        <v>8879</v>
      </c>
      <c r="M154" s="559">
        <v>19142</v>
      </c>
      <c r="N154" s="545">
        <v>0</v>
      </c>
      <c r="O154" s="545">
        <v>0</v>
      </c>
      <c r="P154" s="559">
        <v>0</v>
      </c>
      <c r="Q154" s="545">
        <v>609</v>
      </c>
      <c r="R154" s="545">
        <v>1124</v>
      </c>
      <c r="S154" s="559">
        <v>1733</v>
      </c>
      <c r="T154" s="545">
        <v>190</v>
      </c>
      <c r="U154" s="545">
        <v>143</v>
      </c>
      <c r="V154" s="559">
        <v>333</v>
      </c>
      <c r="W154" s="545">
        <v>66</v>
      </c>
      <c r="X154" s="545">
        <v>37</v>
      </c>
      <c r="Y154" s="559">
        <v>103</v>
      </c>
      <c r="Z154" s="209">
        <v>12714</v>
      </c>
      <c r="AA154" s="209">
        <v>11737</v>
      </c>
      <c r="AB154" s="559">
        <v>24451</v>
      </c>
    </row>
    <row r="155" spans="1:28">
      <c r="A155" s="541" t="s">
        <v>829</v>
      </c>
      <c r="B155" s="560">
        <v>362</v>
      </c>
      <c r="C155" s="560">
        <v>256</v>
      </c>
      <c r="D155" s="561">
        <v>618</v>
      </c>
      <c r="E155" s="560">
        <v>82</v>
      </c>
      <c r="F155" s="560">
        <v>95</v>
      </c>
      <c r="G155" s="561">
        <v>177</v>
      </c>
      <c r="H155" s="560">
        <v>1076</v>
      </c>
      <c r="I155" s="560">
        <v>1045</v>
      </c>
      <c r="J155" s="561">
        <v>2121</v>
      </c>
      <c r="K155" s="560">
        <v>11030</v>
      </c>
      <c r="L155" s="560">
        <v>9661</v>
      </c>
      <c r="M155" s="561">
        <v>20691</v>
      </c>
      <c r="N155" s="560">
        <v>0</v>
      </c>
      <c r="O155" s="560">
        <v>0</v>
      </c>
      <c r="P155" s="561">
        <v>0</v>
      </c>
      <c r="Q155" s="560">
        <v>619</v>
      </c>
      <c r="R155" s="560">
        <v>1151</v>
      </c>
      <c r="S155" s="561">
        <v>1770</v>
      </c>
      <c r="T155" s="560">
        <v>0</v>
      </c>
      <c r="U155" s="560">
        <v>0</v>
      </c>
      <c r="V155" s="561">
        <v>0</v>
      </c>
      <c r="W155" s="560">
        <v>56</v>
      </c>
      <c r="X155" s="560">
        <v>36</v>
      </c>
      <c r="Y155" s="561">
        <v>92</v>
      </c>
      <c r="Z155" s="562">
        <v>13225</v>
      </c>
      <c r="AA155" s="562">
        <v>12244</v>
      </c>
      <c r="AB155" s="561">
        <f t="shared" ref="AB155" si="46">Z155+AA155</f>
        <v>25469</v>
      </c>
    </row>
    <row r="156" spans="1:28">
      <c r="A156" s="514" t="s">
        <v>828</v>
      </c>
      <c r="B156" s="515">
        <v>287</v>
      </c>
      <c r="C156" s="515">
        <v>268</v>
      </c>
      <c r="D156" s="515">
        <v>555</v>
      </c>
      <c r="E156" s="515">
        <v>48</v>
      </c>
      <c r="F156" s="515">
        <v>76</v>
      </c>
      <c r="G156" s="515">
        <v>124</v>
      </c>
      <c r="H156" s="515">
        <v>911</v>
      </c>
      <c r="I156" s="515">
        <v>890</v>
      </c>
      <c r="J156" s="515">
        <v>1801</v>
      </c>
      <c r="K156" s="515">
        <v>10458</v>
      </c>
      <c r="L156" s="515">
        <v>9331</v>
      </c>
      <c r="M156" s="515">
        <v>19789</v>
      </c>
      <c r="N156" s="515">
        <v>0</v>
      </c>
      <c r="O156" s="515">
        <v>0</v>
      </c>
      <c r="P156" s="515">
        <v>0</v>
      </c>
      <c r="Q156" s="515">
        <v>1386</v>
      </c>
      <c r="R156" s="515">
        <v>1292</v>
      </c>
      <c r="S156" s="515">
        <v>2678</v>
      </c>
      <c r="T156" s="515">
        <v>7</v>
      </c>
      <c r="U156" s="515">
        <v>20</v>
      </c>
      <c r="V156" s="515">
        <v>27</v>
      </c>
      <c r="W156" s="515">
        <v>40</v>
      </c>
      <c r="X156" s="515">
        <v>22</v>
      </c>
      <c r="Y156" s="515">
        <v>62</v>
      </c>
      <c r="Z156" s="515">
        <f t="shared" ref="Z156:AB156" si="47">B156+E156+H156+K156+N156+Q156+T156+W156</f>
        <v>13137</v>
      </c>
      <c r="AA156" s="515">
        <f t="shared" si="47"/>
        <v>11899</v>
      </c>
      <c r="AB156" s="515">
        <f t="shared" si="47"/>
        <v>25036</v>
      </c>
    </row>
    <row r="157" spans="1:28" ht="15">
      <c r="A157" s="537" t="s">
        <v>38</v>
      </c>
      <c r="B157" s="538"/>
      <c r="C157" s="539"/>
      <c r="D157" s="539"/>
      <c r="E157" s="539"/>
      <c r="F157" s="539"/>
      <c r="G157" s="539"/>
      <c r="H157" s="539"/>
      <c r="I157" s="539"/>
      <c r="J157" s="540"/>
      <c r="K157" s="538"/>
      <c r="L157" s="539"/>
      <c r="M157" s="539"/>
      <c r="N157" s="539"/>
      <c r="O157" s="539"/>
      <c r="P157" s="539"/>
      <c r="Q157" s="539"/>
      <c r="R157" s="539"/>
      <c r="S157" s="540"/>
      <c r="T157" s="538"/>
      <c r="U157" s="539"/>
      <c r="V157" s="539"/>
      <c r="W157" s="539"/>
      <c r="X157" s="539"/>
      <c r="Y157" s="539"/>
      <c r="Z157" s="539"/>
      <c r="AA157" s="539"/>
      <c r="AB157" s="539"/>
    </row>
    <row r="158" spans="1:28">
      <c r="A158" s="541" t="s">
        <v>832</v>
      </c>
      <c r="B158" s="154">
        <v>270</v>
      </c>
      <c r="C158" s="154">
        <v>307</v>
      </c>
      <c r="D158" s="154">
        <v>577</v>
      </c>
      <c r="E158" s="154">
        <v>10</v>
      </c>
      <c r="F158" s="154">
        <v>28</v>
      </c>
      <c r="G158" s="154">
        <v>38</v>
      </c>
      <c r="H158" s="154">
        <v>1346</v>
      </c>
      <c r="I158" s="154">
        <v>2205</v>
      </c>
      <c r="J158" s="154">
        <v>3551</v>
      </c>
      <c r="K158" s="154">
        <v>16442</v>
      </c>
      <c r="L158" s="154">
        <v>18743</v>
      </c>
      <c r="M158" s="154">
        <v>35185</v>
      </c>
      <c r="N158" s="154">
        <v>23</v>
      </c>
      <c r="O158" s="154">
        <v>95</v>
      </c>
      <c r="P158" s="154">
        <v>118</v>
      </c>
      <c r="Q158" s="154">
        <v>827</v>
      </c>
      <c r="R158" s="154">
        <v>963</v>
      </c>
      <c r="S158" s="154">
        <v>1790</v>
      </c>
      <c r="T158" s="154">
        <v>17</v>
      </c>
      <c r="U158" s="154">
        <v>21</v>
      </c>
      <c r="V158" s="154">
        <v>38</v>
      </c>
      <c r="W158" s="154">
        <v>6</v>
      </c>
      <c r="X158" s="154">
        <v>0</v>
      </c>
      <c r="Y158" s="154">
        <v>6</v>
      </c>
      <c r="Z158" s="154">
        <v>18941</v>
      </c>
      <c r="AA158" s="154">
        <v>22362</v>
      </c>
      <c r="AB158" s="154">
        <v>41303</v>
      </c>
    </row>
    <row r="159" spans="1:28">
      <c r="A159" s="541" t="s">
        <v>831</v>
      </c>
      <c r="B159" s="515">
        <v>235</v>
      </c>
      <c r="C159" s="515">
        <v>257</v>
      </c>
      <c r="D159" s="515">
        <v>492</v>
      </c>
      <c r="E159" s="515">
        <v>6</v>
      </c>
      <c r="F159" s="515">
        <v>12</v>
      </c>
      <c r="G159" s="515">
        <v>18</v>
      </c>
      <c r="H159" s="515">
        <v>1299</v>
      </c>
      <c r="I159" s="515">
        <v>1996</v>
      </c>
      <c r="J159" s="515">
        <v>3295</v>
      </c>
      <c r="K159" s="515">
        <v>16205</v>
      </c>
      <c r="L159" s="515">
        <v>17857</v>
      </c>
      <c r="M159" s="515">
        <v>34062</v>
      </c>
      <c r="N159" s="515">
        <v>21</v>
      </c>
      <c r="O159" s="515">
        <v>67</v>
      </c>
      <c r="P159" s="515">
        <v>88</v>
      </c>
      <c r="Q159" s="515">
        <v>914</v>
      </c>
      <c r="R159" s="515">
        <v>769</v>
      </c>
      <c r="S159" s="515">
        <v>1683</v>
      </c>
      <c r="T159" s="515">
        <v>69</v>
      </c>
      <c r="U159" s="515">
        <v>59</v>
      </c>
      <c r="V159" s="515">
        <v>128</v>
      </c>
      <c r="W159" s="515">
        <v>15</v>
      </c>
      <c r="X159" s="515">
        <v>0</v>
      </c>
      <c r="Y159" s="515">
        <v>15</v>
      </c>
      <c r="Z159" s="515">
        <v>18764</v>
      </c>
      <c r="AA159" s="515">
        <v>21017</v>
      </c>
      <c r="AB159" s="515">
        <v>39781</v>
      </c>
    </row>
    <row r="160" spans="1:28">
      <c r="A160" s="541" t="s">
        <v>830</v>
      </c>
      <c r="B160" s="545">
        <v>222</v>
      </c>
      <c r="C160" s="545">
        <v>201</v>
      </c>
      <c r="D160" s="559">
        <v>423</v>
      </c>
      <c r="E160" s="545">
        <v>11</v>
      </c>
      <c r="F160" s="545">
        <v>23</v>
      </c>
      <c r="G160" s="559">
        <v>34</v>
      </c>
      <c r="H160" s="545">
        <v>979</v>
      </c>
      <c r="I160" s="545">
        <v>1444</v>
      </c>
      <c r="J160" s="559">
        <v>2423</v>
      </c>
      <c r="K160" s="545">
        <v>15678</v>
      </c>
      <c r="L160" s="545">
        <v>16947</v>
      </c>
      <c r="M160" s="559">
        <v>32625</v>
      </c>
      <c r="N160" s="545">
        <v>10</v>
      </c>
      <c r="O160" s="545">
        <v>52</v>
      </c>
      <c r="P160" s="559">
        <v>62</v>
      </c>
      <c r="Q160" s="545">
        <v>691</v>
      </c>
      <c r="R160" s="545">
        <v>637</v>
      </c>
      <c r="S160" s="559">
        <v>1328</v>
      </c>
      <c r="T160" s="545">
        <v>55</v>
      </c>
      <c r="U160" s="545">
        <v>45</v>
      </c>
      <c r="V160" s="559">
        <v>100</v>
      </c>
      <c r="W160" s="545">
        <v>15</v>
      </c>
      <c r="X160" s="545">
        <v>0</v>
      </c>
      <c r="Y160" s="559">
        <v>15</v>
      </c>
      <c r="Z160" s="209">
        <v>17661</v>
      </c>
      <c r="AA160" s="209">
        <v>19349</v>
      </c>
      <c r="AB160" s="559">
        <v>37010</v>
      </c>
    </row>
    <row r="161" spans="1:28">
      <c r="A161" s="541" t="s">
        <v>829</v>
      </c>
      <c r="B161" s="560">
        <v>94</v>
      </c>
      <c r="C161" s="560">
        <v>138</v>
      </c>
      <c r="D161" s="561">
        <v>232</v>
      </c>
      <c r="E161" s="560">
        <v>1</v>
      </c>
      <c r="F161" s="560">
        <v>9</v>
      </c>
      <c r="G161" s="561">
        <v>10</v>
      </c>
      <c r="H161" s="560">
        <v>951</v>
      </c>
      <c r="I161" s="560">
        <v>1403</v>
      </c>
      <c r="J161" s="561">
        <v>2354</v>
      </c>
      <c r="K161" s="560">
        <v>14901</v>
      </c>
      <c r="L161" s="560">
        <v>15810</v>
      </c>
      <c r="M161" s="561">
        <v>30711</v>
      </c>
      <c r="N161" s="560">
        <v>13</v>
      </c>
      <c r="O161" s="560">
        <v>57</v>
      </c>
      <c r="P161" s="561">
        <v>70</v>
      </c>
      <c r="Q161" s="560">
        <v>785</v>
      </c>
      <c r="R161" s="560">
        <v>865</v>
      </c>
      <c r="S161" s="561">
        <v>1650</v>
      </c>
      <c r="T161" s="560">
        <v>43</v>
      </c>
      <c r="U161" s="560">
        <v>35</v>
      </c>
      <c r="V161" s="561">
        <v>78</v>
      </c>
      <c r="W161" s="560">
        <v>15</v>
      </c>
      <c r="X161" s="560">
        <v>0</v>
      </c>
      <c r="Y161" s="561">
        <v>15</v>
      </c>
      <c r="Z161" s="562">
        <v>16803</v>
      </c>
      <c r="AA161" s="562">
        <v>18317</v>
      </c>
      <c r="AB161" s="561">
        <f t="shared" ref="AB161" si="48">Z161+AA161</f>
        <v>35120</v>
      </c>
    </row>
    <row r="162" spans="1:28">
      <c r="A162" s="514" t="s">
        <v>828</v>
      </c>
      <c r="B162" s="515">
        <v>87</v>
      </c>
      <c r="C162" s="515">
        <v>74</v>
      </c>
      <c r="D162" s="515">
        <v>161</v>
      </c>
      <c r="E162" s="515">
        <v>0</v>
      </c>
      <c r="F162" s="515">
        <v>0</v>
      </c>
      <c r="G162" s="515">
        <v>0</v>
      </c>
      <c r="H162" s="515">
        <v>662</v>
      </c>
      <c r="I162" s="515">
        <v>1157</v>
      </c>
      <c r="J162" s="515">
        <v>1819</v>
      </c>
      <c r="K162" s="515">
        <v>13485</v>
      </c>
      <c r="L162" s="515">
        <v>13979</v>
      </c>
      <c r="M162" s="515">
        <v>27464</v>
      </c>
      <c r="N162" s="515">
        <v>10</v>
      </c>
      <c r="O162" s="515">
        <v>48</v>
      </c>
      <c r="P162" s="515">
        <v>58</v>
      </c>
      <c r="Q162" s="515">
        <v>692</v>
      </c>
      <c r="R162" s="515">
        <v>616</v>
      </c>
      <c r="S162" s="515">
        <v>1308</v>
      </c>
      <c r="T162" s="515">
        <v>0</v>
      </c>
      <c r="U162" s="515">
        <v>0</v>
      </c>
      <c r="V162" s="515">
        <v>0</v>
      </c>
      <c r="W162" s="515">
        <v>11</v>
      </c>
      <c r="X162" s="515">
        <v>0</v>
      </c>
      <c r="Y162" s="515">
        <v>11</v>
      </c>
      <c r="Z162" s="515">
        <f t="shared" ref="Z162:AB162" si="49">B162+E162+H162+K162+N162+Q162+T162+W162</f>
        <v>14947</v>
      </c>
      <c r="AA162" s="515">
        <f t="shared" si="49"/>
        <v>15874</v>
      </c>
      <c r="AB162" s="515">
        <f t="shared" si="49"/>
        <v>30821</v>
      </c>
    </row>
    <row r="163" spans="1:28" ht="15">
      <c r="A163" s="537" t="s">
        <v>39</v>
      </c>
      <c r="B163" s="538"/>
      <c r="C163" s="539"/>
      <c r="D163" s="539"/>
      <c r="E163" s="539"/>
      <c r="F163" s="539"/>
      <c r="G163" s="539"/>
      <c r="H163" s="539"/>
      <c r="I163" s="539"/>
      <c r="J163" s="540"/>
      <c r="K163" s="538"/>
      <c r="L163" s="539"/>
      <c r="M163" s="539"/>
      <c r="N163" s="539"/>
      <c r="O163" s="539"/>
      <c r="P163" s="539"/>
      <c r="Q163" s="539"/>
      <c r="R163" s="539"/>
      <c r="S163" s="540"/>
      <c r="T163" s="538"/>
      <c r="U163" s="539"/>
      <c r="V163" s="539"/>
      <c r="W163" s="539"/>
      <c r="X163" s="539"/>
      <c r="Y163" s="539"/>
      <c r="Z163" s="539"/>
      <c r="AA163" s="539"/>
      <c r="AB163" s="539"/>
    </row>
    <row r="164" spans="1:28">
      <c r="A164" s="541" t="s">
        <v>832</v>
      </c>
      <c r="B164" s="154">
        <v>1923</v>
      </c>
      <c r="C164" s="154">
        <v>1423</v>
      </c>
      <c r="D164" s="154">
        <v>3346</v>
      </c>
      <c r="E164" s="154">
        <v>419</v>
      </c>
      <c r="F164" s="154">
        <v>584</v>
      </c>
      <c r="G164" s="154">
        <v>1003</v>
      </c>
      <c r="H164" s="154">
        <v>35798</v>
      </c>
      <c r="I164" s="154">
        <v>34649</v>
      </c>
      <c r="J164" s="154">
        <v>70447</v>
      </c>
      <c r="K164" s="154">
        <v>363971</v>
      </c>
      <c r="L164" s="154">
        <v>353662</v>
      </c>
      <c r="M164" s="154">
        <v>717633</v>
      </c>
      <c r="N164" s="154">
        <v>649</v>
      </c>
      <c r="O164" s="154">
        <v>435</v>
      </c>
      <c r="P164" s="154">
        <v>1084</v>
      </c>
      <c r="Q164" s="154">
        <v>88758</v>
      </c>
      <c r="R164" s="154">
        <v>34198</v>
      </c>
      <c r="S164" s="154">
        <v>122956</v>
      </c>
      <c r="T164" s="154">
        <v>3383</v>
      </c>
      <c r="U164" s="154">
        <v>5735</v>
      </c>
      <c r="V164" s="154">
        <v>9118</v>
      </c>
      <c r="W164" s="154">
        <v>4452</v>
      </c>
      <c r="X164" s="154">
        <v>4458</v>
      </c>
      <c r="Y164" s="154">
        <v>8910</v>
      </c>
      <c r="Z164" s="154">
        <v>499353</v>
      </c>
      <c r="AA164" s="154">
        <v>435144</v>
      </c>
      <c r="AB164" s="154">
        <v>934497</v>
      </c>
    </row>
    <row r="165" spans="1:28">
      <c r="A165" s="541" t="s">
        <v>831</v>
      </c>
      <c r="B165" s="515">
        <v>2052</v>
      </c>
      <c r="C165" s="515">
        <v>1670</v>
      </c>
      <c r="D165" s="515">
        <v>3722</v>
      </c>
      <c r="E165" s="515">
        <v>523</v>
      </c>
      <c r="F165" s="515">
        <v>638</v>
      </c>
      <c r="G165" s="515">
        <v>1161</v>
      </c>
      <c r="H165" s="515">
        <v>31016</v>
      </c>
      <c r="I165" s="515">
        <v>30870</v>
      </c>
      <c r="J165" s="515">
        <v>61886</v>
      </c>
      <c r="K165" s="515">
        <v>394120</v>
      </c>
      <c r="L165" s="515">
        <v>357910</v>
      </c>
      <c r="M165" s="515">
        <v>752030</v>
      </c>
      <c r="N165" s="515">
        <v>556</v>
      </c>
      <c r="O165" s="515">
        <v>367</v>
      </c>
      <c r="P165" s="515">
        <v>923</v>
      </c>
      <c r="Q165" s="515">
        <v>93290</v>
      </c>
      <c r="R165" s="515">
        <v>32225</v>
      </c>
      <c r="S165" s="515">
        <v>125515</v>
      </c>
      <c r="T165" s="515">
        <v>4284</v>
      </c>
      <c r="U165" s="515">
        <v>5775</v>
      </c>
      <c r="V165" s="515">
        <v>10059</v>
      </c>
      <c r="W165" s="515">
        <v>3805</v>
      </c>
      <c r="X165" s="515">
        <v>3945</v>
      </c>
      <c r="Y165" s="515">
        <v>7750</v>
      </c>
      <c r="Z165" s="515">
        <v>529646</v>
      </c>
      <c r="AA165" s="515">
        <v>433400</v>
      </c>
      <c r="AB165" s="515">
        <v>963046</v>
      </c>
    </row>
    <row r="166" spans="1:28">
      <c r="A166" s="541" t="s">
        <v>830</v>
      </c>
      <c r="B166" s="545">
        <v>1671</v>
      </c>
      <c r="C166" s="545">
        <v>1311</v>
      </c>
      <c r="D166" s="559">
        <v>2982</v>
      </c>
      <c r="E166" s="545">
        <v>404</v>
      </c>
      <c r="F166" s="545">
        <v>676</v>
      </c>
      <c r="G166" s="559">
        <v>1080</v>
      </c>
      <c r="H166" s="543">
        <v>27039.977446761455</v>
      </c>
      <c r="I166" s="543">
        <v>28156.310809879593</v>
      </c>
      <c r="J166" s="563">
        <v>55196.288256641055</v>
      </c>
      <c r="K166" s="543">
        <v>390228.06574580353</v>
      </c>
      <c r="L166" s="543">
        <v>375364.24935944739</v>
      </c>
      <c r="M166" s="563">
        <v>765592.31510525092</v>
      </c>
      <c r="N166" s="545">
        <v>621</v>
      </c>
      <c r="O166" s="545">
        <v>341</v>
      </c>
      <c r="P166" s="559">
        <v>962</v>
      </c>
      <c r="Q166" s="545">
        <v>89685</v>
      </c>
      <c r="R166" s="545">
        <v>30068</v>
      </c>
      <c r="S166" s="559">
        <v>119753</v>
      </c>
      <c r="T166" s="545">
        <v>2975</v>
      </c>
      <c r="U166" s="545">
        <v>4498</v>
      </c>
      <c r="V166" s="559">
        <v>7473</v>
      </c>
      <c r="W166" s="545">
        <v>3459</v>
      </c>
      <c r="X166" s="545">
        <v>3128</v>
      </c>
      <c r="Y166" s="559">
        <v>6587</v>
      </c>
      <c r="Z166" s="200">
        <v>516083.04319256498</v>
      </c>
      <c r="AA166" s="200">
        <v>443542.56016932696</v>
      </c>
      <c r="AB166" s="563">
        <v>959625.60336189193</v>
      </c>
    </row>
    <row r="167" spans="1:28">
      <c r="A167" s="541" t="s">
        <v>829</v>
      </c>
      <c r="B167" s="560">
        <v>1388</v>
      </c>
      <c r="C167" s="560">
        <v>1086</v>
      </c>
      <c r="D167" s="561">
        <v>2474</v>
      </c>
      <c r="E167" s="560">
        <v>471</v>
      </c>
      <c r="F167" s="560">
        <v>777</v>
      </c>
      <c r="G167" s="561">
        <v>1248</v>
      </c>
      <c r="H167" s="560">
        <v>25600</v>
      </c>
      <c r="I167" s="560">
        <v>23957</v>
      </c>
      <c r="J167" s="561">
        <v>49557</v>
      </c>
      <c r="K167" s="560">
        <v>385789</v>
      </c>
      <c r="L167" s="560">
        <v>354689</v>
      </c>
      <c r="M167" s="561">
        <v>740478</v>
      </c>
      <c r="N167" s="560">
        <v>438</v>
      </c>
      <c r="O167" s="560">
        <v>160</v>
      </c>
      <c r="P167" s="561">
        <v>598</v>
      </c>
      <c r="Q167" s="560">
        <v>89698</v>
      </c>
      <c r="R167" s="560">
        <v>29650</v>
      </c>
      <c r="S167" s="561">
        <v>119348</v>
      </c>
      <c r="T167" s="560">
        <v>3773</v>
      </c>
      <c r="U167" s="560">
        <v>5598</v>
      </c>
      <c r="V167" s="561">
        <v>9371</v>
      </c>
      <c r="W167" s="560">
        <v>2835</v>
      </c>
      <c r="X167" s="560">
        <v>2491</v>
      </c>
      <c r="Y167" s="561">
        <v>5326</v>
      </c>
      <c r="Z167" s="562">
        <v>509992</v>
      </c>
      <c r="AA167" s="562">
        <v>418408</v>
      </c>
      <c r="AB167" s="561">
        <f t="shared" ref="AB167" si="50">Z167+AA167</f>
        <v>928400</v>
      </c>
    </row>
    <row r="168" spans="1:28">
      <c r="A168" s="514" t="s">
        <v>828</v>
      </c>
      <c r="B168" s="515">
        <v>1348</v>
      </c>
      <c r="C168" s="515">
        <v>1277</v>
      </c>
      <c r="D168" s="515">
        <v>2625</v>
      </c>
      <c r="E168" s="515">
        <v>427</v>
      </c>
      <c r="F168" s="515">
        <v>674</v>
      </c>
      <c r="G168" s="515">
        <v>1101</v>
      </c>
      <c r="H168" s="515">
        <v>23938</v>
      </c>
      <c r="I168" s="515">
        <v>21490</v>
      </c>
      <c r="J168" s="515">
        <v>45428</v>
      </c>
      <c r="K168" s="515">
        <v>370323</v>
      </c>
      <c r="L168" s="515">
        <v>342208</v>
      </c>
      <c r="M168" s="515">
        <v>712531</v>
      </c>
      <c r="N168" s="515">
        <v>421</v>
      </c>
      <c r="O168" s="515">
        <v>220</v>
      </c>
      <c r="P168" s="515">
        <v>641</v>
      </c>
      <c r="Q168" s="515">
        <v>76364</v>
      </c>
      <c r="R168" s="515">
        <v>24113</v>
      </c>
      <c r="S168" s="515">
        <v>100477</v>
      </c>
      <c r="T168" s="515">
        <v>3416</v>
      </c>
      <c r="U168" s="515">
        <v>5375</v>
      </c>
      <c r="V168" s="515">
        <v>8791</v>
      </c>
      <c r="W168" s="515">
        <v>1839</v>
      </c>
      <c r="X168" s="515">
        <v>1777</v>
      </c>
      <c r="Y168" s="515">
        <v>3616</v>
      </c>
      <c r="Z168" s="515">
        <f t="shared" ref="Z168:AB168" si="51">B168+E168+H168+K168+N168+Q168+T168+W168</f>
        <v>478076</v>
      </c>
      <c r="AA168" s="515">
        <f t="shared" si="51"/>
        <v>397134</v>
      </c>
      <c r="AB168" s="515">
        <f t="shared" si="51"/>
        <v>875210</v>
      </c>
    </row>
    <row r="169" spans="1:28" ht="15">
      <c r="A169" s="537" t="s">
        <v>40</v>
      </c>
      <c r="B169" s="538"/>
      <c r="C169" s="539"/>
      <c r="D169" s="539"/>
      <c r="E169" s="539"/>
      <c r="F169" s="539"/>
      <c r="G169" s="539"/>
      <c r="H169" s="539"/>
      <c r="I169" s="539"/>
      <c r="J169" s="540"/>
      <c r="K169" s="538"/>
      <c r="L169" s="539"/>
      <c r="M169" s="539"/>
      <c r="N169" s="539"/>
      <c r="O169" s="539"/>
      <c r="P169" s="539"/>
      <c r="Q169" s="539"/>
      <c r="R169" s="539"/>
      <c r="S169" s="540"/>
      <c r="T169" s="538"/>
      <c r="U169" s="539"/>
      <c r="V169" s="539"/>
      <c r="W169" s="539"/>
      <c r="X169" s="539"/>
      <c r="Y169" s="539"/>
      <c r="Z169" s="539"/>
      <c r="AA169" s="539"/>
      <c r="AB169" s="539"/>
    </row>
    <row r="170" spans="1:28">
      <c r="A170" s="541" t="s">
        <v>832</v>
      </c>
      <c r="B170" s="154">
        <v>291</v>
      </c>
      <c r="C170" s="154">
        <v>217</v>
      </c>
      <c r="D170" s="154">
        <v>508</v>
      </c>
      <c r="E170" s="154">
        <v>21</v>
      </c>
      <c r="F170" s="154">
        <v>46</v>
      </c>
      <c r="G170" s="154">
        <v>67</v>
      </c>
      <c r="H170" s="154">
        <v>4134</v>
      </c>
      <c r="I170" s="154">
        <v>5473</v>
      </c>
      <c r="J170" s="154">
        <v>9607</v>
      </c>
      <c r="K170" s="154">
        <v>22863</v>
      </c>
      <c r="L170" s="154">
        <v>28309</v>
      </c>
      <c r="M170" s="154">
        <v>51172</v>
      </c>
      <c r="N170" s="154">
        <v>52</v>
      </c>
      <c r="O170" s="154">
        <v>54</v>
      </c>
      <c r="P170" s="154">
        <v>106</v>
      </c>
      <c r="Q170" s="154">
        <v>2866</v>
      </c>
      <c r="R170" s="154">
        <v>1122</v>
      </c>
      <c r="S170" s="154">
        <v>3988</v>
      </c>
      <c r="T170" s="154">
        <v>0</v>
      </c>
      <c r="U170" s="154">
        <v>0</v>
      </c>
      <c r="V170" s="154">
        <v>0</v>
      </c>
      <c r="W170" s="154">
        <v>532</v>
      </c>
      <c r="X170" s="154">
        <v>492</v>
      </c>
      <c r="Y170" s="154">
        <v>1024</v>
      </c>
      <c r="Z170" s="154">
        <v>30759</v>
      </c>
      <c r="AA170" s="154">
        <v>35713</v>
      </c>
      <c r="AB170" s="154">
        <v>66472</v>
      </c>
    </row>
    <row r="171" spans="1:28">
      <c r="A171" s="541" t="s">
        <v>831</v>
      </c>
      <c r="B171" s="515">
        <v>510</v>
      </c>
      <c r="C171" s="515">
        <v>292</v>
      </c>
      <c r="D171" s="515">
        <v>802</v>
      </c>
      <c r="E171" s="515">
        <v>12</v>
      </c>
      <c r="F171" s="515">
        <v>54</v>
      </c>
      <c r="G171" s="515">
        <v>66</v>
      </c>
      <c r="H171" s="515">
        <v>3788</v>
      </c>
      <c r="I171" s="515">
        <v>4928</v>
      </c>
      <c r="J171" s="515">
        <v>8716</v>
      </c>
      <c r="K171" s="515">
        <v>23585</v>
      </c>
      <c r="L171" s="515">
        <v>28067</v>
      </c>
      <c r="M171" s="515">
        <v>51652</v>
      </c>
      <c r="N171" s="515">
        <v>97</v>
      </c>
      <c r="O171" s="515">
        <v>71</v>
      </c>
      <c r="P171" s="515">
        <v>168</v>
      </c>
      <c r="Q171" s="515">
        <v>2803</v>
      </c>
      <c r="R171" s="515">
        <v>1239</v>
      </c>
      <c r="S171" s="515">
        <v>4042</v>
      </c>
      <c r="T171" s="515">
        <v>7</v>
      </c>
      <c r="U171" s="515">
        <v>6</v>
      </c>
      <c r="V171" s="515">
        <v>13</v>
      </c>
      <c r="W171" s="515">
        <v>505</v>
      </c>
      <c r="X171" s="515">
        <v>458</v>
      </c>
      <c r="Y171" s="515">
        <v>963</v>
      </c>
      <c r="Z171" s="515">
        <v>31307</v>
      </c>
      <c r="AA171" s="515">
        <v>35115</v>
      </c>
      <c r="AB171" s="515">
        <v>66422</v>
      </c>
    </row>
    <row r="172" spans="1:28">
      <c r="A172" s="541" t="s">
        <v>830</v>
      </c>
      <c r="B172" s="545">
        <v>522</v>
      </c>
      <c r="C172" s="545">
        <v>254</v>
      </c>
      <c r="D172" s="559">
        <v>776</v>
      </c>
      <c r="E172" s="545">
        <v>13</v>
      </c>
      <c r="F172" s="545">
        <v>53</v>
      </c>
      <c r="G172" s="559">
        <v>66</v>
      </c>
      <c r="H172" s="543">
        <v>3646.6215759206261</v>
      </c>
      <c r="I172" s="543">
        <v>4343.3965023965957</v>
      </c>
      <c r="J172" s="563">
        <v>7990.0180783172218</v>
      </c>
      <c r="K172" s="543">
        <v>20473.263168610643</v>
      </c>
      <c r="L172" s="543">
        <v>25118.343273479575</v>
      </c>
      <c r="M172" s="563">
        <v>45591.606442090218</v>
      </c>
      <c r="N172" s="545">
        <v>63</v>
      </c>
      <c r="O172" s="545">
        <v>58</v>
      </c>
      <c r="P172" s="559">
        <v>121</v>
      </c>
      <c r="Q172" s="545">
        <v>3121</v>
      </c>
      <c r="R172" s="545">
        <v>1355</v>
      </c>
      <c r="S172" s="559">
        <v>4476</v>
      </c>
      <c r="T172" s="545">
        <v>15</v>
      </c>
      <c r="U172" s="545">
        <v>1</v>
      </c>
      <c r="V172" s="559">
        <v>16</v>
      </c>
      <c r="W172" s="545">
        <v>656</v>
      </c>
      <c r="X172" s="545">
        <v>581</v>
      </c>
      <c r="Y172" s="559">
        <v>1237</v>
      </c>
      <c r="Z172" s="200">
        <v>28479.884744531271</v>
      </c>
      <c r="AA172" s="200">
        <v>31763.739775876173</v>
      </c>
      <c r="AB172" s="563">
        <v>60243.624520407437</v>
      </c>
    </row>
    <row r="173" spans="1:28">
      <c r="A173" s="541" t="s">
        <v>829</v>
      </c>
      <c r="B173" s="560">
        <v>604</v>
      </c>
      <c r="C173" s="560">
        <v>334</v>
      </c>
      <c r="D173" s="561">
        <v>938</v>
      </c>
      <c r="E173" s="560">
        <v>19</v>
      </c>
      <c r="F173" s="560">
        <v>61</v>
      </c>
      <c r="G173" s="561">
        <v>80</v>
      </c>
      <c r="H173" s="560">
        <v>3719</v>
      </c>
      <c r="I173" s="560">
        <v>4030</v>
      </c>
      <c r="J173" s="561">
        <v>7749</v>
      </c>
      <c r="K173" s="560">
        <v>19615</v>
      </c>
      <c r="L173" s="560">
        <v>23516</v>
      </c>
      <c r="M173" s="561">
        <v>43131</v>
      </c>
      <c r="N173" s="560">
        <v>140</v>
      </c>
      <c r="O173" s="560">
        <v>89</v>
      </c>
      <c r="P173" s="561">
        <v>229</v>
      </c>
      <c r="Q173" s="560">
        <v>3110</v>
      </c>
      <c r="R173" s="560">
        <v>1194</v>
      </c>
      <c r="S173" s="561">
        <v>4304</v>
      </c>
      <c r="T173" s="560">
        <v>0</v>
      </c>
      <c r="U173" s="560">
        <v>2</v>
      </c>
      <c r="V173" s="561">
        <v>2</v>
      </c>
      <c r="W173" s="560">
        <v>614</v>
      </c>
      <c r="X173" s="560">
        <v>532</v>
      </c>
      <c r="Y173" s="561">
        <v>1146</v>
      </c>
      <c r="Z173" s="562">
        <v>27821</v>
      </c>
      <c r="AA173" s="562">
        <v>29758</v>
      </c>
      <c r="AB173" s="561">
        <f t="shared" ref="AB173" si="52">Z173+AA173</f>
        <v>57579</v>
      </c>
    </row>
    <row r="174" spans="1:28">
      <c r="A174" s="514" t="s">
        <v>828</v>
      </c>
      <c r="B174" s="515">
        <v>617</v>
      </c>
      <c r="C174" s="515">
        <v>315</v>
      </c>
      <c r="D174" s="515">
        <v>932</v>
      </c>
      <c r="E174" s="515">
        <v>10</v>
      </c>
      <c r="F174" s="515">
        <v>50</v>
      </c>
      <c r="G174" s="515">
        <v>60</v>
      </c>
      <c r="H174" s="515">
        <v>4191</v>
      </c>
      <c r="I174" s="515">
        <v>3943</v>
      </c>
      <c r="J174" s="515">
        <v>8134</v>
      </c>
      <c r="K174" s="515">
        <v>19979</v>
      </c>
      <c r="L174" s="515">
        <v>22806</v>
      </c>
      <c r="M174" s="515">
        <v>42785</v>
      </c>
      <c r="N174" s="515">
        <v>208</v>
      </c>
      <c r="O174" s="515">
        <v>102</v>
      </c>
      <c r="P174" s="515">
        <v>310</v>
      </c>
      <c r="Q174" s="515">
        <v>3501</v>
      </c>
      <c r="R174" s="515">
        <v>1311</v>
      </c>
      <c r="S174" s="515">
        <v>4812</v>
      </c>
      <c r="T174" s="515">
        <v>2</v>
      </c>
      <c r="U174" s="515">
        <v>0</v>
      </c>
      <c r="V174" s="515">
        <v>2</v>
      </c>
      <c r="W174" s="515">
        <v>724</v>
      </c>
      <c r="X174" s="515">
        <v>564</v>
      </c>
      <c r="Y174" s="515">
        <v>1288</v>
      </c>
      <c r="Z174" s="515">
        <f t="shared" ref="Z174:AB174" si="53">B174+E174+H174+K174+N174+Q174+T174+W174</f>
        <v>29232</v>
      </c>
      <c r="AA174" s="515">
        <f t="shared" si="53"/>
        <v>29091</v>
      </c>
      <c r="AB174" s="515">
        <f t="shared" si="53"/>
        <v>58323</v>
      </c>
    </row>
    <row r="175" spans="1:28" ht="15">
      <c r="A175" s="547" t="s">
        <v>41</v>
      </c>
      <c r="B175" s="550"/>
      <c r="C175" s="551"/>
      <c r="D175" s="551"/>
      <c r="E175" s="551"/>
      <c r="F175" s="551"/>
      <c r="G175" s="551"/>
      <c r="H175" s="551"/>
      <c r="I175" s="551"/>
      <c r="J175" s="552"/>
      <c r="K175" s="550"/>
      <c r="L175" s="551"/>
      <c r="M175" s="551"/>
      <c r="N175" s="551"/>
      <c r="O175" s="551"/>
      <c r="P175" s="551"/>
      <c r="Q175" s="551"/>
      <c r="R175" s="551"/>
      <c r="S175" s="552"/>
      <c r="T175" s="550"/>
      <c r="U175" s="551"/>
      <c r="V175" s="551"/>
      <c r="W175" s="551"/>
      <c r="X175" s="551"/>
      <c r="Y175" s="551"/>
      <c r="Z175" s="551"/>
      <c r="AA175" s="551"/>
      <c r="AB175" s="551"/>
    </row>
    <row r="176" spans="1:28">
      <c r="A176" s="541" t="s">
        <v>832</v>
      </c>
      <c r="B176" s="154">
        <v>4111</v>
      </c>
      <c r="C176" s="154">
        <v>4888</v>
      </c>
      <c r="D176" s="154">
        <v>8999</v>
      </c>
      <c r="E176" s="154">
        <v>307</v>
      </c>
      <c r="F176" s="154">
        <v>315</v>
      </c>
      <c r="G176" s="154">
        <v>622</v>
      </c>
      <c r="H176" s="154">
        <v>30990</v>
      </c>
      <c r="I176" s="154">
        <v>57741</v>
      </c>
      <c r="J176" s="154">
        <v>88731</v>
      </c>
      <c r="K176" s="154">
        <v>289293</v>
      </c>
      <c r="L176" s="154">
        <v>302541</v>
      </c>
      <c r="M176" s="154">
        <v>591834</v>
      </c>
      <c r="N176" s="154">
        <v>2144</v>
      </c>
      <c r="O176" s="154">
        <v>3195</v>
      </c>
      <c r="P176" s="154">
        <v>5339</v>
      </c>
      <c r="Q176" s="154">
        <v>59507</v>
      </c>
      <c r="R176" s="154">
        <v>35448</v>
      </c>
      <c r="S176" s="154">
        <v>94955</v>
      </c>
      <c r="T176" s="154">
        <v>571</v>
      </c>
      <c r="U176" s="154">
        <v>897</v>
      </c>
      <c r="V176" s="154">
        <v>1468</v>
      </c>
      <c r="W176" s="154">
        <v>6459</v>
      </c>
      <c r="X176" s="154">
        <v>7025</v>
      </c>
      <c r="Y176" s="154">
        <v>13484</v>
      </c>
      <c r="Z176" s="154">
        <v>393382</v>
      </c>
      <c r="AA176" s="154">
        <v>412050</v>
      </c>
      <c r="AB176" s="154">
        <v>805432</v>
      </c>
    </row>
    <row r="177" spans="1:28">
      <c r="A177" s="541" t="s">
        <v>831</v>
      </c>
      <c r="B177" s="515">
        <v>4382</v>
      </c>
      <c r="C177" s="515">
        <v>4713</v>
      </c>
      <c r="D177" s="515">
        <v>9095</v>
      </c>
      <c r="E177" s="515">
        <v>369</v>
      </c>
      <c r="F177" s="515">
        <v>367</v>
      </c>
      <c r="G177" s="515">
        <v>736</v>
      </c>
      <c r="H177" s="515">
        <v>30100</v>
      </c>
      <c r="I177" s="515">
        <v>61071</v>
      </c>
      <c r="J177" s="515">
        <v>91171</v>
      </c>
      <c r="K177" s="515">
        <v>304502</v>
      </c>
      <c r="L177" s="515">
        <v>351837</v>
      </c>
      <c r="M177" s="515">
        <v>656339</v>
      </c>
      <c r="N177" s="515">
        <v>2383</v>
      </c>
      <c r="O177" s="515">
        <v>3478</v>
      </c>
      <c r="P177" s="515">
        <v>5861</v>
      </c>
      <c r="Q177" s="515">
        <v>64683</v>
      </c>
      <c r="R177" s="515">
        <v>37704</v>
      </c>
      <c r="S177" s="515">
        <v>102387</v>
      </c>
      <c r="T177" s="515">
        <v>577</v>
      </c>
      <c r="U177" s="515">
        <v>986</v>
      </c>
      <c r="V177" s="515">
        <v>1563</v>
      </c>
      <c r="W177" s="515">
        <v>6354</v>
      </c>
      <c r="X177" s="515">
        <v>5603</v>
      </c>
      <c r="Y177" s="515">
        <v>11957</v>
      </c>
      <c r="Z177" s="515">
        <v>413350</v>
      </c>
      <c r="AA177" s="515">
        <v>465759</v>
      </c>
      <c r="AB177" s="515">
        <v>879109</v>
      </c>
    </row>
    <row r="178" spans="1:28">
      <c r="A178" s="541" t="s">
        <v>830</v>
      </c>
      <c r="B178" s="545">
        <v>3054</v>
      </c>
      <c r="C178" s="545">
        <v>3823</v>
      </c>
      <c r="D178" s="559">
        <v>6877</v>
      </c>
      <c r="E178" s="545">
        <v>389</v>
      </c>
      <c r="F178" s="545">
        <v>513</v>
      </c>
      <c r="G178" s="559">
        <v>902</v>
      </c>
      <c r="H178" s="543">
        <v>34968.826149717264</v>
      </c>
      <c r="I178" s="543">
        <v>72263.528931813053</v>
      </c>
      <c r="J178" s="563">
        <v>107232.3550815303</v>
      </c>
      <c r="K178" s="543">
        <v>335219.71957293572</v>
      </c>
      <c r="L178" s="543">
        <v>339527.93994120578</v>
      </c>
      <c r="M178" s="563">
        <v>674747.6595141415</v>
      </c>
      <c r="N178" s="545">
        <v>2894</v>
      </c>
      <c r="O178" s="545">
        <v>4052</v>
      </c>
      <c r="P178" s="559">
        <v>6946</v>
      </c>
      <c r="Q178" s="545">
        <v>81331</v>
      </c>
      <c r="R178" s="545">
        <v>44775</v>
      </c>
      <c r="S178" s="559">
        <v>126106</v>
      </c>
      <c r="T178" s="545">
        <v>391</v>
      </c>
      <c r="U178" s="545">
        <v>893</v>
      </c>
      <c r="V178" s="559">
        <v>1284</v>
      </c>
      <c r="W178" s="545">
        <v>5416</v>
      </c>
      <c r="X178" s="545">
        <v>4495</v>
      </c>
      <c r="Y178" s="559">
        <v>9911</v>
      </c>
      <c r="Z178" s="200">
        <v>463663.54572265298</v>
      </c>
      <c r="AA178" s="200">
        <v>470342.46887301886</v>
      </c>
      <c r="AB178" s="563">
        <v>934006.01459567179</v>
      </c>
    </row>
    <row r="179" spans="1:28">
      <c r="A179" s="541" t="s">
        <v>829</v>
      </c>
      <c r="B179" s="560">
        <v>3151</v>
      </c>
      <c r="C179" s="560">
        <v>3692</v>
      </c>
      <c r="D179" s="561">
        <v>6843</v>
      </c>
      <c r="E179" s="560">
        <v>509</v>
      </c>
      <c r="F179" s="560">
        <v>714</v>
      </c>
      <c r="G179" s="561">
        <v>1223</v>
      </c>
      <c r="H179" s="560">
        <v>30003</v>
      </c>
      <c r="I179" s="560">
        <v>66793</v>
      </c>
      <c r="J179" s="561">
        <v>96796</v>
      </c>
      <c r="K179" s="560">
        <v>312815</v>
      </c>
      <c r="L179" s="560">
        <v>301284</v>
      </c>
      <c r="M179" s="561">
        <v>614099</v>
      </c>
      <c r="N179" s="560">
        <v>2586</v>
      </c>
      <c r="O179" s="560">
        <v>3698</v>
      </c>
      <c r="P179" s="561">
        <v>6284</v>
      </c>
      <c r="Q179" s="560">
        <v>87281</v>
      </c>
      <c r="R179" s="560">
        <v>41331</v>
      </c>
      <c r="S179" s="561">
        <v>128612</v>
      </c>
      <c r="T179" s="560">
        <v>692</v>
      </c>
      <c r="U179" s="560">
        <v>1184</v>
      </c>
      <c r="V179" s="561">
        <v>1876</v>
      </c>
      <c r="W179" s="560">
        <v>4489</v>
      </c>
      <c r="X179" s="560">
        <v>3822</v>
      </c>
      <c r="Y179" s="561">
        <v>8311</v>
      </c>
      <c r="Z179" s="562">
        <v>441526</v>
      </c>
      <c r="AA179" s="562">
        <v>422518</v>
      </c>
      <c r="AB179" s="561">
        <f t="shared" ref="AB179" si="54">Z179+AA179</f>
        <v>864044</v>
      </c>
    </row>
    <row r="180" spans="1:28">
      <c r="A180" s="514" t="s">
        <v>828</v>
      </c>
      <c r="B180" s="515">
        <v>2048</v>
      </c>
      <c r="C180" s="515">
        <v>2632</v>
      </c>
      <c r="D180" s="515">
        <v>4680</v>
      </c>
      <c r="E180" s="515">
        <v>545</v>
      </c>
      <c r="F180" s="515">
        <v>681</v>
      </c>
      <c r="G180" s="515">
        <v>1226</v>
      </c>
      <c r="H180" s="515">
        <v>30613</v>
      </c>
      <c r="I180" s="515">
        <v>65842</v>
      </c>
      <c r="J180" s="515">
        <v>96455</v>
      </c>
      <c r="K180" s="515">
        <v>305019</v>
      </c>
      <c r="L180" s="515">
        <v>287436</v>
      </c>
      <c r="M180" s="515">
        <v>592455</v>
      </c>
      <c r="N180" s="515">
        <v>2800</v>
      </c>
      <c r="O180" s="515">
        <v>3895</v>
      </c>
      <c r="P180" s="515">
        <v>6695</v>
      </c>
      <c r="Q180" s="515">
        <v>89693</v>
      </c>
      <c r="R180" s="515">
        <v>40620</v>
      </c>
      <c r="S180" s="515">
        <v>130313</v>
      </c>
      <c r="T180" s="515">
        <v>845</v>
      </c>
      <c r="U180" s="515">
        <v>1137</v>
      </c>
      <c r="V180" s="515">
        <v>1982</v>
      </c>
      <c r="W180" s="515">
        <v>3687</v>
      </c>
      <c r="X180" s="515">
        <v>3123</v>
      </c>
      <c r="Y180" s="515">
        <v>6810</v>
      </c>
      <c r="Z180" s="515">
        <f t="shared" ref="Z180:AB180" si="55">B180+E180+H180+K180+N180+Q180+T180+W180</f>
        <v>435250</v>
      </c>
      <c r="AA180" s="515">
        <f t="shared" si="55"/>
        <v>405366</v>
      </c>
      <c r="AB180" s="515">
        <f t="shared" si="55"/>
        <v>840616</v>
      </c>
    </row>
    <row r="181" spans="1:28" ht="15">
      <c r="A181" s="537" t="s">
        <v>42</v>
      </c>
      <c r="B181" s="538"/>
      <c r="C181" s="539"/>
      <c r="D181" s="539"/>
      <c r="E181" s="539"/>
      <c r="F181" s="539"/>
      <c r="G181" s="539"/>
      <c r="H181" s="539"/>
      <c r="I181" s="539"/>
      <c r="J181" s="540"/>
      <c r="K181" s="538"/>
      <c r="L181" s="539"/>
      <c r="M181" s="539"/>
      <c r="N181" s="539"/>
      <c r="O181" s="539"/>
      <c r="P181" s="539"/>
      <c r="Q181" s="539"/>
      <c r="R181" s="539"/>
      <c r="S181" s="540"/>
      <c r="T181" s="538"/>
      <c r="U181" s="539"/>
      <c r="V181" s="539"/>
      <c r="W181" s="539"/>
      <c r="X181" s="539"/>
      <c r="Y181" s="539"/>
      <c r="Z181" s="539"/>
      <c r="AA181" s="539"/>
      <c r="AB181" s="539"/>
    </row>
    <row r="182" spans="1:28">
      <c r="A182" s="541" t="s">
        <v>832</v>
      </c>
      <c r="B182" s="154">
        <v>5478</v>
      </c>
      <c r="C182" s="154">
        <v>5372</v>
      </c>
      <c r="D182" s="154">
        <v>10850</v>
      </c>
      <c r="E182" s="154">
        <v>261</v>
      </c>
      <c r="F182" s="154">
        <v>203</v>
      </c>
      <c r="G182" s="154">
        <v>464</v>
      </c>
      <c r="H182" s="154">
        <v>79931</v>
      </c>
      <c r="I182" s="154">
        <v>107686</v>
      </c>
      <c r="J182" s="154">
        <v>187617</v>
      </c>
      <c r="K182" s="154">
        <v>837759</v>
      </c>
      <c r="L182" s="154">
        <v>823253</v>
      </c>
      <c r="M182" s="154">
        <v>1661012</v>
      </c>
      <c r="N182" s="154">
        <v>3012</v>
      </c>
      <c r="O182" s="154">
        <v>2578</v>
      </c>
      <c r="P182" s="154">
        <v>5590</v>
      </c>
      <c r="Q182" s="154">
        <v>73593</v>
      </c>
      <c r="R182" s="154">
        <v>26205</v>
      </c>
      <c r="S182" s="154">
        <v>99798</v>
      </c>
      <c r="T182" s="154">
        <v>4678</v>
      </c>
      <c r="U182" s="154">
        <v>5390</v>
      </c>
      <c r="V182" s="154">
        <v>10068</v>
      </c>
      <c r="W182" s="154">
        <v>29964</v>
      </c>
      <c r="X182" s="154">
        <v>24607</v>
      </c>
      <c r="Y182" s="154">
        <v>54571</v>
      </c>
      <c r="Z182" s="154">
        <v>1034676</v>
      </c>
      <c r="AA182" s="154">
        <v>995294</v>
      </c>
      <c r="AB182" s="154">
        <v>2029970</v>
      </c>
    </row>
    <row r="183" spans="1:28">
      <c r="A183" s="541" t="s">
        <v>831</v>
      </c>
      <c r="B183" s="515">
        <v>5296</v>
      </c>
      <c r="C183" s="515">
        <v>5145</v>
      </c>
      <c r="D183" s="515">
        <v>10441</v>
      </c>
      <c r="E183" s="515">
        <v>116</v>
      </c>
      <c r="F183" s="515">
        <v>160</v>
      </c>
      <c r="G183" s="515">
        <v>276</v>
      </c>
      <c r="H183" s="515">
        <v>55450</v>
      </c>
      <c r="I183" s="515">
        <v>88245</v>
      </c>
      <c r="J183" s="515">
        <v>143695</v>
      </c>
      <c r="K183" s="515">
        <v>834092</v>
      </c>
      <c r="L183" s="515">
        <v>819343</v>
      </c>
      <c r="M183" s="515">
        <v>1653435</v>
      </c>
      <c r="N183" s="515">
        <v>2689</v>
      </c>
      <c r="O183" s="515">
        <v>2233</v>
      </c>
      <c r="P183" s="515">
        <v>4922</v>
      </c>
      <c r="Q183" s="515">
        <v>73456</v>
      </c>
      <c r="R183" s="515">
        <v>21307</v>
      </c>
      <c r="S183" s="515">
        <v>94763</v>
      </c>
      <c r="T183" s="515">
        <v>3401</v>
      </c>
      <c r="U183" s="515">
        <v>4632</v>
      </c>
      <c r="V183" s="515">
        <v>8033</v>
      </c>
      <c r="W183" s="515">
        <v>16104</v>
      </c>
      <c r="X183" s="515">
        <v>12310</v>
      </c>
      <c r="Y183" s="515">
        <v>28414</v>
      </c>
      <c r="Z183" s="515">
        <v>990604</v>
      </c>
      <c r="AA183" s="515">
        <v>953375</v>
      </c>
      <c r="AB183" s="515">
        <v>1943979</v>
      </c>
    </row>
    <row r="184" spans="1:28">
      <c r="A184" s="541" t="s">
        <v>830</v>
      </c>
      <c r="B184" s="545">
        <v>3925</v>
      </c>
      <c r="C184" s="545">
        <v>4054</v>
      </c>
      <c r="D184" s="559">
        <v>7979</v>
      </c>
      <c r="E184" s="545">
        <v>173</v>
      </c>
      <c r="F184" s="545">
        <v>182</v>
      </c>
      <c r="G184" s="559">
        <v>355</v>
      </c>
      <c r="H184" s="543">
        <v>57743.371705146958</v>
      </c>
      <c r="I184" s="543">
        <v>84108.690074861152</v>
      </c>
      <c r="J184" s="563">
        <v>141852.06178000811</v>
      </c>
      <c r="K184" s="543">
        <v>784493.31903304509</v>
      </c>
      <c r="L184" s="543">
        <v>712335.61857225199</v>
      </c>
      <c r="M184" s="563">
        <v>1496828.9376052972</v>
      </c>
      <c r="N184" s="545">
        <v>3175</v>
      </c>
      <c r="O184" s="545">
        <v>2330</v>
      </c>
      <c r="P184" s="559">
        <v>5505</v>
      </c>
      <c r="Q184" s="545">
        <v>84152</v>
      </c>
      <c r="R184" s="545">
        <v>21093</v>
      </c>
      <c r="S184" s="559">
        <v>105245</v>
      </c>
      <c r="T184" s="545">
        <v>3014</v>
      </c>
      <c r="U184" s="545">
        <v>4291</v>
      </c>
      <c r="V184" s="559">
        <v>7305</v>
      </c>
      <c r="W184" s="545">
        <v>7478</v>
      </c>
      <c r="X184" s="545">
        <v>5588</v>
      </c>
      <c r="Y184" s="559">
        <v>13066</v>
      </c>
      <c r="Z184" s="200">
        <v>944153.69073819206</v>
      </c>
      <c r="AA184" s="200">
        <v>833982.30864711315</v>
      </c>
      <c r="AB184" s="563">
        <v>1778135.9993853052</v>
      </c>
    </row>
    <row r="185" spans="1:28">
      <c r="A185" s="514" t="s">
        <v>829</v>
      </c>
      <c r="B185" s="560">
        <v>3672</v>
      </c>
      <c r="C185" s="560">
        <v>3338</v>
      </c>
      <c r="D185" s="561">
        <v>7010</v>
      </c>
      <c r="E185" s="560">
        <v>420</v>
      </c>
      <c r="F185" s="560">
        <v>191</v>
      </c>
      <c r="G185" s="561">
        <v>611</v>
      </c>
      <c r="H185" s="560">
        <v>46278</v>
      </c>
      <c r="I185" s="560">
        <v>70062</v>
      </c>
      <c r="J185" s="561">
        <v>116340</v>
      </c>
      <c r="K185" s="560">
        <v>758502</v>
      </c>
      <c r="L185" s="560">
        <v>662449</v>
      </c>
      <c r="M185" s="561">
        <v>1420951</v>
      </c>
      <c r="N185" s="560">
        <v>2826</v>
      </c>
      <c r="O185" s="560">
        <v>2030</v>
      </c>
      <c r="P185" s="561">
        <v>4856</v>
      </c>
      <c r="Q185" s="560">
        <v>76549</v>
      </c>
      <c r="R185" s="560">
        <v>15578</v>
      </c>
      <c r="S185" s="561">
        <v>92127</v>
      </c>
      <c r="T185" s="560">
        <v>2725</v>
      </c>
      <c r="U185" s="560">
        <v>4118</v>
      </c>
      <c r="V185" s="561">
        <v>6843</v>
      </c>
      <c r="W185" s="560">
        <v>5875</v>
      </c>
      <c r="X185" s="560">
        <v>4238</v>
      </c>
      <c r="Y185" s="561">
        <v>10113</v>
      </c>
      <c r="Z185" s="562">
        <v>896847</v>
      </c>
      <c r="AA185" s="562">
        <v>762004</v>
      </c>
      <c r="AB185" s="561">
        <f t="shared" ref="AB185" si="56">Z185+AA185</f>
        <v>1658851</v>
      </c>
    </row>
    <row r="186" spans="1:28">
      <c r="A186" s="514" t="s">
        <v>828</v>
      </c>
      <c r="B186" s="515">
        <v>1789</v>
      </c>
      <c r="C186" s="515">
        <v>2345</v>
      </c>
      <c r="D186" s="515">
        <v>4134</v>
      </c>
      <c r="E186" s="515">
        <v>349</v>
      </c>
      <c r="F186" s="515">
        <v>260</v>
      </c>
      <c r="G186" s="515">
        <v>609</v>
      </c>
      <c r="H186" s="515">
        <v>59351</v>
      </c>
      <c r="I186" s="515">
        <v>80296</v>
      </c>
      <c r="J186" s="515">
        <v>139647</v>
      </c>
      <c r="K186" s="515">
        <v>766276</v>
      </c>
      <c r="L186" s="515">
        <v>634243</v>
      </c>
      <c r="M186" s="515">
        <v>1400519</v>
      </c>
      <c r="N186" s="515">
        <v>2253</v>
      </c>
      <c r="O186" s="515">
        <v>2268</v>
      </c>
      <c r="P186" s="515">
        <v>4521</v>
      </c>
      <c r="Q186" s="515">
        <v>85272</v>
      </c>
      <c r="R186" s="515">
        <v>12848</v>
      </c>
      <c r="S186" s="515">
        <v>98120</v>
      </c>
      <c r="T186" s="515">
        <v>2481</v>
      </c>
      <c r="U186" s="515">
        <v>2746</v>
      </c>
      <c r="V186" s="515">
        <v>5227</v>
      </c>
      <c r="W186" s="515">
        <v>5269</v>
      </c>
      <c r="X186" s="515">
        <v>3331</v>
      </c>
      <c r="Y186" s="515">
        <v>8600</v>
      </c>
      <c r="Z186" s="515">
        <f t="shared" ref="Z186:AB186" si="57">B186+E186+H186+K186+N186+Q186+T186+W186</f>
        <v>923040</v>
      </c>
      <c r="AA186" s="515">
        <f t="shared" si="57"/>
        <v>738337</v>
      </c>
      <c r="AB186" s="515">
        <f t="shared" si="57"/>
        <v>1661377</v>
      </c>
    </row>
    <row r="187" spans="1:28" ht="15">
      <c r="A187" s="537" t="s">
        <v>43</v>
      </c>
      <c r="B187" s="538"/>
      <c r="C187" s="539"/>
      <c r="D187" s="539"/>
      <c r="E187" s="539"/>
      <c r="F187" s="539"/>
      <c r="G187" s="539"/>
      <c r="H187" s="539"/>
      <c r="I187" s="539"/>
      <c r="J187" s="540"/>
      <c r="K187" s="538"/>
      <c r="L187" s="539"/>
      <c r="M187" s="539"/>
      <c r="N187" s="539"/>
      <c r="O187" s="539"/>
      <c r="P187" s="539"/>
      <c r="Q187" s="539"/>
      <c r="R187" s="539"/>
      <c r="S187" s="540"/>
      <c r="T187" s="538"/>
      <c r="U187" s="539"/>
      <c r="V187" s="539"/>
      <c r="W187" s="539"/>
      <c r="X187" s="539"/>
      <c r="Y187" s="539"/>
      <c r="Z187" s="539"/>
      <c r="AA187" s="539"/>
      <c r="AB187" s="539"/>
    </row>
    <row r="188" spans="1:28">
      <c r="A188" s="541" t="s">
        <v>832</v>
      </c>
      <c r="B188" s="154">
        <v>215</v>
      </c>
      <c r="C188" s="154">
        <v>195</v>
      </c>
      <c r="D188" s="154">
        <v>410</v>
      </c>
      <c r="E188" s="154">
        <v>43</v>
      </c>
      <c r="F188" s="154">
        <v>44</v>
      </c>
      <c r="G188" s="154">
        <v>87</v>
      </c>
      <c r="H188" s="154">
        <v>1190</v>
      </c>
      <c r="I188" s="154">
        <v>1540</v>
      </c>
      <c r="J188" s="154">
        <v>2730</v>
      </c>
      <c r="K188" s="154">
        <v>8412</v>
      </c>
      <c r="L188" s="154">
        <v>9660</v>
      </c>
      <c r="M188" s="154">
        <v>18072</v>
      </c>
      <c r="N188" s="154">
        <v>0</v>
      </c>
      <c r="O188" s="154">
        <v>0</v>
      </c>
      <c r="P188" s="154">
        <v>0</v>
      </c>
      <c r="Q188" s="154">
        <v>1015</v>
      </c>
      <c r="R188" s="154">
        <v>1053</v>
      </c>
      <c r="S188" s="154">
        <v>2068</v>
      </c>
      <c r="T188" s="154">
        <v>34</v>
      </c>
      <c r="U188" s="154">
        <v>6</v>
      </c>
      <c r="V188" s="154">
        <v>40</v>
      </c>
      <c r="W188" s="154">
        <v>120</v>
      </c>
      <c r="X188" s="154">
        <v>198</v>
      </c>
      <c r="Y188" s="154">
        <v>318</v>
      </c>
      <c r="Z188" s="154">
        <v>11029</v>
      </c>
      <c r="AA188" s="154">
        <v>12696</v>
      </c>
      <c r="AB188" s="154">
        <v>23725</v>
      </c>
    </row>
    <row r="189" spans="1:28">
      <c r="A189" s="541" t="s">
        <v>831</v>
      </c>
      <c r="B189" s="515">
        <v>211</v>
      </c>
      <c r="C189" s="515">
        <v>188</v>
      </c>
      <c r="D189" s="515">
        <v>399</v>
      </c>
      <c r="E189" s="515">
        <v>37</v>
      </c>
      <c r="F189" s="515">
        <v>42</v>
      </c>
      <c r="G189" s="515">
        <v>79</v>
      </c>
      <c r="H189" s="515">
        <v>1061</v>
      </c>
      <c r="I189" s="515">
        <v>1264</v>
      </c>
      <c r="J189" s="515">
        <v>2325</v>
      </c>
      <c r="K189" s="515">
        <v>8156</v>
      </c>
      <c r="L189" s="515">
        <v>9367</v>
      </c>
      <c r="M189" s="515">
        <v>17523</v>
      </c>
      <c r="N189" s="515">
        <v>0</v>
      </c>
      <c r="O189" s="515">
        <v>0</v>
      </c>
      <c r="P189" s="515">
        <v>0</v>
      </c>
      <c r="Q189" s="515">
        <v>1016</v>
      </c>
      <c r="R189" s="515">
        <v>1024</v>
      </c>
      <c r="S189" s="515">
        <v>2040</v>
      </c>
      <c r="T189" s="515">
        <v>37</v>
      </c>
      <c r="U189" s="515">
        <v>10</v>
      </c>
      <c r="V189" s="515">
        <v>47</v>
      </c>
      <c r="W189" s="515">
        <v>110</v>
      </c>
      <c r="X189" s="515">
        <v>185</v>
      </c>
      <c r="Y189" s="515">
        <v>295</v>
      </c>
      <c r="Z189" s="515">
        <v>10628</v>
      </c>
      <c r="AA189" s="515">
        <v>12080</v>
      </c>
      <c r="AB189" s="515">
        <v>22708</v>
      </c>
    </row>
    <row r="190" spans="1:28">
      <c r="A190" s="541" t="s">
        <v>830</v>
      </c>
      <c r="B190" s="545">
        <v>77</v>
      </c>
      <c r="C190" s="545">
        <v>53</v>
      </c>
      <c r="D190" s="559">
        <v>130</v>
      </c>
      <c r="E190" s="545">
        <v>9</v>
      </c>
      <c r="F190" s="545">
        <v>17</v>
      </c>
      <c r="G190" s="559">
        <v>26</v>
      </c>
      <c r="H190" s="543">
        <v>1001.5255862399313</v>
      </c>
      <c r="I190" s="543">
        <v>1376.1687979276207</v>
      </c>
      <c r="J190" s="563">
        <v>2377.694384167552</v>
      </c>
      <c r="K190" s="543">
        <v>7129.2705217815437</v>
      </c>
      <c r="L190" s="543">
        <v>8897.4102397508395</v>
      </c>
      <c r="M190" s="563">
        <v>16026.680761532381</v>
      </c>
      <c r="N190" s="545">
        <v>0</v>
      </c>
      <c r="O190" s="545">
        <v>0</v>
      </c>
      <c r="P190" s="559">
        <v>0</v>
      </c>
      <c r="Q190" s="545">
        <v>900</v>
      </c>
      <c r="R190" s="545">
        <v>952</v>
      </c>
      <c r="S190" s="559">
        <v>1852</v>
      </c>
      <c r="T190" s="545">
        <v>6</v>
      </c>
      <c r="U190" s="545">
        <v>14</v>
      </c>
      <c r="V190" s="559">
        <v>20</v>
      </c>
      <c r="W190" s="545">
        <v>117</v>
      </c>
      <c r="X190" s="545">
        <v>177</v>
      </c>
      <c r="Y190" s="559">
        <v>294</v>
      </c>
      <c r="Z190" s="200">
        <v>9239.7961080214754</v>
      </c>
      <c r="AA190" s="200">
        <v>11486.579037678461</v>
      </c>
      <c r="AB190" s="563">
        <v>20726.375145699934</v>
      </c>
    </row>
    <row r="191" spans="1:28">
      <c r="A191" s="514" t="s">
        <v>829</v>
      </c>
      <c r="B191" s="560">
        <v>107</v>
      </c>
      <c r="C191" s="560">
        <v>89</v>
      </c>
      <c r="D191" s="561">
        <v>196</v>
      </c>
      <c r="E191" s="560">
        <v>72</v>
      </c>
      <c r="F191" s="560">
        <v>75</v>
      </c>
      <c r="G191" s="561">
        <v>147</v>
      </c>
      <c r="H191" s="560">
        <v>774</v>
      </c>
      <c r="I191" s="560">
        <v>1031</v>
      </c>
      <c r="J191" s="561">
        <v>1805</v>
      </c>
      <c r="K191" s="560">
        <v>6699</v>
      </c>
      <c r="L191" s="560">
        <v>7760</v>
      </c>
      <c r="M191" s="561">
        <v>14459</v>
      </c>
      <c r="N191" s="560">
        <v>0</v>
      </c>
      <c r="O191" s="560">
        <v>0</v>
      </c>
      <c r="P191" s="561">
        <v>0</v>
      </c>
      <c r="Q191" s="560">
        <v>816</v>
      </c>
      <c r="R191" s="560">
        <v>675</v>
      </c>
      <c r="S191" s="561">
        <v>1491</v>
      </c>
      <c r="T191" s="560">
        <v>9</v>
      </c>
      <c r="U191" s="560">
        <v>37</v>
      </c>
      <c r="V191" s="561">
        <v>46</v>
      </c>
      <c r="W191" s="560">
        <v>153</v>
      </c>
      <c r="X191" s="560">
        <v>184</v>
      </c>
      <c r="Y191" s="561">
        <v>337</v>
      </c>
      <c r="Z191" s="562">
        <v>8630</v>
      </c>
      <c r="AA191" s="562">
        <v>9851</v>
      </c>
      <c r="AB191" s="561">
        <f t="shared" ref="AB191" si="58">Z191+AA191</f>
        <v>18481</v>
      </c>
    </row>
    <row r="192" spans="1:28">
      <c r="A192" s="514" t="s">
        <v>828</v>
      </c>
      <c r="B192" s="515">
        <v>27</v>
      </c>
      <c r="C192" s="515">
        <v>31</v>
      </c>
      <c r="D192" s="515">
        <v>58</v>
      </c>
      <c r="E192" s="515">
        <v>68</v>
      </c>
      <c r="F192" s="515">
        <v>74</v>
      </c>
      <c r="G192" s="515">
        <v>142</v>
      </c>
      <c r="H192" s="515">
        <v>683</v>
      </c>
      <c r="I192" s="515">
        <v>894</v>
      </c>
      <c r="J192" s="515">
        <v>1577</v>
      </c>
      <c r="K192" s="515">
        <v>7287</v>
      </c>
      <c r="L192" s="515">
        <v>6384</v>
      </c>
      <c r="M192" s="515">
        <v>13671</v>
      </c>
      <c r="N192" s="515">
        <v>1</v>
      </c>
      <c r="O192" s="515">
        <v>0</v>
      </c>
      <c r="P192" s="515">
        <v>1</v>
      </c>
      <c r="Q192" s="515">
        <v>728</v>
      </c>
      <c r="R192" s="515">
        <v>470</v>
      </c>
      <c r="S192" s="515">
        <v>1198</v>
      </c>
      <c r="T192" s="515">
        <v>11</v>
      </c>
      <c r="U192" s="515">
        <v>52</v>
      </c>
      <c r="V192" s="515">
        <v>63</v>
      </c>
      <c r="W192" s="515">
        <v>304</v>
      </c>
      <c r="X192" s="515">
        <v>293</v>
      </c>
      <c r="Y192" s="515">
        <v>597</v>
      </c>
      <c r="Z192" s="515">
        <f t="shared" ref="Z192:AB192" si="59">B192+E192+H192+K192+N192+Q192+T192+W192</f>
        <v>9109</v>
      </c>
      <c r="AA192" s="515">
        <f t="shared" si="59"/>
        <v>8198</v>
      </c>
      <c r="AB192" s="515">
        <f t="shared" si="59"/>
        <v>17307</v>
      </c>
    </row>
    <row r="193" spans="1:28" ht="15">
      <c r="A193" s="537" t="s">
        <v>44</v>
      </c>
      <c r="B193" s="538"/>
      <c r="C193" s="539"/>
      <c r="D193" s="539"/>
      <c r="E193" s="539"/>
      <c r="F193" s="539"/>
      <c r="G193" s="539"/>
      <c r="H193" s="539"/>
      <c r="I193" s="539"/>
      <c r="J193" s="540"/>
      <c r="K193" s="538"/>
      <c r="L193" s="539"/>
      <c r="M193" s="539"/>
      <c r="N193" s="539"/>
      <c r="O193" s="539"/>
      <c r="P193" s="539"/>
      <c r="Q193" s="539"/>
      <c r="R193" s="539"/>
      <c r="S193" s="540"/>
      <c r="T193" s="538"/>
      <c r="U193" s="539"/>
      <c r="V193" s="539"/>
      <c r="W193" s="539"/>
      <c r="X193" s="539"/>
      <c r="Y193" s="539"/>
      <c r="Z193" s="539"/>
      <c r="AA193" s="539"/>
      <c r="AB193" s="539"/>
    </row>
    <row r="194" spans="1:28">
      <c r="A194" s="541" t="s">
        <v>832</v>
      </c>
      <c r="B194" s="154">
        <v>15816</v>
      </c>
      <c r="C194" s="154">
        <v>14823</v>
      </c>
      <c r="D194" s="154">
        <v>30639</v>
      </c>
      <c r="E194" s="154">
        <v>2457</v>
      </c>
      <c r="F194" s="154">
        <v>7298</v>
      </c>
      <c r="G194" s="154">
        <v>9755</v>
      </c>
      <c r="H194" s="154">
        <v>101932</v>
      </c>
      <c r="I194" s="154">
        <v>180859</v>
      </c>
      <c r="J194" s="154">
        <v>282791</v>
      </c>
      <c r="K194" s="154">
        <v>1094717</v>
      </c>
      <c r="L194" s="154">
        <v>1194788</v>
      </c>
      <c r="M194" s="154">
        <v>2289505</v>
      </c>
      <c r="N194" s="154">
        <v>1365</v>
      </c>
      <c r="O194" s="154">
        <v>1751</v>
      </c>
      <c r="P194" s="154">
        <v>3116</v>
      </c>
      <c r="Q194" s="154">
        <v>279043</v>
      </c>
      <c r="R194" s="154">
        <v>55406</v>
      </c>
      <c r="S194" s="154">
        <v>334449</v>
      </c>
      <c r="T194" s="154">
        <v>3921</v>
      </c>
      <c r="U194" s="154">
        <v>6572</v>
      </c>
      <c r="V194" s="154">
        <v>10493</v>
      </c>
      <c r="W194" s="154">
        <v>11312</v>
      </c>
      <c r="X194" s="154">
        <v>10429</v>
      </c>
      <c r="Y194" s="154">
        <v>21741</v>
      </c>
      <c r="Z194" s="154">
        <v>1510563</v>
      </c>
      <c r="AA194" s="154">
        <v>1471926</v>
      </c>
      <c r="AB194" s="154">
        <v>2982489</v>
      </c>
    </row>
    <row r="195" spans="1:28">
      <c r="A195" s="541" t="s">
        <v>831</v>
      </c>
      <c r="B195" s="515">
        <v>13699</v>
      </c>
      <c r="C195" s="515">
        <v>12121</v>
      </c>
      <c r="D195" s="515">
        <v>25820</v>
      </c>
      <c r="E195" s="515">
        <v>3281</v>
      </c>
      <c r="F195" s="515">
        <v>9144</v>
      </c>
      <c r="G195" s="515">
        <v>12425</v>
      </c>
      <c r="H195" s="515">
        <v>110199</v>
      </c>
      <c r="I195" s="515">
        <v>193722</v>
      </c>
      <c r="J195" s="515">
        <v>303921</v>
      </c>
      <c r="K195" s="515">
        <v>1085926</v>
      </c>
      <c r="L195" s="515">
        <v>1178654</v>
      </c>
      <c r="M195" s="515">
        <v>2264580</v>
      </c>
      <c r="N195" s="515">
        <v>1515</v>
      </c>
      <c r="O195" s="515">
        <v>1873</v>
      </c>
      <c r="P195" s="515">
        <v>3388</v>
      </c>
      <c r="Q195" s="515">
        <v>308429</v>
      </c>
      <c r="R195" s="515">
        <v>58445</v>
      </c>
      <c r="S195" s="515">
        <v>366874</v>
      </c>
      <c r="T195" s="515">
        <v>3496</v>
      </c>
      <c r="U195" s="515">
        <v>6747</v>
      </c>
      <c r="V195" s="515">
        <v>10243</v>
      </c>
      <c r="W195" s="515">
        <v>10871</v>
      </c>
      <c r="X195" s="515">
        <v>9442</v>
      </c>
      <c r="Y195" s="515">
        <v>20313</v>
      </c>
      <c r="Z195" s="515">
        <v>1537416</v>
      </c>
      <c r="AA195" s="515">
        <v>1470148</v>
      </c>
      <c r="AB195" s="515">
        <v>3007564</v>
      </c>
    </row>
    <row r="196" spans="1:28">
      <c r="A196" s="541" t="s">
        <v>830</v>
      </c>
      <c r="B196" s="545">
        <v>16267</v>
      </c>
      <c r="C196" s="545">
        <v>13511</v>
      </c>
      <c r="D196" s="559">
        <v>29778</v>
      </c>
      <c r="E196" s="545">
        <v>4424</v>
      </c>
      <c r="F196" s="545">
        <v>12755</v>
      </c>
      <c r="G196" s="559">
        <v>17179</v>
      </c>
      <c r="H196" s="543">
        <v>98084.635275933455</v>
      </c>
      <c r="I196" s="543">
        <v>173485.97833341575</v>
      </c>
      <c r="J196" s="563">
        <v>271570.61360934924</v>
      </c>
      <c r="K196" s="543">
        <v>1072395.2952759322</v>
      </c>
      <c r="L196" s="543">
        <v>1177662.0367209937</v>
      </c>
      <c r="M196" s="563">
        <v>2250057.3319969256</v>
      </c>
      <c r="N196" s="545">
        <v>1605</v>
      </c>
      <c r="O196" s="545">
        <v>1913</v>
      </c>
      <c r="P196" s="559">
        <v>3518</v>
      </c>
      <c r="Q196" s="545">
        <v>313156</v>
      </c>
      <c r="R196" s="545">
        <v>62768</v>
      </c>
      <c r="S196" s="559">
        <v>375924</v>
      </c>
      <c r="T196" s="545">
        <v>2736</v>
      </c>
      <c r="U196" s="545">
        <v>7326</v>
      </c>
      <c r="V196" s="559">
        <v>10062</v>
      </c>
      <c r="W196" s="545">
        <v>9199</v>
      </c>
      <c r="X196" s="545">
        <v>7843</v>
      </c>
      <c r="Y196" s="559">
        <v>17042</v>
      </c>
      <c r="Z196" s="200">
        <v>1517866.9305518656</v>
      </c>
      <c r="AA196" s="209">
        <v>1457264.0150544094</v>
      </c>
      <c r="AB196" s="563">
        <v>2975130.945606275</v>
      </c>
    </row>
    <row r="197" spans="1:28">
      <c r="A197" s="514" t="s">
        <v>829</v>
      </c>
      <c r="B197" s="560">
        <v>16363</v>
      </c>
      <c r="C197" s="560">
        <v>12321</v>
      </c>
      <c r="D197" s="561">
        <v>28684</v>
      </c>
      <c r="E197" s="560">
        <v>5850</v>
      </c>
      <c r="F197" s="560">
        <v>14811</v>
      </c>
      <c r="G197" s="561">
        <v>20661</v>
      </c>
      <c r="H197" s="560">
        <v>100277</v>
      </c>
      <c r="I197" s="560">
        <v>163173</v>
      </c>
      <c r="J197" s="561">
        <v>263450</v>
      </c>
      <c r="K197" s="560">
        <v>1041425</v>
      </c>
      <c r="L197" s="560">
        <v>1096983</v>
      </c>
      <c r="M197" s="561">
        <v>2138408</v>
      </c>
      <c r="N197" s="560">
        <v>2048</v>
      </c>
      <c r="O197" s="560">
        <v>1686</v>
      </c>
      <c r="P197" s="561">
        <v>3734</v>
      </c>
      <c r="Q197" s="560">
        <v>323116</v>
      </c>
      <c r="R197" s="560">
        <v>66461</v>
      </c>
      <c r="S197" s="561">
        <v>389577</v>
      </c>
      <c r="T197" s="560">
        <v>2401</v>
      </c>
      <c r="U197" s="560">
        <v>9088</v>
      </c>
      <c r="V197" s="561">
        <v>11489</v>
      </c>
      <c r="W197" s="560">
        <v>8115</v>
      </c>
      <c r="X197" s="560">
        <v>6655</v>
      </c>
      <c r="Y197" s="561">
        <v>14770</v>
      </c>
      <c r="Z197" s="562">
        <v>1499595</v>
      </c>
      <c r="AA197" s="562">
        <v>1371178</v>
      </c>
      <c r="AB197" s="561">
        <f t="shared" ref="AB197" si="60">Z197+AA197</f>
        <v>2870773</v>
      </c>
    </row>
    <row r="198" spans="1:28">
      <c r="A198" s="514" t="s">
        <v>828</v>
      </c>
      <c r="B198" s="515">
        <v>13059</v>
      </c>
      <c r="C198" s="515">
        <v>9162</v>
      </c>
      <c r="D198" s="515">
        <v>22221</v>
      </c>
      <c r="E198" s="515">
        <v>6405</v>
      </c>
      <c r="F198" s="515">
        <v>13104</v>
      </c>
      <c r="G198" s="515">
        <v>19509</v>
      </c>
      <c r="H198" s="515">
        <v>106645</v>
      </c>
      <c r="I198" s="515">
        <v>159301</v>
      </c>
      <c r="J198" s="515">
        <v>265946</v>
      </c>
      <c r="K198" s="515">
        <v>1010296</v>
      </c>
      <c r="L198" s="515">
        <v>1034481</v>
      </c>
      <c r="M198" s="515">
        <v>2044777</v>
      </c>
      <c r="N198" s="515">
        <v>2090</v>
      </c>
      <c r="O198" s="515">
        <v>1594</v>
      </c>
      <c r="P198" s="515">
        <v>3684</v>
      </c>
      <c r="Q198" s="515">
        <v>320452</v>
      </c>
      <c r="R198" s="515">
        <v>65781</v>
      </c>
      <c r="S198" s="515">
        <v>386233</v>
      </c>
      <c r="T198" s="515">
        <v>1897</v>
      </c>
      <c r="U198" s="515">
        <v>7349</v>
      </c>
      <c r="V198" s="515">
        <v>9246</v>
      </c>
      <c r="W198" s="515">
        <v>6591</v>
      </c>
      <c r="X198" s="515">
        <v>5249</v>
      </c>
      <c r="Y198" s="515">
        <v>11840</v>
      </c>
      <c r="Z198" s="515">
        <f t="shared" ref="Z198:AB198" si="61">B198+E198+H198+K198+N198+Q198+T198+W198</f>
        <v>1467435</v>
      </c>
      <c r="AA198" s="515">
        <f t="shared" si="61"/>
        <v>1296021</v>
      </c>
      <c r="AB198" s="515">
        <f t="shared" si="61"/>
        <v>2763456</v>
      </c>
    </row>
    <row r="199" spans="1:28" ht="15">
      <c r="A199" s="537" t="s">
        <v>134</v>
      </c>
      <c r="B199" s="538"/>
      <c r="C199" s="539"/>
      <c r="D199" s="539"/>
      <c r="E199" s="539"/>
      <c r="F199" s="539"/>
      <c r="G199" s="539"/>
      <c r="H199" s="539"/>
      <c r="I199" s="539"/>
      <c r="J199" s="540"/>
      <c r="K199" s="538"/>
      <c r="L199" s="539"/>
      <c r="M199" s="539"/>
      <c r="N199" s="539"/>
      <c r="O199" s="539"/>
      <c r="P199" s="539"/>
      <c r="Q199" s="539"/>
      <c r="R199" s="539"/>
      <c r="S199" s="540"/>
      <c r="T199" s="538"/>
      <c r="U199" s="539"/>
      <c r="V199" s="539"/>
      <c r="W199" s="539"/>
      <c r="X199" s="539"/>
      <c r="Y199" s="539"/>
      <c r="Z199" s="539"/>
      <c r="AA199" s="539"/>
      <c r="AB199" s="539"/>
    </row>
    <row r="200" spans="1:28">
      <c r="A200" s="541" t="s">
        <v>832</v>
      </c>
      <c r="B200" s="154">
        <v>3507</v>
      </c>
      <c r="C200" s="154">
        <v>2001</v>
      </c>
      <c r="D200" s="154">
        <v>5508</v>
      </c>
      <c r="E200" s="154">
        <v>203</v>
      </c>
      <c r="F200" s="154">
        <v>170</v>
      </c>
      <c r="G200" s="154">
        <v>373</v>
      </c>
      <c r="H200" s="154">
        <v>65433</v>
      </c>
      <c r="I200" s="154">
        <v>82606</v>
      </c>
      <c r="J200" s="154">
        <v>148039</v>
      </c>
      <c r="K200" s="154">
        <v>511433</v>
      </c>
      <c r="L200" s="154">
        <v>552425</v>
      </c>
      <c r="M200" s="154">
        <v>1063858</v>
      </c>
      <c r="N200" s="154">
        <v>1628</v>
      </c>
      <c r="O200" s="154">
        <v>1270</v>
      </c>
      <c r="P200" s="154">
        <v>2898</v>
      </c>
      <c r="Q200" s="154">
        <v>60259</v>
      </c>
      <c r="R200" s="154">
        <v>45165</v>
      </c>
      <c r="S200" s="154">
        <v>105424</v>
      </c>
      <c r="T200" s="154">
        <v>686</v>
      </c>
      <c r="U200" s="154">
        <v>825</v>
      </c>
      <c r="V200" s="154">
        <v>1511</v>
      </c>
      <c r="W200" s="154">
        <v>3629</v>
      </c>
      <c r="X200" s="154">
        <v>2601</v>
      </c>
      <c r="Y200" s="154">
        <v>6230</v>
      </c>
      <c r="Z200" s="154">
        <v>646778</v>
      </c>
      <c r="AA200" s="154">
        <v>687063</v>
      </c>
      <c r="AB200" s="154">
        <v>1333841</v>
      </c>
    </row>
    <row r="201" spans="1:28">
      <c r="A201" s="541" t="s">
        <v>831</v>
      </c>
      <c r="B201" s="515">
        <v>2191</v>
      </c>
      <c r="C201" s="515">
        <v>1239</v>
      </c>
      <c r="D201" s="515">
        <v>3430</v>
      </c>
      <c r="E201" s="515">
        <v>106</v>
      </c>
      <c r="F201" s="515">
        <v>123</v>
      </c>
      <c r="G201" s="515">
        <v>229</v>
      </c>
      <c r="H201" s="515">
        <v>69250</v>
      </c>
      <c r="I201" s="515">
        <v>85725</v>
      </c>
      <c r="J201" s="515">
        <v>154975</v>
      </c>
      <c r="K201" s="515">
        <v>529253</v>
      </c>
      <c r="L201" s="515">
        <v>559635</v>
      </c>
      <c r="M201" s="515">
        <v>1088888</v>
      </c>
      <c r="N201" s="515">
        <v>1280</v>
      </c>
      <c r="O201" s="515">
        <v>1012</v>
      </c>
      <c r="P201" s="515">
        <v>2292</v>
      </c>
      <c r="Q201" s="515">
        <v>70370</v>
      </c>
      <c r="R201" s="515">
        <v>47463</v>
      </c>
      <c r="S201" s="515">
        <v>117833</v>
      </c>
      <c r="T201" s="515">
        <v>696</v>
      </c>
      <c r="U201" s="515">
        <v>533</v>
      </c>
      <c r="V201" s="515">
        <v>1229</v>
      </c>
      <c r="W201" s="515">
        <v>3113</v>
      </c>
      <c r="X201" s="515">
        <v>2067</v>
      </c>
      <c r="Y201" s="515">
        <v>5180</v>
      </c>
      <c r="Z201" s="515">
        <v>676259</v>
      </c>
      <c r="AA201" s="515">
        <v>697797</v>
      </c>
      <c r="AB201" s="515">
        <v>1374056</v>
      </c>
    </row>
    <row r="202" spans="1:28">
      <c r="A202" s="541" t="s">
        <v>830</v>
      </c>
      <c r="B202" s="545">
        <v>3252</v>
      </c>
      <c r="C202" s="545">
        <v>1632</v>
      </c>
      <c r="D202" s="559">
        <v>4884</v>
      </c>
      <c r="E202" s="545">
        <v>454</v>
      </c>
      <c r="F202" s="545">
        <v>340</v>
      </c>
      <c r="G202" s="559">
        <v>794</v>
      </c>
      <c r="H202" s="543">
        <v>76279.159475908527</v>
      </c>
      <c r="I202" s="543">
        <v>88296.353393294805</v>
      </c>
      <c r="J202" s="563">
        <v>164575.51286920335</v>
      </c>
      <c r="K202" s="543">
        <v>549751.48245251458</v>
      </c>
      <c r="L202" s="543">
        <v>518250.00452087668</v>
      </c>
      <c r="M202" s="563">
        <v>1068001.4869733914</v>
      </c>
      <c r="N202" s="545">
        <v>1222</v>
      </c>
      <c r="O202" s="545">
        <v>745</v>
      </c>
      <c r="P202" s="559">
        <v>1967</v>
      </c>
      <c r="Q202" s="545">
        <v>77559</v>
      </c>
      <c r="R202" s="545">
        <v>49160</v>
      </c>
      <c r="S202" s="559">
        <v>126719</v>
      </c>
      <c r="T202" s="545">
        <v>73</v>
      </c>
      <c r="U202" s="545">
        <v>455</v>
      </c>
      <c r="V202" s="559">
        <v>528</v>
      </c>
      <c r="W202" s="545">
        <v>2945</v>
      </c>
      <c r="X202" s="545">
        <v>2005</v>
      </c>
      <c r="Y202" s="559">
        <v>4950</v>
      </c>
      <c r="Z202" s="200">
        <v>711535.64192842308</v>
      </c>
      <c r="AA202" s="200">
        <v>660883.35791417153</v>
      </c>
      <c r="AB202" s="559">
        <v>1372418.9998425948</v>
      </c>
    </row>
    <row r="203" spans="1:28">
      <c r="A203" s="514" t="s">
        <v>829</v>
      </c>
      <c r="B203" s="560">
        <v>2760</v>
      </c>
      <c r="C203" s="560">
        <v>1440</v>
      </c>
      <c r="D203" s="561">
        <v>4200</v>
      </c>
      <c r="E203" s="560">
        <v>384</v>
      </c>
      <c r="F203" s="560">
        <v>230</v>
      </c>
      <c r="G203" s="561">
        <v>614</v>
      </c>
      <c r="H203" s="560">
        <v>84340</v>
      </c>
      <c r="I203" s="560">
        <v>81846</v>
      </c>
      <c r="J203" s="561">
        <v>166186</v>
      </c>
      <c r="K203" s="560">
        <v>566916</v>
      </c>
      <c r="L203" s="560">
        <v>520211</v>
      </c>
      <c r="M203" s="561">
        <v>1087127</v>
      </c>
      <c r="N203" s="560">
        <v>882</v>
      </c>
      <c r="O203" s="560">
        <v>514</v>
      </c>
      <c r="P203" s="561">
        <v>1396</v>
      </c>
      <c r="Q203" s="560">
        <v>79588</v>
      </c>
      <c r="R203" s="560">
        <v>47316</v>
      </c>
      <c r="S203" s="561">
        <v>126904</v>
      </c>
      <c r="T203" s="560">
        <v>226</v>
      </c>
      <c r="U203" s="560">
        <v>627</v>
      </c>
      <c r="V203" s="561">
        <v>853</v>
      </c>
      <c r="W203" s="560">
        <v>2589</v>
      </c>
      <c r="X203" s="560">
        <v>1760</v>
      </c>
      <c r="Y203" s="561">
        <v>4349</v>
      </c>
      <c r="Z203" s="562">
        <v>737685</v>
      </c>
      <c r="AA203" s="562">
        <v>653944</v>
      </c>
      <c r="AB203" s="561">
        <f t="shared" ref="AB203" si="62">Z203+AA203</f>
        <v>1391629</v>
      </c>
    </row>
    <row r="204" spans="1:28">
      <c r="A204" s="514" t="s">
        <v>828</v>
      </c>
      <c r="B204" s="515">
        <v>2710</v>
      </c>
      <c r="C204" s="515">
        <v>1423</v>
      </c>
      <c r="D204" s="515">
        <v>4133</v>
      </c>
      <c r="E204" s="515">
        <v>368</v>
      </c>
      <c r="F204" s="515">
        <v>215</v>
      </c>
      <c r="G204" s="515">
        <v>583</v>
      </c>
      <c r="H204" s="515">
        <v>90137</v>
      </c>
      <c r="I204" s="515">
        <v>73250</v>
      </c>
      <c r="J204" s="515">
        <v>163387</v>
      </c>
      <c r="K204" s="515">
        <v>542998</v>
      </c>
      <c r="L204" s="515">
        <v>475884</v>
      </c>
      <c r="M204" s="515">
        <v>1018882</v>
      </c>
      <c r="N204" s="515">
        <v>811</v>
      </c>
      <c r="O204" s="515">
        <v>514</v>
      </c>
      <c r="P204" s="515">
        <v>1325</v>
      </c>
      <c r="Q204" s="515">
        <v>57124</v>
      </c>
      <c r="R204" s="515">
        <v>37316</v>
      </c>
      <c r="S204" s="515">
        <v>94440</v>
      </c>
      <c r="T204" s="515">
        <v>235</v>
      </c>
      <c r="U204" s="515">
        <v>499</v>
      </c>
      <c r="V204" s="515">
        <v>734</v>
      </c>
      <c r="W204" s="515">
        <v>3006</v>
      </c>
      <c r="X204" s="515">
        <v>2158</v>
      </c>
      <c r="Y204" s="515">
        <v>5164</v>
      </c>
      <c r="Z204" s="515">
        <v>795790</v>
      </c>
      <c r="AA204" s="515">
        <v>678445</v>
      </c>
      <c r="AB204" s="515">
        <v>1474235</v>
      </c>
    </row>
    <row r="205" spans="1:28" ht="15">
      <c r="A205" s="537" t="s">
        <v>45</v>
      </c>
      <c r="B205" s="538"/>
      <c r="C205" s="539"/>
      <c r="D205" s="539"/>
      <c r="E205" s="539"/>
      <c r="F205" s="539"/>
      <c r="G205" s="539"/>
      <c r="H205" s="539"/>
      <c r="I205" s="539"/>
      <c r="J205" s="540"/>
      <c r="K205" s="538"/>
      <c r="L205" s="539"/>
      <c r="M205" s="539"/>
      <c r="N205" s="539"/>
      <c r="O205" s="539"/>
      <c r="P205" s="539"/>
      <c r="Q205" s="539"/>
      <c r="R205" s="539"/>
      <c r="S205" s="540"/>
      <c r="T205" s="538"/>
      <c r="U205" s="539"/>
      <c r="V205" s="539"/>
      <c r="W205" s="539"/>
      <c r="X205" s="539"/>
      <c r="Y205" s="539"/>
      <c r="Z205" s="539"/>
      <c r="AA205" s="539"/>
      <c r="AB205" s="539"/>
    </row>
    <row r="206" spans="1:28">
      <c r="A206" s="541" t="s">
        <v>832</v>
      </c>
      <c r="B206" s="154">
        <v>388</v>
      </c>
      <c r="C206" s="154">
        <v>227</v>
      </c>
      <c r="D206" s="154">
        <v>615</v>
      </c>
      <c r="E206" s="154">
        <v>0</v>
      </c>
      <c r="F206" s="154">
        <v>0</v>
      </c>
      <c r="G206" s="154">
        <v>0</v>
      </c>
      <c r="H206" s="154">
        <v>2136</v>
      </c>
      <c r="I206" s="154">
        <v>1932</v>
      </c>
      <c r="J206" s="154">
        <v>4068</v>
      </c>
      <c r="K206" s="154">
        <v>34858</v>
      </c>
      <c r="L206" s="154">
        <v>28462</v>
      </c>
      <c r="M206" s="154">
        <v>63320</v>
      </c>
      <c r="N206" s="154">
        <v>17</v>
      </c>
      <c r="O206" s="154">
        <v>46</v>
      </c>
      <c r="P206" s="154">
        <v>63</v>
      </c>
      <c r="Q206" s="154">
        <v>2256</v>
      </c>
      <c r="R206" s="154">
        <v>2109</v>
      </c>
      <c r="S206" s="154">
        <v>4365</v>
      </c>
      <c r="T206" s="154">
        <v>149</v>
      </c>
      <c r="U206" s="154">
        <v>221</v>
      </c>
      <c r="V206" s="154">
        <v>370</v>
      </c>
      <c r="W206" s="154">
        <v>396</v>
      </c>
      <c r="X206" s="154">
        <v>242</v>
      </c>
      <c r="Y206" s="154">
        <v>638</v>
      </c>
      <c r="Z206" s="154">
        <v>40200</v>
      </c>
      <c r="AA206" s="154">
        <v>33239</v>
      </c>
      <c r="AB206" s="154">
        <v>73439</v>
      </c>
    </row>
    <row r="207" spans="1:28">
      <c r="A207" s="541" t="s">
        <v>831</v>
      </c>
      <c r="B207" s="515">
        <v>147</v>
      </c>
      <c r="C207" s="515">
        <v>79</v>
      </c>
      <c r="D207" s="515">
        <v>226</v>
      </c>
      <c r="E207" s="515">
        <v>0</v>
      </c>
      <c r="F207" s="515">
        <v>0</v>
      </c>
      <c r="G207" s="515">
        <v>0</v>
      </c>
      <c r="H207" s="515">
        <v>2286</v>
      </c>
      <c r="I207" s="515">
        <v>1867</v>
      </c>
      <c r="J207" s="515">
        <v>4153</v>
      </c>
      <c r="K207" s="515">
        <v>32051</v>
      </c>
      <c r="L207" s="515">
        <v>27988</v>
      </c>
      <c r="M207" s="515">
        <v>60039</v>
      </c>
      <c r="N207" s="515">
        <v>52</v>
      </c>
      <c r="O207" s="515">
        <v>102</v>
      </c>
      <c r="P207" s="515">
        <v>154</v>
      </c>
      <c r="Q207" s="515">
        <v>2312</v>
      </c>
      <c r="R207" s="515">
        <v>1940</v>
      </c>
      <c r="S207" s="515">
        <v>4252</v>
      </c>
      <c r="T207" s="515">
        <v>68</v>
      </c>
      <c r="U207" s="515">
        <v>112</v>
      </c>
      <c r="V207" s="515">
        <v>180</v>
      </c>
      <c r="W207" s="515">
        <v>701</v>
      </c>
      <c r="X207" s="515">
        <v>427</v>
      </c>
      <c r="Y207" s="515">
        <v>1128</v>
      </c>
      <c r="Z207" s="515">
        <v>37617</v>
      </c>
      <c r="AA207" s="515">
        <v>32515</v>
      </c>
      <c r="AB207" s="515">
        <v>70132</v>
      </c>
    </row>
    <row r="208" spans="1:28">
      <c r="A208" s="541" t="s">
        <v>830</v>
      </c>
      <c r="B208" s="545">
        <v>75</v>
      </c>
      <c r="C208" s="545">
        <v>44</v>
      </c>
      <c r="D208" s="559">
        <v>119</v>
      </c>
      <c r="E208" s="545">
        <v>0</v>
      </c>
      <c r="F208" s="545">
        <v>0</v>
      </c>
      <c r="G208" s="559">
        <v>0</v>
      </c>
      <c r="H208" s="543">
        <v>1673.1709863507785</v>
      </c>
      <c r="I208" s="543">
        <v>1276.4273890851073</v>
      </c>
      <c r="J208" s="563">
        <v>2949.5983754358858</v>
      </c>
      <c r="K208" s="543">
        <v>31857.451037284685</v>
      </c>
      <c r="L208" s="543">
        <v>29014.342280968711</v>
      </c>
      <c r="M208" s="563">
        <v>60871.793318253389</v>
      </c>
      <c r="N208" s="545">
        <v>50</v>
      </c>
      <c r="O208" s="545">
        <v>66</v>
      </c>
      <c r="P208" s="559">
        <v>116</v>
      </c>
      <c r="Q208" s="545">
        <v>2159</v>
      </c>
      <c r="R208" s="545">
        <v>1781</v>
      </c>
      <c r="S208" s="559">
        <v>3940</v>
      </c>
      <c r="T208" s="545">
        <v>114</v>
      </c>
      <c r="U208" s="545">
        <v>108</v>
      </c>
      <c r="V208" s="559">
        <v>222</v>
      </c>
      <c r="W208" s="545">
        <v>563</v>
      </c>
      <c r="X208" s="545">
        <v>322</v>
      </c>
      <c r="Y208" s="559">
        <v>885</v>
      </c>
      <c r="Z208" s="200">
        <v>36491.622023635464</v>
      </c>
      <c r="AA208" s="200">
        <v>32611.769670053822</v>
      </c>
      <c r="AB208" s="563">
        <v>69103.391693689278</v>
      </c>
    </row>
    <row r="209" spans="1:28">
      <c r="A209" s="514" t="s">
        <v>829</v>
      </c>
      <c r="B209" s="560">
        <v>50</v>
      </c>
      <c r="C209" s="560">
        <v>32</v>
      </c>
      <c r="D209" s="561">
        <v>82</v>
      </c>
      <c r="E209" s="560">
        <v>0</v>
      </c>
      <c r="F209" s="560">
        <v>0</v>
      </c>
      <c r="G209" s="561">
        <v>0</v>
      </c>
      <c r="H209" s="560">
        <v>1858</v>
      </c>
      <c r="I209" s="560">
        <v>1386</v>
      </c>
      <c r="J209" s="561">
        <v>3244</v>
      </c>
      <c r="K209" s="560">
        <v>34293</v>
      </c>
      <c r="L209" s="560">
        <v>29052</v>
      </c>
      <c r="M209" s="561">
        <v>63345</v>
      </c>
      <c r="N209" s="560">
        <v>54</v>
      </c>
      <c r="O209" s="560">
        <v>102</v>
      </c>
      <c r="P209" s="561">
        <v>156</v>
      </c>
      <c r="Q209" s="560">
        <v>2183</v>
      </c>
      <c r="R209" s="560">
        <v>1661</v>
      </c>
      <c r="S209" s="561">
        <v>3844</v>
      </c>
      <c r="T209" s="560">
        <v>142</v>
      </c>
      <c r="U209" s="560">
        <v>80</v>
      </c>
      <c r="V209" s="561">
        <v>222</v>
      </c>
      <c r="W209" s="560">
        <v>272</v>
      </c>
      <c r="X209" s="560">
        <v>184</v>
      </c>
      <c r="Y209" s="561">
        <v>456</v>
      </c>
      <c r="Z209" s="562">
        <v>38852</v>
      </c>
      <c r="AA209" s="562">
        <v>32497</v>
      </c>
      <c r="AB209" s="561">
        <f t="shared" ref="AB209" si="63">Z209+AA209</f>
        <v>71349</v>
      </c>
    </row>
    <row r="210" spans="1:28">
      <c r="A210" s="514" t="s">
        <v>828</v>
      </c>
      <c r="B210" s="515">
        <v>289</v>
      </c>
      <c r="C210" s="515">
        <v>183</v>
      </c>
      <c r="D210" s="515">
        <v>472</v>
      </c>
      <c r="E210" s="515">
        <v>0</v>
      </c>
      <c r="F210" s="515">
        <v>0</v>
      </c>
      <c r="G210" s="515">
        <v>0</v>
      </c>
      <c r="H210" s="515">
        <v>2288</v>
      </c>
      <c r="I210" s="515">
        <v>1375</v>
      </c>
      <c r="J210" s="515">
        <v>3663</v>
      </c>
      <c r="K210" s="515">
        <v>31462</v>
      </c>
      <c r="L210" s="515">
        <v>23885</v>
      </c>
      <c r="M210" s="515">
        <v>55347</v>
      </c>
      <c r="N210" s="515">
        <v>41</v>
      </c>
      <c r="O210" s="515">
        <v>28</v>
      </c>
      <c r="P210" s="515">
        <v>69</v>
      </c>
      <c r="Q210" s="515">
        <v>1852</v>
      </c>
      <c r="R210" s="515">
        <v>1453</v>
      </c>
      <c r="S210" s="515">
        <v>3305</v>
      </c>
      <c r="T210" s="515">
        <v>130</v>
      </c>
      <c r="U210" s="515">
        <v>81</v>
      </c>
      <c r="V210" s="515">
        <v>211</v>
      </c>
      <c r="W210" s="515">
        <v>238</v>
      </c>
      <c r="X210" s="515">
        <v>160</v>
      </c>
      <c r="Y210" s="515">
        <v>398</v>
      </c>
      <c r="Z210" s="515">
        <f t="shared" ref="Z210:AB210" si="64">B210+E210+H210+K210+N210+Q210+T210+W210</f>
        <v>36300</v>
      </c>
      <c r="AA210" s="515">
        <f t="shared" si="64"/>
        <v>27165</v>
      </c>
      <c r="AB210" s="515">
        <f t="shared" si="64"/>
        <v>63465</v>
      </c>
    </row>
    <row r="211" spans="1:28" ht="15">
      <c r="A211" s="537" t="s">
        <v>47</v>
      </c>
      <c r="B211" s="538"/>
      <c r="C211" s="539"/>
      <c r="D211" s="539"/>
      <c r="E211" s="539"/>
      <c r="F211" s="539"/>
      <c r="G211" s="539"/>
      <c r="H211" s="539"/>
      <c r="I211" s="539"/>
      <c r="J211" s="540"/>
      <c r="K211" s="538"/>
      <c r="L211" s="539"/>
      <c r="M211" s="539"/>
      <c r="N211" s="539"/>
      <c r="O211" s="539"/>
      <c r="P211" s="539"/>
      <c r="Q211" s="539"/>
      <c r="R211" s="539"/>
      <c r="S211" s="540"/>
      <c r="T211" s="538"/>
      <c r="U211" s="539"/>
      <c r="V211" s="539"/>
      <c r="W211" s="539"/>
      <c r="X211" s="539"/>
      <c r="Y211" s="539"/>
      <c r="Z211" s="539"/>
      <c r="AA211" s="539"/>
      <c r="AB211" s="539"/>
    </row>
    <row r="212" spans="1:28">
      <c r="A212" s="541" t="s">
        <v>832</v>
      </c>
      <c r="B212" s="515">
        <v>13693</v>
      </c>
      <c r="C212" s="515">
        <v>10071</v>
      </c>
      <c r="D212" s="515">
        <v>23764</v>
      </c>
      <c r="E212" s="515">
        <v>217</v>
      </c>
      <c r="F212" s="515">
        <v>320</v>
      </c>
      <c r="G212" s="515">
        <v>537</v>
      </c>
      <c r="H212" s="515">
        <v>214150</v>
      </c>
      <c r="I212" s="515">
        <v>311564</v>
      </c>
      <c r="J212" s="515">
        <v>525714</v>
      </c>
      <c r="K212" s="515">
        <v>2594537</v>
      </c>
      <c r="L212" s="515">
        <v>2742207</v>
      </c>
      <c r="M212" s="515">
        <v>5336744</v>
      </c>
      <c r="N212" s="515">
        <v>7380</v>
      </c>
      <c r="O212" s="515">
        <v>5898</v>
      </c>
      <c r="P212" s="515">
        <v>13278</v>
      </c>
      <c r="Q212" s="515">
        <v>196971</v>
      </c>
      <c r="R212" s="515">
        <v>101043</v>
      </c>
      <c r="S212" s="515">
        <v>298014</v>
      </c>
      <c r="T212" s="515">
        <v>9178</v>
      </c>
      <c r="U212" s="515">
        <v>12891</v>
      </c>
      <c r="V212" s="515">
        <v>22069</v>
      </c>
      <c r="W212" s="515">
        <v>26504</v>
      </c>
      <c r="X212" s="515">
        <v>15133</v>
      </c>
      <c r="Y212" s="515">
        <v>41637</v>
      </c>
      <c r="Z212" s="515">
        <v>3062630</v>
      </c>
      <c r="AA212" s="515">
        <v>3199127</v>
      </c>
      <c r="AB212" s="515">
        <v>6261757</v>
      </c>
    </row>
    <row r="213" spans="1:28">
      <c r="A213" s="541" t="s">
        <v>831</v>
      </c>
      <c r="B213" s="515">
        <v>11715</v>
      </c>
      <c r="C213" s="515">
        <v>7404</v>
      </c>
      <c r="D213" s="515">
        <v>19119</v>
      </c>
      <c r="E213" s="515">
        <v>326</v>
      </c>
      <c r="F213" s="515">
        <v>431</v>
      </c>
      <c r="G213" s="515">
        <v>757</v>
      </c>
      <c r="H213" s="515">
        <v>221599</v>
      </c>
      <c r="I213" s="515">
        <v>309829</v>
      </c>
      <c r="J213" s="515">
        <v>531428</v>
      </c>
      <c r="K213" s="515">
        <v>2607963</v>
      </c>
      <c r="L213" s="515">
        <v>2755880</v>
      </c>
      <c r="M213" s="515">
        <v>5363843</v>
      </c>
      <c r="N213" s="515">
        <v>7722</v>
      </c>
      <c r="O213" s="515">
        <v>5222</v>
      </c>
      <c r="P213" s="515">
        <v>12944</v>
      </c>
      <c r="Q213" s="515">
        <v>177313</v>
      </c>
      <c r="R213" s="515">
        <v>90672</v>
      </c>
      <c r="S213" s="515">
        <v>267985</v>
      </c>
      <c r="T213" s="515">
        <v>16241</v>
      </c>
      <c r="U213" s="515">
        <v>17756</v>
      </c>
      <c r="V213" s="515">
        <v>33997</v>
      </c>
      <c r="W213" s="515">
        <v>21867</v>
      </c>
      <c r="X213" s="515">
        <v>12337</v>
      </c>
      <c r="Y213" s="515">
        <v>34204</v>
      </c>
      <c r="Z213" s="515">
        <v>3064746</v>
      </c>
      <c r="AA213" s="515">
        <v>3199531</v>
      </c>
      <c r="AB213" s="515">
        <v>6264277</v>
      </c>
    </row>
    <row r="214" spans="1:28">
      <c r="A214" s="541" t="s">
        <v>830</v>
      </c>
      <c r="B214" s="545">
        <v>10069</v>
      </c>
      <c r="C214" s="545">
        <v>5339</v>
      </c>
      <c r="D214" s="559">
        <v>15408</v>
      </c>
      <c r="E214" s="545">
        <v>350</v>
      </c>
      <c r="F214" s="545">
        <v>510</v>
      </c>
      <c r="G214" s="559">
        <v>860</v>
      </c>
      <c r="H214" s="543">
        <v>241832.92901018076</v>
      </c>
      <c r="I214" s="543">
        <v>331579.953279012</v>
      </c>
      <c r="J214" s="563">
        <v>573412.88228919276</v>
      </c>
      <c r="K214" s="543">
        <v>2723791.527862024</v>
      </c>
      <c r="L214" s="543">
        <v>2635229.9824966588</v>
      </c>
      <c r="M214" s="563">
        <v>5359021.5103586828</v>
      </c>
      <c r="N214" s="545">
        <v>9419</v>
      </c>
      <c r="O214" s="545">
        <v>6501</v>
      </c>
      <c r="P214" s="559">
        <v>15920</v>
      </c>
      <c r="Q214" s="545">
        <v>177103</v>
      </c>
      <c r="R214" s="545">
        <v>80266</v>
      </c>
      <c r="S214" s="559">
        <v>257369</v>
      </c>
      <c r="T214" s="545">
        <v>7190</v>
      </c>
      <c r="U214" s="545">
        <v>7525</v>
      </c>
      <c r="V214" s="559">
        <v>14715</v>
      </c>
      <c r="W214" s="545">
        <v>20331</v>
      </c>
      <c r="X214" s="545">
        <v>11549</v>
      </c>
      <c r="Y214" s="559">
        <v>31880</v>
      </c>
      <c r="Z214" s="200">
        <v>3190086.4568722048</v>
      </c>
      <c r="AA214" s="200">
        <v>3078499.9357756707</v>
      </c>
      <c r="AB214" s="563">
        <v>6268586.3926478755</v>
      </c>
    </row>
    <row r="215" spans="1:28">
      <c r="A215" s="514" t="s">
        <v>829</v>
      </c>
      <c r="B215" s="560">
        <v>8838</v>
      </c>
      <c r="C215" s="560">
        <v>4389</v>
      </c>
      <c r="D215" s="561">
        <v>13227</v>
      </c>
      <c r="E215" s="560">
        <v>370</v>
      </c>
      <c r="F215" s="560">
        <v>502</v>
      </c>
      <c r="G215" s="561">
        <v>872</v>
      </c>
      <c r="H215" s="560">
        <v>229277</v>
      </c>
      <c r="I215" s="560">
        <v>310861</v>
      </c>
      <c r="J215" s="561">
        <v>540138</v>
      </c>
      <c r="K215" s="560">
        <v>2703343</v>
      </c>
      <c r="L215" s="560">
        <v>2474977</v>
      </c>
      <c r="M215" s="561">
        <v>5178320</v>
      </c>
      <c r="N215" s="560">
        <v>10193</v>
      </c>
      <c r="O215" s="560">
        <v>6419</v>
      </c>
      <c r="P215" s="561">
        <v>16612</v>
      </c>
      <c r="Q215" s="560">
        <v>162409</v>
      </c>
      <c r="R215" s="560">
        <v>69093</v>
      </c>
      <c r="S215" s="561">
        <v>231502</v>
      </c>
      <c r="T215" s="560">
        <v>16492</v>
      </c>
      <c r="U215" s="560">
        <v>15338</v>
      </c>
      <c r="V215" s="561">
        <v>31830</v>
      </c>
      <c r="W215" s="560">
        <v>20006</v>
      </c>
      <c r="X215" s="560">
        <v>10264</v>
      </c>
      <c r="Y215" s="561">
        <v>30270</v>
      </c>
      <c r="Z215" s="562">
        <v>3150928</v>
      </c>
      <c r="AA215" s="562">
        <v>2891843</v>
      </c>
      <c r="AB215" s="561">
        <f t="shared" ref="AB215" si="65">Z215+AA215</f>
        <v>6042771</v>
      </c>
    </row>
    <row r="216" spans="1:28">
      <c r="A216" s="514" t="s">
        <v>828</v>
      </c>
      <c r="B216" s="515">
        <v>7815</v>
      </c>
      <c r="C216" s="515">
        <v>3737</v>
      </c>
      <c r="D216" s="515">
        <v>11552</v>
      </c>
      <c r="E216" s="515">
        <v>841</v>
      </c>
      <c r="F216" s="515">
        <v>463</v>
      </c>
      <c r="G216" s="515">
        <v>1304</v>
      </c>
      <c r="H216" s="515">
        <v>213038</v>
      </c>
      <c r="I216" s="515">
        <v>289187</v>
      </c>
      <c r="J216" s="515">
        <v>502225</v>
      </c>
      <c r="K216" s="515">
        <v>2671168</v>
      </c>
      <c r="L216" s="515">
        <v>2432682</v>
      </c>
      <c r="M216" s="515">
        <v>5103850</v>
      </c>
      <c r="N216" s="515">
        <v>9498</v>
      </c>
      <c r="O216" s="515">
        <v>5518</v>
      </c>
      <c r="P216" s="515">
        <v>15016</v>
      </c>
      <c r="Q216" s="515">
        <v>156092</v>
      </c>
      <c r="R216" s="515">
        <v>64024</v>
      </c>
      <c r="S216" s="515">
        <v>220116</v>
      </c>
      <c r="T216" s="515">
        <v>13412</v>
      </c>
      <c r="U216" s="515">
        <v>13174</v>
      </c>
      <c r="V216" s="515">
        <v>26586</v>
      </c>
      <c r="W216" s="515">
        <v>14586</v>
      </c>
      <c r="X216" s="515">
        <v>6727</v>
      </c>
      <c r="Y216" s="515">
        <v>21313</v>
      </c>
      <c r="Z216" s="515">
        <f t="shared" ref="Z216:AB216" si="66">B216+E216+H216+K216+N216+Q216+T216+W216</f>
        <v>3086450</v>
      </c>
      <c r="AA216" s="515">
        <f t="shared" si="66"/>
        <v>2815512</v>
      </c>
      <c r="AB216" s="515">
        <f t="shared" si="66"/>
        <v>5901962</v>
      </c>
    </row>
    <row r="217" spans="1:28" ht="15">
      <c r="A217" s="537" t="s">
        <v>46</v>
      </c>
      <c r="B217" s="538"/>
      <c r="C217" s="539"/>
      <c r="D217" s="539"/>
      <c r="E217" s="539"/>
      <c r="F217" s="539"/>
      <c r="G217" s="539"/>
      <c r="H217" s="539"/>
      <c r="I217" s="539"/>
      <c r="J217" s="540"/>
      <c r="K217" s="538"/>
      <c r="L217" s="539"/>
      <c r="M217" s="539"/>
      <c r="N217" s="539"/>
      <c r="O217" s="539"/>
      <c r="P217" s="539"/>
      <c r="Q217" s="539"/>
      <c r="R217" s="539"/>
      <c r="S217" s="540"/>
      <c r="T217" s="538"/>
      <c r="U217" s="539"/>
      <c r="V217" s="539"/>
      <c r="W217" s="539"/>
      <c r="X217" s="539"/>
      <c r="Y217" s="539"/>
      <c r="Z217" s="539"/>
      <c r="AA217" s="539"/>
      <c r="AB217" s="539"/>
    </row>
    <row r="218" spans="1:28">
      <c r="A218" s="541" t="s">
        <v>832</v>
      </c>
      <c r="B218" s="154">
        <v>3449</v>
      </c>
      <c r="C218" s="154">
        <v>2019</v>
      </c>
      <c r="D218" s="154">
        <v>5468</v>
      </c>
      <c r="E218" s="154">
        <v>21</v>
      </c>
      <c r="F218" s="154">
        <v>13</v>
      </c>
      <c r="G218" s="154">
        <v>34</v>
      </c>
      <c r="H218" s="154">
        <v>22980</v>
      </c>
      <c r="I218" s="154">
        <v>30380</v>
      </c>
      <c r="J218" s="154">
        <v>53360</v>
      </c>
      <c r="K218" s="154">
        <v>157586</v>
      </c>
      <c r="L218" s="154">
        <v>158781</v>
      </c>
      <c r="M218" s="154">
        <v>316367</v>
      </c>
      <c r="N218" s="154">
        <v>734</v>
      </c>
      <c r="O218" s="154">
        <v>842</v>
      </c>
      <c r="P218" s="154">
        <v>1576</v>
      </c>
      <c r="Q218" s="154">
        <v>21397</v>
      </c>
      <c r="R218" s="154">
        <v>7576</v>
      </c>
      <c r="S218" s="154">
        <v>28973</v>
      </c>
      <c r="T218" s="154">
        <v>292</v>
      </c>
      <c r="U218" s="154">
        <v>55</v>
      </c>
      <c r="V218" s="154">
        <v>347</v>
      </c>
      <c r="W218" s="154">
        <v>3366</v>
      </c>
      <c r="X218" s="154">
        <v>2286</v>
      </c>
      <c r="Y218" s="154">
        <v>5652</v>
      </c>
      <c r="Z218" s="154">
        <v>209825</v>
      </c>
      <c r="AA218" s="154">
        <v>201952</v>
      </c>
      <c r="AB218" s="154">
        <v>411777</v>
      </c>
    </row>
    <row r="219" spans="1:28">
      <c r="A219" s="541" t="s">
        <v>831</v>
      </c>
      <c r="B219" s="515">
        <v>2903</v>
      </c>
      <c r="C219" s="515">
        <v>1759</v>
      </c>
      <c r="D219" s="515">
        <v>4662</v>
      </c>
      <c r="E219" s="515">
        <v>18</v>
      </c>
      <c r="F219" s="515">
        <v>9</v>
      </c>
      <c r="G219" s="515">
        <v>27</v>
      </c>
      <c r="H219" s="515">
        <v>23575</v>
      </c>
      <c r="I219" s="515">
        <v>28739</v>
      </c>
      <c r="J219" s="515">
        <v>52314</v>
      </c>
      <c r="K219" s="515">
        <v>157059</v>
      </c>
      <c r="L219" s="515">
        <v>155233</v>
      </c>
      <c r="M219" s="515">
        <v>312292</v>
      </c>
      <c r="N219" s="515">
        <v>788</v>
      </c>
      <c r="O219" s="515">
        <v>908</v>
      </c>
      <c r="P219" s="515">
        <v>1696</v>
      </c>
      <c r="Q219" s="515">
        <v>23470</v>
      </c>
      <c r="R219" s="515">
        <v>8387</v>
      </c>
      <c r="S219" s="515">
        <v>31857</v>
      </c>
      <c r="T219" s="515">
        <v>214</v>
      </c>
      <c r="U219" s="515">
        <v>61</v>
      </c>
      <c r="V219" s="515">
        <v>275</v>
      </c>
      <c r="W219" s="515">
        <v>3092</v>
      </c>
      <c r="X219" s="515">
        <v>1923</v>
      </c>
      <c r="Y219" s="515">
        <v>5015</v>
      </c>
      <c r="Z219" s="515">
        <v>211119</v>
      </c>
      <c r="AA219" s="515">
        <v>197019</v>
      </c>
      <c r="AB219" s="515">
        <v>408138</v>
      </c>
    </row>
    <row r="220" spans="1:28">
      <c r="A220" s="541" t="s">
        <v>830</v>
      </c>
      <c r="B220" s="545">
        <v>2419</v>
      </c>
      <c r="C220" s="545">
        <v>1489</v>
      </c>
      <c r="D220" s="559">
        <v>3908</v>
      </c>
      <c r="E220" s="545">
        <v>11</v>
      </c>
      <c r="F220" s="545">
        <v>5</v>
      </c>
      <c r="G220" s="559">
        <v>16</v>
      </c>
      <c r="H220" s="543">
        <v>21621.180005101087</v>
      </c>
      <c r="I220" s="543">
        <v>26538.191689038154</v>
      </c>
      <c r="J220" s="563">
        <v>48159.371694139249</v>
      </c>
      <c r="K220" s="543">
        <v>144590.69341997942</v>
      </c>
      <c r="L220" s="543">
        <v>149171.32996324659</v>
      </c>
      <c r="M220" s="563">
        <v>293762.02338322601</v>
      </c>
      <c r="N220" s="545">
        <v>660</v>
      </c>
      <c r="O220" s="545">
        <v>504</v>
      </c>
      <c r="P220" s="559">
        <v>1164</v>
      </c>
      <c r="Q220" s="545">
        <v>23891</v>
      </c>
      <c r="R220" s="545">
        <v>8362</v>
      </c>
      <c r="S220" s="559">
        <v>32253</v>
      </c>
      <c r="T220" s="545">
        <v>232</v>
      </c>
      <c r="U220" s="545">
        <v>85</v>
      </c>
      <c r="V220" s="559">
        <v>317</v>
      </c>
      <c r="W220" s="545">
        <v>2638</v>
      </c>
      <c r="X220" s="545">
        <v>1655</v>
      </c>
      <c r="Y220" s="559">
        <v>4293</v>
      </c>
      <c r="Z220" s="200">
        <v>196062.8734250805</v>
      </c>
      <c r="AA220" s="200">
        <v>187809.52165228475</v>
      </c>
      <c r="AB220" s="563">
        <v>383872.39507736528</v>
      </c>
    </row>
    <row r="221" spans="1:28">
      <c r="A221" s="514" t="s">
        <v>829</v>
      </c>
      <c r="B221" s="560">
        <v>1971</v>
      </c>
      <c r="C221" s="560">
        <v>1204</v>
      </c>
      <c r="D221" s="561">
        <v>3175</v>
      </c>
      <c r="E221" s="560">
        <v>7</v>
      </c>
      <c r="F221" s="560">
        <v>4</v>
      </c>
      <c r="G221" s="561">
        <v>11</v>
      </c>
      <c r="H221" s="560">
        <v>20030</v>
      </c>
      <c r="I221" s="560">
        <v>24165</v>
      </c>
      <c r="J221" s="561">
        <v>44195</v>
      </c>
      <c r="K221" s="560">
        <v>139084</v>
      </c>
      <c r="L221" s="560">
        <v>140816</v>
      </c>
      <c r="M221" s="561">
        <v>279900</v>
      </c>
      <c r="N221" s="560">
        <v>646</v>
      </c>
      <c r="O221" s="560">
        <v>382</v>
      </c>
      <c r="P221" s="561">
        <v>1028</v>
      </c>
      <c r="Q221" s="560">
        <v>24165</v>
      </c>
      <c r="R221" s="560">
        <v>7700</v>
      </c>
      <c r="S221" s="561">
        <v>31865</v>
      </c>
      <c r="T221" s="560">
        <v>198</v>
      </c>
      <c r="U221" s="560">
        <v>59</v>
      </c>
      <c r="V221" s="561">
        <v>257</v>
      </c>
      <c r="W221" s="560">
        <v>2560</v>
      </c>
      <c r="X221" s="560">
        <v>1577</v>
      </c>
      <c r="Y221" s="561">
        <v>4137</v>
      </c>
      <c r="Z221" s="562">
        <v>188661</v>
      </c>
      <c r="AA221" s="562">
        <v>175907</v>
      </c>
      <c r="AB221" s="561">
        <f t="shared" ref="AB221" si="67">Z221+AA221</f>
        <v>364568</v>
      </c>
    </row>
    <row r="222" spans="1:28">
      <c r="A222" s="514" t="s">
        <v>828</v>
      </c>
      <c r="B222" s="515">
        <v>2104</v>
      </c>
      <c r="C222" s="515">
        <v>1255</v>
      </c>
      <c r="D222" s="515">
        <v>3359</v>
      </c>
      <c r="E222" s="515">
        <v>10</v>
      </c>
      <c r="F222" s="515">
        <v>11</v>
      </c>
      <c r="G222" s="515">
        <v>21</v>
      </c>
      <c r="H222" s="515">
        <v>21194</v>
      </c>
      <c r="I222" s="515">
        <v>24952</v>
      </c>
      <c r="J222" s="515">
        <v>46146</v>
      </c>
      <c r="K222" s="515">
        <v>142888</v>
      </c>
      <c r="L222" s="515">
        <v>145922</v>
      </c>
      <c r="M222" s="515">
        <v>288810</v>
      </c>
      <c r="N222" s="515">
        <v>610</v>
      </c>
      <c r="O222" s="515">
        <v>357</v>
      </c>
      <c r="P222" s="515">
        <v>967</v>
      </c>
      <c r="Q222" s="515">
        <v>25450</v>
      </c>
      <c r="R222" s="515">
        <v>7443</v>
      </c>
      <c r="S222" s="515">
        <v>32893</v>
      </c>
      <c r="T222" s="515">
        <v>99</v>
      </c>
      <c r="U222" s="515">
        <v>57</v>
      </c>
      <c r="V222" s="515">
        <v>156</v>
      </c>
      <c r="W222" s="515">
        <v>2316</v>
      </c>
      <c r="X222" s="515">
        <v>1266</v>
      </c>
      <c r="Y222" s="515">
        <v>3582</v>
      </c>
      <c r="Z222" s="515">
        <f t="shared" ref="Z222:AB222" si="68">B222+E222+H222+K222+N222+Q222+T222+W222</f>
        <v>194671</v>
      </c>
      <c r="AA222" s="515">
        <f t="shared" si="68"/>
        <v>181263</v>
      </c>
      <c r="AB222" s="515">
        <f t="shared" si="68"/>
        <v>375934</v>
      </c>
    </row>
    <row r="223" spans="1:28" ht="15">
      <c r="A223" s="537" t="s">
        <v>48</v>
      </c>
      <c r="B223" s="538"/>
      <c r="C223" s="539"/>
      <c r="D223" s="539"/>
      <c r="E223" s="539"/>
      <c r="F223" s="539"/>
      <c r="G223" s="539"/>
      <c r="H223" s="539"/>
      <c r="I223" s="539"/>
      <c r="J223" s="540"/>
      <c r="K223" s="538"/>
      <c r="L223" s="539"/>
      <c r="M223" s="539"/>
      <c r="N223" s="539"/>
      <c r="O223" s="539"/>
      <c r="P223" s="539"/>
      <c r="Q223" s="539"/>
      <c r="R223" s="539"/>
      <c r="S223" s="540"/>
      <c r="T223" s="538"/>
      <c r="U223" s="539"/>
      <c r="V223" s="539"/>
      <c r="W223" s="539"/>
      <c r="X223" s="539"/>
      <c r="Y223" s="539"/>
      <c r="Z223" s="539"/>
      <c r="AA223" s="539"/>
      <c r="AB223" s="539"/>
    </row>
    <row r="224" spans="1:28">
      <c r="A224" s="541" t="s">
        <v>832</v>
      </c>
      <c r="B224" s="154">
        <v>8063</v>
      </c>
      <c r="C224" s="154">
        <v>4773</v>
      </c>
      <c r="D224" s="154">
        <v>12836</v>
      </c>
      <c r="E224" s="154">
        <v>1195</v>
      </c>
      <c r="F224" s="154">
        <v>983</v>
      </c>
      <c r="G224" s="154">
        <v>2178</v>
      </c>
      <c r="H224" s="154">
        <v>43523</v>
      </c>
      <c r="I224" s="154">
        <v>48248</v>
      </c>
      <c r="J224" s="154">
        <v>91771</v>
      </c>
      <c r="K224" s="154">
        <v>792565</v>
      </c>
      <c r="L224" s="154">
        <v>875822</v>
      </c>
      <c r="M224" s="154">
        <v>1668387</v>
      </c>
      <c r="N224" s="154">
        <v>2697</v>
      </c>
      <c r="O224" s="154">
        <v>1508</v>
      </c>
      <c r="P224" s="154">
        <v>4205</v>
      </c>
      <c r="Q224" s="154">
        <v>114411</v>
      </c>
      <c r="R224" s="154">
        <v>58012</v>
      </c>
      <c r="S224" s="154">
        <v>172423</v>
      </c>
      <c r="T224" s="154">
        <v>3583</v>
      </c>
      <c r="U224" s="154">
        <v>3223</v>
      </c>
      <c r="V224" s="154">
        <v>6806</v>
      </c>
      <c r="W224" s="154">
        <v>9336</v>
      </c>
      <c r="X224" s="154">
        <v>5595</v>
      </c>
      <c r="Y224" s="154">
        <v>14931</v>
      </c>
      <c r="Z224" s="154">
        <v>975373</v>
      </c>
      <c r="AA224" s="154">
        <v>998164</v>
      </c>
      <c r="AB224" s="154">
        <v>1973537</v>
      </c>
    </row>
    <row r="225" spans="1:28">
      <c r="A225" s="541" t="s">
        <v>831</v>
      </c>
      <c r="B225" s="515">
        <v>7161</v>
      </c>
      <c r="C225" s="515">
        <v>4570</v>
      </c>
      <c r="D225" s="515">
        <v>11731</v>
      </c>
      <c r="E225" s="515">
        <v>959</v>
      </c>
      <c r="F225" s="515">
        <v>803</v>
      </c>
      <c r="G225" s="515">
        <v>1762</v>
      </c>
      <c r="H225" s="515">
        <v>41496</v>
      </c>
      <c r="I225" s="515">
        <v>44754</v>
      </c>
      <c r="J225" s="515">
        <v>86250</v>
      </c>
      <c r="K225" s="515">
        <v>776437</v>
      </c>
      <c r="L225" s="515">
        <v>827504</v>
      </c>
      <c r="M225" s="515">
        <v>1603941</v>
      </c>
      <c r="N225" s="515">
        <v>2375</v>
      </c>
      <c r="O225" s="515">
        <v>1715</v>
      </c>
      <c r="P225" s="515">
        <v>4090</v>
      </c>
      <c r="Q225" s="515">
        <v>112901</v>
      </c>
      <c r="R225" s="515">
        <v>54662</v>
      </c>
      <c r="S225" s="515">
        <v>167563</v>
      </c>
      <c r="T225" s="515">
        <v>3009</v>
      </c>
      <c r="U225" s="515">
        <v>3005</v>
      </c>
      <c r="V225" s="515">
        <v>6014</v>
      </c>
      <c r="W225" s="515">
        <v>9144</v>
      </c>
      <c r="X225" s="515">
        <v>4756</v>
      </c>
      <c r="Y225" s="515">
        <v>13900</v>
      </c>
      <c r="Z225" s="515">
        <v>953482</v>
      </c>
      <c r="AA225" s="515">
        <v>941769</v>
      </c>
      <c r="AB225" s="515">
        <v>1895251</v>
      </c>
    </row>
    <row r="226" spans="1:28">
      <c r="A226" s="541" t="s">
        <v>830</v>
      </c>
      <c r="B226" s="545">
        <v>4690</v>
      </c>
      <c r="C226" s="545">
        <v>2255</v>
      </c>
      <c r="D226" s="559">
        <v>6945</v>
      </c>
      <c r="E226" s="545">
        <v>952</v>
      </c>
      <c r="F226" s="545">
        <v>724</v>
      </c>
      <c r="G226" s="559">
        <v>1676</v>
      </c>
      <c r="H226" s="545">
        <v>38800</v>
      </c>
      <c r="I226" s="545">
        <v>40401</v>
      </c>
      <c r="J226" s="559">
        <v>79201</v>
      </c>
      <c r="K226" s="545">
        <v>779869</v>
      </c>
      <c r="L226" s="545">
        <v>792280</v>
      </c>
      <c r="M226" s="559">
        <v>1572149</v>
      </c>
      <c r="N226" s="545">
        <v>2976</v>
      </c>
      <c r="O226" s="545">
        <v>1778</v>
      </c>
      <c r="P226" s="559">
        <v>4754</v>
      </c>
      <c r="Q226" s="545">
        <v>99316</v>
      </c>
      <c r="R226" s="545">
        <v>45548</v>
      </c>
      <c r="S226" s="559">
        <v>144864</v>
      </c>
      <c r="T226" s="545">
        <v>1852</v>
      </c>
      <c r="U226" s="545">
        <v>2329</v>
      </c>
      <c r="V226" s="559">
        <v>4181</v>
      </c>
      <c r="W226" s="545">
        <v>7089</v>
      </c>
      <c r="X226" s="545">
        <v>3125</v>
      </c>
      <c r="Y226" s="559">
        <v>10214</v>
      </c>
      <c r="Z226" s="209">
        <v>935544</v>
      </c>
      <c r="AA226" s="209">
        <v>888440</v>
      </c>
      <c r="AB226" s="559">
        <v>1823984</v>
      </c>
    </row>
    <row r="227" spans="1:28">
      <c r="A227" s="514" t="s">
        <v>829</v>
      </c>
      <c r="B227" s="560">
        <v>4338</v>
      </c>
      <c r="C227" s="560">
        <v>2024</v>
      </c>
      <c r="D227" s="561">
        <v>6362</v>
      </c>
      <c r="E227" s="560">
        <v>1049</v>
      </c>
      <c r="F227" s="560">
        <v>753</v>
      </c>
      <c r="G227" s="561">
        <v>1802</v>
      </c>
      <c r="H227" s="560">
        <v>37850</v>
      </c>
      <c r="I227" s="560">
        <v>36105</v>
      </c>
      <c r="J227" s="561">
        <v>73955</v>
      </c>
      <c r="K227" s="560">
        <v>826083</v>
      </c>
      <c r="L227" s="560">
        <v>780950</v>
      </c>
      <c r="M227" s="561">
        <v>1607033</v>
      </c>
      <c r="N227" s="560">
        <v>2444</v>
      </c>
      <c r="O227" s="560">
        <v>1095</v>
      </c>
      <c r="P227" s="561">
        <v>3539</v>
      </c>
      <c r="Q227" s="560">
        <v>87320</v>
      </c>
      <c r="R227" s="560">
        <v>30795</v>
      </c>
      <c r="S227" s="561">
        <v>118115</v>
      </c>
      <c r="T227" s="560">
        <v>2579</v>
      </c>
      <c r="U227" s="560">
        <v>2109</v>
      </c>
      <c r="V227" s="561">
        <v>4688</v>
      </c>
      <c r="W227" s="560">
        <v>6792</v>
      </c>
      <c r="X227" s="560">
        <v>2682</v>
      </c>
      <c r="Y227" s="561">
        <v>9474</v>
      </c>
      <c r="Z227" s="562">
        <v>968455</v>
      </c>
      <c r="AA227" s="562">
        <v>856513</v>
      </c>
      <c r="AB227" s="561">
        <f t="shared" ref="AB227" si="69">Z227+AA227</f>
        <v>1824968</v>
      </c>
    </row>
    <row r="228" spans="1:28">
      <c r="A228" s="514" t="s">
        <v>828</v>
      </c>
      <c r="B228" s="515">
        <v>3973</v>
      </c>
      <c r="C228" s="515">
        <v>1945</v>
      </c>
      <c r="D228" s="515">
        <v>5918</v>
      </c>
      <c r="E228" s="515">
        <v>800</v>
      </c>
      <c r="F228" s="515">
        <v>619</v>
      </c>
      <c r="G228" s="515">
        <v>1419</v>
      </c>
      <c r="H228" s="515">
        <v>37261</v>
      </c>
      <c r="I228" s="515">
        <v>33429</v>
      </c>
      <c r="J228" s="515">
        <v>70690</v>
      </c>
      <c r="K228" s="515">
        <v>819579</v>
      </c>
      <c r="L228" s="515">
        <v>722084</v>
      </c>
      <c r="M228" s="515">
        <v>1541663</v>
      </c>
      <c r="N228" s="515">
        <v>1459</v>
      </c>
      <c r="O228" s="515">
        <v>691</v>
      </c>
      <c r="P228" s="515">
        <v>2150</v>
      </c>
      <c r="Q228" s="515">
        <v>74607</v>
      </c>
      <c r="R228" s="515">
        <v>26493</v>
      </c>
      <c r="S228" s="515">
        <v>101100</v>
      </c>
      <c r="T228" s="515">
        <v>3168</v>
      </c>
      <c r="U228" s="515">
        <v>3754</v>
      </c>
      <c r="V228" s="515">
        <v>6922</v>
      </c>
      <c r="W228" s="515">
        <v>6364</v>
      </c>
      <c r="X228" s="515">
        <v>2381</v>
      </c>
      <c r="Y228" s="515">
        <v>8745</v>
      </c>
      <c r="Z228" s="515">
        <f t="shared" ref="Z228:AA228" si="70">B228+E228+H228+K228+N228+Q228+T228+W228</f>
        <v>947211</v>
      </c>
      <c r="AA228" s="515">
        <f t="shared" si="70"/>
        <v>791396</v>
      </c>
      <c r="AB228" s="515">
        <f>D228+G228+J228+M228+P228+S228+V228+Y228</f>
        <v>1738607</v>
      </c>
    </row>
  </sheetData>
  <mergeCells count="10">
    <mergeCell ref="Q2:S2"/>
    <mergeCell ref="T2:V2"/>
    <mergeCell ref="W2:Y2"/>
    <mergeCell ref="Z2:AB2"/>
    <mergeCell ref="A2:A3"/>
    <mergeCell ref="B2:D2"/>
    <mergeCell ref="E2:G2"/>
    <mergeCell ref="H2:J2"/>
    <mergeCell ref="K2:M2"/>
    <mergeCell ref="N2:P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67" firstPageNumber="2" pageOrder="overThenDown" orientation="portrait" useFirstPageNumber="1" r:id="rId1"/>
  <headerFooter alignWithMargins="0">
    <oddFooter>&amp;L     AISHE 2019-20&amp;CT-44</oddFooter>
  </headerFooter>
  <rowBreaks count="2" manualBreakCount="2">
    <brk id="76" max="27" man="1"/>
    <brk id="150" max="27" man="1"/>
  </rowBreaks>
  <colBreaks count="3" manualBreakCount="3">
    <brk id="10" max="1048575" man="1"/>
    <brk id="19" max="1048575" man="1"/>
    <brk id="28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7030A0"/>
  </sheetPr>
  <dimension ref="A1:N228"/>
  <sheetViews>
    <sheetView view="pageBreakPreview" zoomScale="110" zoomScaleSheetLayoutView="110" workbookViewId="0">
      <pane xSplit="1" ySplit="5" topLeftCell="B216" activePane="bottomRight" state="frozen"/>
      <selection activeCell="A20" sqref="A20"/>
      <selection pane="topRight" activeCell="A20" sqref="A20"/>
      <selection pane="bottomLeft" activeCell="A20" sqref="A20"/>
      <selection pane="bottomRight" activeCell="D70" sqref="D70"/>
    </sheetView>
  </sheetViews>
  <sheetFormatPr defaultColWidth="9.140625" defaultRowHeight="14.25"/>
  <cols>
    <col min="1" max="1" width="29" style="497" customWidth="1"/>
    <col min="2" max="13" width="18" style="497" customWidth="1"/>
    <col min="14" max="15" width="9" style="497" customWidth="1"/>
    <col min="16" max="16" width="21.7109375" style="497" customWidth="1"/>
    <col min="17" max="17" width="18.28515625" style="497" customWidth="1"/>
    <col min="18" max="18" width="8" style="497" customWidth="1"/>
    <col min="19" max="19" width="9" style="497" customWidth="1"/>
    <col min="20" max="20" width="21.140625" style="497" customWidth="1"/>
    <col min="21" max="21" width="10.7109375" style="497" customWidth="1"/>
    <col min="22" max="22" width="11.7109375" style="497" customWidth="1"/>
    <col min="23" max="23" width="11" style="497" customWidth="1"/>
    <col min="24" max="16384" width="9.140625" style="497"/>
  </cols>
  <sheetData>
    <row r="1" spans="1:14" ht="28.5" customHeight="1">
      <c r="A1" s="528" t="s">
        <v>840</v>
      </c>
      <c r="B1" s="565" t="s">
        <v>879</v>
      </c>
      <c r="C1" s="529"/>
      <c r="D1" s="529"/>
      <c r="E1" s="529"/>
      <c r="F1" s="529"/>
      <c r="G1" s="529"/>
      <c r="H1" s="506" t="str">
        <f>B1</f>
        <v>Social Group-wise Enrolment during last 5 years</v>
      </c>
      <c r="I1" s="530"/>
      <c r="J1" s="530"/>
      <c r="K1" s="530"/>
      <c r="L1" s="530"/>
      <c r="M1" s="529"/>
    </row>
    <row r="2" spans="1:14" ht="18.75" customHeight="1">
      <c r="A2" s="990" t="s">
        <v>713</v>
      </c>
      <c r="B2" s="988" t="s">
        <v>133</v>
      </c>
      <c r="C2" s="989"/>
      <c r="D2" s="989"/>
      <c r="E2" s="988" t="s">
        <v>841</v>
      </c>
      <c r="F2" s="989"/>
      <c r="G2" s="989"/>
      <c r="H2" s="988" t="s">
        <v>812</v>
      </c>
      <c r="I2" s="989"/>
      <c r="J2" s="989"/>
      <c r="K2" s="988" t="s">
        <v>813</v>
      </c>
      <c r="L2" s="989"/>
      <c r="M2" s="989"/>
    </row>
    <row r="3" spans="1:14" ht="18.75" customHeight="1">
      <c r="A3" s="990"/>
      <c r="B3" s="533" t="s">
        <v>87</v>
      </c>
      <c r="C3" s="533" t="s">
        <v>88</v>
      </c>
      <c r="D3" s="533" t="s">
        <v>714</v>
      </c>
      <c r="E3" s="533" t="s">
        <v>87</v>
      </c>
      <c r="F3" s="533" t="s">
        <v>88</v>
      </c>
      <c r="G3" s="533" t="s">
        <v>714</v>
      </c>
      <c r="H3" s="533" t="s">
        <v>87</v>
      </c>
      <c r="I3" s="533" t="s">
        <v>88</v>
      </c>
      <c r="J3" s="533" t="s">
        <v>714</v>
      </c>
      <c r="K3" s="533" t="s">
        <v>87</v>
      </c>
      <c r="L3" s="533" t="s">
        <v>88</v>
      </c>
      <c r="M3" s="534" t="s">
        <v>714</v>
      </c>
    </row>
    <row r="4" spans="1:14">
      <c r="A4" s="558">
        <v>1</v>
      </c>
      <c r="B4" s="500">
        <v>2</v>
      </c>
      <c r="C4" s="500">
        <v>3</v>
      </c>
      <c r="D4" s="558">
        <v>4</v>
      </c>
      <c r="E4" s="500">
        <v>5</v>
      </c>
      <c r="F4" s="500">
        <v>6</v>
      </c>
      <c r="G4" s="558">
        <v>7</v>
      </c>
      <c r="H4" s="500">
        <v>8</v>
      </c>
      <c r="I4" s="500">
        <v>9</v>
      </c>
      <c r="J4" s="558">
        <v>10</v>
      </c>
      <c r="K4" s="500">
        <v>11</v>
      </c>
      <c r="L4" s="500">
        <v>12</v>
      </c>
      <c r="M4" s="558">
        <v>13</v>
      </c>
    </row>
    <row r="5" spans="1:14" ht="15">
      <c r="A5" s="537" t="s">
        <v>833</v>
      </c>
      <c r="B5" s="566"/>
      <c r="G5" s="567"/>
      <c r="H5" s="566"/>
    </row>
    <row r="6" spans="1:14">
      <c r="A6" s="541" t="s">
        <v>832</v>
      </c>
      <c r="B6" s="515">
        <v>19643747</v>
      </c>
      <c r="C6" s="515">
        <v>18892612</v>
      </c>
      <c r="D6" s="515">
        <v>38536359</v>
      </c>
      <c r="E6" s="515">
        <v>2854313</v>
      </c>
      <c r="F6" s="515">
        <v>2803359</v>
      </c>
      <c r="G6" s="515">
        <v>5657672</v>
      </c>
      <c r="H6" s="515">
        <v>1072646</v>
      </c>
      <c r="I6" s="515">
        <v>1083463</v>
      </c>
      <c r="J6" s="515">
        <v>2156109</v>
      </c>
      <c r="K6" s="515">
        <v>7202109</v>
      </c>
      <c r="L6" s="515">
        <v>7047005</v>
      </c>
      <c r="M6" s="515">
        <v>14249114</v>
      </c>
      <c r="N6" s="743">
        <f>M6/D6*100</f>
        <v>36.975766184864533</v>
      </c>
    </row>
    <row r="7" spans="1:14">
      <c r="A7" s="541" t="s">
        <v>831</v>
      </c>
      <c r="B7" s="515">
        <v>19209888</v>
      </c>
      <c r="C7" s="515">
        <v>18189500</v>
      </c>
      <c r="D7" s="515">
        <v>37399388</v>
      </c>
      <c r="E7" s="515">
        <v>2835663</v>
      </c>
      <c r="F7" s="515">
        <v>2731415</v>
      </c>
      <c r="G7" s="515">
        <v>5567078</v>
      </c>
      <c r="H7" s="515">
        <v>1052121</v>
      </c>
      <c r="I7" s="515">
        <v>1015627</v>
      </c>
      <c r="J7" s="515">
        <v>2067748</v>
      </c>
      <c r="K7" s="515">
        <v>6909174</v>
      </c>
      <c r="L7" s="515">
        <v>6682820</v>
      </c>
      <c r="M7" s="515">
        <v>13591994</v>
      </c>
      <c r="N7" s="743">
        <f t="shared" ref="N7:N10" si="0">M7/D7*100</f>
        <v>36.342824647291025</v>
      </c>
    </row>
    <row r="8" spans="1:14">
      <c r="A8" s="541" t="s">
        <v>830</v>
      </c>
      <c r="B8" s="568">
        <v>19204674.913845398</v>
      </c>
      <c r="C8" s="568">
        <v>17437702.669367902</v>
      </c>
      <c r="D8" s="568">
        <v>36642377.5832133</v>
      </c>
      <c r="E8" s="569">
        <v>2774933</v>
      </c>
      <c r="F8" s="569">
        <v>2505428</v>
      </c>
      <c r="G8" s="569">
        <v>5280361</v>
      </c>
      <c r="H8" s="569">
        <v>1001989</v>
      </c>
      <c r="I8" s="569">
        <v>911875</v>
      </c>
      <c r="J8" s="569">
        <v>1913864</v>
      </c>
      <c r="K8" s="569">
        <v>6688668</v>
      </c>
      <c r="L8" s="569">
        <v>6144337</v>
      </c>
      <c r="M8" s="569">
        <v>12833005</v>
      </c>
      <c r="N8" s="743">
        <f t="shared" si="0"/>
        <v>35.022304354723666</v>
      </c>
    </row>
    <row r="9" spans="1:14">
      <c r="A9" s="570" t="s">
        <v>829</v>
      </c>
      <c r="B9" s="515">
        <v>18980595</v>
      </c>
      <c r="C9" s="515">
        <v>16725310</v>
      </c>
      <c r="D9" s="515">
        <v>35705905</v>
      </c>
      <c r="E9" s="515">
        <v>2731689</v>
      </c>
      <c r="F9" s="515">
        <v>2359826</v>
      </c>
      <c r="G9" s="515">
        <v>5091515</v>
      </c>
      <c r="H9" s="515">
        <v>983778</v>
      </c>
      <c r="I9" s="515">
        <v>868597</v>
      </c>
      <c r="J9" s="515">
        <v>1852375</v>
      </c>
      <c r="K9" s="515">
        <v>6520425</v>
      </c>
      <c r="L9" s="515">
        <v>5778884</v>
      </c>
      <c r="M9" s="515">
        <v>12299309</v>
      </c>
      <c r="N9" s="743">
        <f t="shared" si="0"/>
        <v>34.446148333167855</v>
      </c>
    </row>
    <row r="10" spans="1:14">
      <c r="A10" s="570" t="s">
        <v>828</v>
      </c>
      <c r="B10" s="515">
        <v>18594723</v>
      </c>
      <c r="C10" s="515">
        <v>15990058</v>
      </c>
      <c r="D10" s="515">
        <v>34584781</v>
      </c>
      <c r="E10" s="515">
        <v>2606117</v>
      </c>
      <c r="F10" s="515">
        <v>2204197</v>
      </c>
      <c r="G10" s="515">
        <v>4810314</v>
      </c>
      <c r="H10" s="515">
        <v>916917</v>
      </c>
      <c r="I10" s="515">
        <v>787544</v>
      </c>
      <c r="J10" s="515">
        <v>1704461</v>
      </c>
      <c r="K10" s="515">
        <v>6239481</v>
      </c>
      <c r="L10" s="515">
        <v>5434054</v>
      </c>
      <c r="M10" s="515">
        <v>11673535</v>
      </c>
      <c r="N10" s="743">
        <f t="shared" si="0"/>
        <v>33.753387075083694</v>
      </c>
    </row>
    <row r="11" spans="1:14" ht="15">
      <c r="A11" s="537" t="s">
        <v>154</v>
      </c>
      <c r="B11" s="564"/>
      <c r="C11" s="512"/>
      <c r="D11" s="512"/>
      <c r="E11" s="512"/>
      <c r="F11" s="512"/>
      <c r="G11" s="513"/>
      <c r="H11" s="564"/>
      <c r="I11" s="512"/>
      <c r="J11" s="512"/>
      <c r="K11" s="512"/>
      <c r="L11" s="512"/>
      <c r="M11" s="512"/>
    </row>
    <row r="12" spans="1:14">
      <c r="A12" s="541" t="s">
        <v>832</v>
      </c>
      <c r="B12" s="571">
        <v>4532</v>
      </c>
      <c r="C12" s="571">
        <v>5599</v>
      </c>
      <c r="D12" s="571">
        <v>10131</v>
      </c>
      <c r="E12" s="571">
        <v>42</v>
      </c>
      <c r="F12" s="571">
        <v>11</v>
      </c>
      <c r="G12" s="571">
        <v>53</v>
      </c>
      <c r="H12" s="571">
        <v>151</v>
      </c>
      <c r="I12" s="571">
        <v>286</v>
      </c>
      <c r="J12" s="571">
        <v>437</v>
      </c>
      <c r="K12" s="571">
        <v>1122</v>
      </c>
      <c r="L12" s="571">
        <v>1539</v>
      </c>
      <c r="M12" s="571">
        <v>2661</v>
      </c>
    </row>
    <row r="13" spans="1:14">
      <c r="A13" s="541" t="s">
        <v>831</v>
      </c>
      <c r="B13" s="515">
        <v>5103</v>
      </c>
      <c r="C13" s="515">
        <v>6408</v>
      </c>
      <c r="D13" s="515">
        <v>11511</v>
      </c>
      <c r="E13" s="515">
        <v>57</v>
      </c>
      <c r="F13" s="515">
        <v>20</v>
      </c>
      <c r="G13" s="515">
        <v>77</v>
      </c>
      <c r="H13" s="515">
        <v>196</v>
      </c>
      <c r="I13" s="515">
        <v>317</v>
      </c>
      <c r="J13" s="515">
        <v>513</v>
      </c>
      <c r="K13" s="515">
        <v>1395</v>
      </c>
      <c r="L13" s="515">
        <v>1684</v>
      </c>
      <c r="M13" s="515">
        <v>3079</v>
      </c>
    </row>
    <row r="14" spans="1:14">
      <c r="A14" s="541" t="s">
        <v>830</v>
      </c>
      <c r="B14" s="572">
        <v>5241</v>
      </c>
      <c r="C14" s="572">
        <v>5359</v>
      </c>
      <c r="D14" s="572">
        <v>10600</v>
      </c>
      <c r="E14" s="572">
        <v>57</v>
      </c>
      <c r="F14" s="572">
        <v>21</v>
      </c>
      <c r="G14" s="572">
        <v>78</v>
      </c>
      <c r="H14" s="572">
        <v>216</v>
      </c>
      <c r="I14" s="572">
        <v>285</v>
      </c>
      <c r="J14" s="572">
        <v>501</v>
      </c>
      <c r="K14" s="572">
        <v>1408</v>
      </c>
      <c r="L14" s="572">
        <v>1310</v>
      </c>
      <c r="M14" s="572">
        <v>2718</v>
      </c>
    </row>
    <row r="15" spans="1:14">
      <c r="A15" s="570" t="s">
        <v>829</v>
      </c>
      <c r="B15" s="515">
        <v>5218</v>
      </c>
      <c r="C15" s="515">
        <v>5639</v>
      </c>
      <c r="D15" s="515">
        <v>10857</v>
      </c>
      <c r="E15" s="515">
        <v>55</v>
      </c>
      <c r="F15" s="515">
        <v>11</v>
      </c>
      <c r="G15" s="515">
        <v>66</v>
      </c>
      <c r="H15" s="515">
        <v>196</v>
      </c>
      <c r="I15" s="515">
        <v>267</v>
      </c>
      <c r="J15" s="515">
        <v>463</v>
      </c>
      <c r="K15" s="515">
        <v>1008</v>
      </c>
      <c r="L15" s="515">
        <v>1081</v>
      </c>
      <c r="M15" s="515">
        <v>2089</v>
      </c>
    </row>
    <row r="16" spans="1:14">
      <c r="A16" s="570" t="s">
        <v>828</v>
      </c>
      <c r="B16" s="515">
        <v>5344</v>
      </c>
      <c r="C16" s="515">
        <v>5680</v>
      </c>
      <c r="D16" s="515">
        <v>11024</v>
      </c>
      <c r="E16" s="515">
        <v>49</v>
      </c>
      <c r="F16" s="515">
        <v>19</v>
      </c>
      <c r="G16" s="515">
        <v>68</v>
      </c>
      <c r="H16" s="515">
        <v>185</v>
      </c>
      <c r="I16" s="515">
        <v>228</v>
      </c>
      <c r="J16" s="515">
        <v>413</v>
      </c>
      <c r="K16" s="515">
        <v>1012</v>
      </c>
      <c r="L16" s="515">
        <v>1065</v>
      </c>
      <c r="M16" s="515">
        <v>2077</v>
      </c>
    </row>
    <row r="17" spans="1:14" ht="15">
      <c r="A17" s="537" t="s">
        <v>15</v>
      </c>
      <c r="B17" s="564"/>
      <c r="C17" s="512"/>
      <c r="D17" s="512"/>
      <c r="E17" s="512"/>
      <c r="F17" s="512"/>
      <c r="G17" s="513"/>
      <c r="H17" s="564"/>
      <c r="I17" s="512"/>
      <c r="J17" s="512"/>
      <c r="K17" s="512"/>
      <c r="L17" s="512"/>
      <c r="M17" s="512"/>
      <c r="N17" s="537"/>
    </row>
    <row r="18" spans="1:14">
      <c r="A18" s="541" t="s">
        <v>832</v>
      </c>
      <c r="B18" s="571">
        <v>1021126</v>
      </c>
      <c r="C18" s="571">
        <v>876023</v>
      </c>
      <c r="D18" s="571">
        <v>1897149</v>
      </c>
      <c r="E18" s="571">
        <v>167358</v>
      </c>
      <c r="F18" s="571">
        <v>149215</v>
      </c>
      <c r="G18" s="571">
        <v>316573</v>
      </c>
      <c r="H18" s="571">
        <v>47292</v>
      </c>
      <c r="I18" s="571">
        <v>40939</v>
      </c>
      <c r="J18" s="571">
        <v>88231</v>
      </c>
      <c r="K18" s="571">
        <v>464389</v>
      </c>
      <c r="L18" s="571">
        <v>373065</v>
      </c>
      <c r="M18" s="571">
        <v>837454</v>
      </c>
    </row>
    <row r="19" spans="1:14">
      <c r="A19" s="541" t="s">
        <v>831</v>
      </c>
      <c r="B19" s="515">
        <v>964806</v>
      </c>
      <c r="C19" s="515">
        <v>796024</v>
      </c>
      <c r="D19" s="515">
        <v>1760830</v>
      </c>
      <c r="E19" s="515">
        <v>155601</v>
      </c>
      <c r="F19" s="515">
        <v>135201</v>
      </c>
      <c r="G19" s="515">
        <v>290802</v>
      </c>
      <c r="H19" s="515">
        <v>42159</v>
      </c>
      <c r="I19" s="515">
        <v>36528</v>
      </c>
      <c r="J19" s="515">
        <v>78687</v>
      </c>
      <c r="K19" s="515">
        <v>431061</v>
      </c>
      <c r="L19" s="515">
        <v>334446</v>
      </c>
      <c r="M19" s="515">
        <v>765507</v>
      </c>
    </row>
    <row r="20" spans="1:14">
      <c r="A20" s="541" t="s">
        <v>830</v>
      </c>
      <c r="B20" s="573">
        <v>946797.51674753241</v>
      </c>
      <c r="C20" s="573">
        <v>750484.44787180051</v>
      </c>
      <c r="D20" s="573">
        <v>1697281.9646193329</v>
      </c>
      <c r="E20" s="572">
        <v>147563</v>
      </c>
      <c r="F20" s="572">
        <v>126139</v>
      </c>
      <c r="G20" s="572">
        <v>273702</v>
      </c>
      <c r="H20" s="572">
        <v>39229</v>
      </c>
      <c r="I20" s="572">
        <v>34426</v>
      </c>
      <c r="J20" s="572">
        <v>73655</v>
      </c>
      <c r="K20" s="572">
        <v>406437</v>
      </c>
      <c r="L20" s="572">
        <v>302093</v>
      </c>
      <c r="M20" s="572">
        <v>708530</v>
      </c>
    </row>
    <row r="21" spans="1:14">
      <c r="A21" s="570" t="s">
        <v>829</v>
      </c>
      <c r="B21" s="545">
        <v>1007406</v>
      </c>
      <c r="C21" s="545">
        <v>792027</v>
      </c>
      <c r="D21" s="209">
        <v>1799433</v>
      </c>
      <c r="E21" s="545">
        <v>165990</v>
      </c>
      <c r="F21" s="545">
        <v>134777</v>
      </c>
      <c r="G21" s="209">
        <v>300767</v>
      </c>
      <c r="H21" s="545">
        <v>41161</v>
      </c>
      <c r="I21" s="545">
        <v>34502</v>
      </c>
      <c r="J21" s="209">
        <v>75663</v>
      </c>
      <c r="K21" s="545">
        <v>421073</v>
      </c>
      <c r="L21" s="545">
        <v>305677</v>
      </c>
      <c r="M21" s="209">
        <v>726750</v>
      </c>
    </row>
    <row r="22" spans="1:14">
      <c r="A22" s="570" t="s">
        <v>828</v>
      </c>
      <c r="B22" s="515">
        <v>969200</v>
      </c>
      <c r="C22" s="515">
        <v>755338</v>
      </c>
      <c r="D22" s="515">
        <v>1724538</v>
      </c>
      <c r="E22" s="515">
        <v>146454</v>
      </c>
      <c r="F22" s="515">
        <v>117688</v>
      </c>
      <c r="G22" s="515">
        <v>264142</v>
      </c>
      <c r="H22" s="515">
        <v>39407</v>
      </c>
      <c r="I22" s="515">
        <v>32293</v>
      </c>
      <c r="J22" s="515">
        <v>71700</v>
      </c>
      <c r="K22" s="515">
        <v>403618</v>
      </c>
      <c r="L22" s="515">
        <v>289172</v>
      </c>
      <c r="M22" s="515">
        <v>692790</v>
      </c>
    </row>
    <row r="23" spans="1:14" ht="15">
      <c r="A23" s="537" t="s">
        <v>16</v>
      </c>
      <c r="B23" s="564"/>
      <c r="C23" s="512"/>
      <c r="D23" s="512"/>
      <c r="E23" s="512"/>
      <c r="F23" s="512"/>
      <c r="G23" s="513"/>
      <c r="H23" s="564"/>
      <c r="I23" s="512"/>
      <c r="J23" s="512"/>
      <c r="K23" s="512"/>
      <c r="L23" s="512"/>
      <c r="M23" s="512"/>
    </row>
    <row r="24" spans="1:14">
      <c r="A24" s="541" t="s">
        <v>832</v>
      </c>
      <c r="B24" s="571">
        <v>28801</v>
      </c>
      <c r="C24" s="571">
        <v>27015</v>
      </c>
      <c r="D24" s="571">
        <v>55816</v>
      </c>
      <c r="E24" s="571">
        <v>750</v>
      </c>
      <c r="F24" s="571">
        <v>729</v>
      </c>
      <c r="G24" s="571">
        <v>1479</v>
      </c>
      <c r="H24" s="571">
        <v>19078</v>
      </c>
      <c r="I24" s="571">
        <v>19264</v>
      </c>
      <c r="J24" s="571">
        <v>38342</v>
      </c>
      <c r="K24" s="571">
        <v>1141</v>
      </c>
      <c r="L24" s="571">
        <v>772</v>
      </c>
      <c r="M24" s="571">
        <v>1913</v>
      </c>
    </row>
    <row r="25" spans="1:14">
      <c r="A25" s="541" t="s">
        <v>831</v>
      </c>
      <c r="B25" s="515">
        <v>23724</v>
      </c>
      <c r="C25" s="515">
        <v>23444</v>
      </c>
      <c r="D25" s="515">
        <v>47168</v>
      </c>
      <c r="E25" s="515">
        <v>304</v>
      </c>
      <c r="F25" s="515">
        <v>192</v>
      </c>
      <c r="G25" s="515">
        <v>496</v>
      </c>
      <c r="H25" s="515">
        <v>16486</v>
      </c>
      <c r="I25" s="515">
        <v>18557</v>
      </c>
      <c r="J25" s="515">
        <v>35043</v>
      </c>
      <c r="K25" s="515">
        <v>916</v>
      </c>
      <c r="L25" s="515">
        <v>692</v>
      </c>
      <c r="M25" s="515">
        <v>1608</v>
      </c>
    </row>
    <row r="26" spans="1:14">
      <c r="A26" s="541" t="s">
        <v>830</v>
      </c>
      <c r="B26" s="573">
        <v>25213.114204976504</v>
      </c>
      <c r="C26" s="573">
        <v>22250.755646845169</v>
      </c>
      <c r="D26" s="573">
        <v>47463.86985182167</v>
      </c>
      <c r="E26" s="572">
        <v>432</v>
      </c>
      <c r="F26" s="572">
        <v>246</v>
      </c>
      <c r="G26" s="572">
        <v>678</v>
      </c>
      <c r="H26" s="572">
        <v>18685</v>
      </c>
      <c r="I26" s="572">
        <v>17389</v>
      </c>
      <c r="J26" s="572">
        <v>36074</v>
      </c>
      <c r="K26" s="572">
        <v>888</v>
      </c>
      <c r="L26" s="572">
        <v>648</v>
      </c>
      <c r="M26" s="572">
        <v>1536</v>
      </c>
    </row>
    <row r="27" spans="1:14">
      <c r="A27" s="570" t="s">
        <v>829</v>
      </c>
      <c r="B27" s="545">
        <v>23601</v>
      </c>
      <c r="C27" s="545">
        <v>22963</v>
      </c>
      <c r="D27" s="209">
        <v>46564</v>
      </c>
      <c r="E27" s="545">
        <v>383</v>
      </c>
      <c r="F27" s="545">
        <v>239</v>
      </c>
      <c r="G27" s="209">
        <v>622</v>
      </c>
      <c r="H27" s="545">
        <v>16504</v>
      </c>
      <c r="I27" s="545">
        <v>17731</v>
      </c>
      <c r="J27" s="209">
        <v>34235</v>
      </c>
      <c r="K27" s="545">
        <v>784</v>
      </c>
      <c r="L27" s="545">
        <v>483</v>
      </c>
      <c r="M27" s="209">
        <v>1267</v>
      </c>
    </row>
    <row r="28" spans="1:14">
      <c r="A28" s="570" t="s">
        <v>828</v>
      </c>
      <c r="B28" s="515">
        <v>23381</v>
      </c>
      <c r="C28" s="515">
        <v>23071</v>
      </c>
      <c r="D28" s="515">
        <v>46452</v>
      </c>
      <c r="E28" s="515">
        <v>540</v>
      </c>
      <c r="F28" s="515">
        <v>364</v>
      </c>
      <c r="G28" s="515">
        <v>904</v>
      </c>
      <c r="H28" s="515">
        <v>17997</v>
      </c>
      <c r="I28" s="515">
        <v>19330</v>
      </c>
      <c r="J28" s="515">
        <v>37327</v>
      </c>
      <c r="K28" s="515">
        <v>910</v>
      </c>
      <c r="L28" s="515">
        <v>641</v>
      </c>
      <c r="M28" s="515">
        <v>1551</v>
      </c>
    </row>
    <row r="29" spans="1:14" ht="15">
      <c r="A29" s="537" t="s">
        <v>17</v>
      </c>
      <c r="B29" s="564"/>
      <c r="C29" s="512"/>
      <c r="D29" s="512"/>
      <c r="E29" s="512"/>
      <c r="F29" s="512"/>
      <c r="G29" s="513"/>
      <c r="H29" s="564"/>
      <c r="I29" s="512"/>
      <c r="J29" s="512"/>
      <c r="K29" s="512"/>
      <c r="L29" s="512"/>
      <c r="M29" s="512"/>
    </row>
    <row r="30" spans="1:14">
      <c r="A30" s="541" t="s">
        <v>832</v>
      </c>
      <c r="B30" s="571">
        <v>316908</v>
      </c>
      <c r="C30" s="571">
        <v>333693</v>
      </c>
      <c r="D30" s="571">
        <v>650601</v>
      </c>
      <c r="E30" s="571">
        <v>27642</v>
      </c>
      <c r="F30" s="571">
        <v>26519</v>
      </c>
      <c r="G30" s="571">
        <v>54161</v>
      </c>
      <c r="H30" s="571">
        <v>50251</v>
      </c>
      <c r="I30" s="571">
        <v>55109</v>
      </c>
      <c r="J30" s="571">
        <v>105360</v>
      </c>
      <c r="K30" s="571">
        <v>83549</v>
      </c>
      <c r="L30" s="571">
        <v>93431</v>
      </c>
      <c r="M30" s="571">
        <v>176980</v>
      </c>
    </row>
    <row r="31" spans="1:14">
      <c r="A31" s="541" t="s">
        <v>831</v>
      </c>
      <c r="B31" s="515">
        <v>347484</v>
      </c>
      <c r="C31" s="515">
        <v>352679</v>
      </c>
      <c r="D31" s="515">
        <v>700163</v>
      </c>
      <c r="E31" s="515">
        <v>30045</v>
      </c>
      <c r="F31" s="515">
        <v>28123</v>
      </c>
      <c r="G31" s="515">
        <v>58168</v>
      </c>
      <c r="H31" s="515">
        <v>56783</v>
      </c>
      <c r="I31" s="515">
        <v>57526</v>
      </c>
      <c r="J31" s="515">
        <v>114309</v>
      </c>
      <c r="K31" s="515">
        <v>91467</v>
      </c>
      <c r="L31" s="515">
        <v>98892</v>
      </c>
      <c r="M31" s="515">
        <v>190359</v>
      </c>
    </row>
    <row r="32" spans="1:14">
      <c r="A32" s="541" t="s">
        <v>830</v>
      </c>
      <c r="B32" s="573">
        <v>336938.68622699904</v>
      </c>
      <c r="C32" s="573">
        <v>341404.84520647139</v>
      </c>
      <c r="D32" s="573">
        <v>678343.53143347043</v>
      </c>
      <c r="E32" s="572">
        <v>28384</v>
      </c>
      <c r="F32" s="572">
        <v>26170</v>
      </c>
      <c r="G32" s="572">
        <v>54554</v>
      </c>
      <c r="H32" s="572">
        <v>49517</v>
      </c>
      <c r="I32" s="572">
        <v>48090</v>
      </c>
      <c r="J32" s="572">
        <v>97607</v>
      </c>
      <c r="K32" s="572">
        <v>86073</v>
      </c>
      <c r="L32" s="572">
        <v>88615</v>
      </c>
      <c r="M32" s="572">
        <v>174688</v>
      </c>
    </row>
    <row r="33" spans="1:13">
      <c r="A33" s="570" t="s">
        <v>829</v>
      </c>
      <c r="B33" s="545">
        <v>323890</v>
      </c>
      <c r="C33" s="545">
        <v>316380</v>
      </c>
      <c r="D33" s="209">
        <v>640270</v>
      </c>
      <c r="E33" s="545">
        <v>27567</v>
      </c>
      <c r="F33" s="545">
        <v>25746</v>
      </c>
      <c r="G33" s="209">
        <v>53313</v>
      </c>
      <c r="H33" s="545">
        <v>52688</v>
      </c>
      <c r="I33" s="545">
        <v>52145</v>
      </c>
      <c r="J33" s="209">
        <v>104833</v>
      </c>
      <c r="K33" s="545">
        <v>87669</v>
      </c>
      <c r="L33" s="545">
        <v>92550</v>
      </c>
      <c r="M33" s="209">
        <v>180219</v>
      </c>
    </row>
    <row r="34" spans="1:13">
      <c r="A34" s="570" t="s">
        <v>828</v>
      </c>
      <c r="B34" s="515">
        <v>292856</v>
      </c>
      <c r="C34" s="515">
        <v>278099</v>
      </c>
      <c r="D34" s="515">
        <v>570955</v>
      </c>
      <c r="E34" s="515">
        <v>24703</v>
      </c>
      <c r="F34" s="515">
        <v>22120</v>
      </c>
      <c r="G34" s="515">
        <v>46823</v>
      </c>
      <c r="H34" s="515">
        <v>45700</v>
      </c>
      <c r="I34" s="515">
        <v>44005</v>
      </c>
      <c r="J34" s="515">
        <v>89705</v>
      </c>
      <c r="K34" s="515">
        <v>74470</v>
      </c>
      <c r="L34" s="515">
        <v>76882</v>
      </c>
      <c r="M34" s="515">
        <v>151352</v>
      </c>
    </row>
    <row r="35" spans="1:13" ht="15">
      <c r="A35" s="537" t="s">
        <v>18</v>
      </c>
      <c r="B35" s="564"/>
      <c r="C35" s="512"/>
      <c r="D35" s="512"/>
      <c r="E35" s="512"/>
      <c r="F35" s="512"/>
      <c r="G35" s="513"/>
      <c r="H35" s="564"/>
      <c r="I35" s="512"/>
      <c r="J35" s="512"/>
      <c r="K35" s="512"/>
      <c r="L35" s="512"/>
      <c r="M35" s="512"/>
    </row>
    <row r="36" spans="1:13">
      <c r="A36" s="541" t="s">
        <v>832</v>
      </c>
      <c r="B36" s="571">
        <v>969902</v>
      </c>
      <c r="C36" s="571">
        <v>768530</v>
      </c>
      <c r="D36" s="571">
        <v>1738432</v>
      </c>
      <c r="E36" s="571">
        <v>123647</v>
      </c>
      <c r="F36" s="571">
        <v>74568</v>
      </c>
      <c r="G36" s="571">
        <v>198215</v>
      </c>
      <c r="H36" s="571">
        <v>17236</v>
      </c>
      <c r="I36" s="571">
        <v>13286</v>
      </c>
      <c r="J36" s="571">
        <v>30522</v>
      </c>
      <c r="K36" s="571">
        <v>458383</v>
      </c>
      <c r="L36" s="571">
        <v>356262</v>
      </c>
      <c r="M36" s="571">
        <v>814645</v>
      </c>
    </row>
    <row r="37" spans="1:13">
      <c r="A37" s="541" t="s">
        <v>831</v>
      </c>
      <c r="B37" s="515">
        <v>920485</v>
      </c>
      <c r="C37" s="515">
        <v>686523</v>
      </c>
      <c r="D37" s="515">
        <v>1607008</v>
      </c>
      <c r="E37" s="515">
        <v>111827</v>
      </c>
      <c r="F37" s="515">
        <v>66058</v>
      </c>
      <c r="G37" s="515">
        <v>177885</v>
      </c>
      <c r="H37" s="515">
        <v>15816</v>
      </c>
      <c r="I37" s="515">
        <v>10728</v>
      </c>
      <c r="J37" s="515">
        <v>26544</v>
      </c>
      <c r="K37" s="515">
        <v>411594</v>
      </c>
      <c r="L37" s="515">
        <v>295551</v>
      </c>
      <c r="M37" s="515">
        <v>707145</v>
      </c>
    </row>
    <row r="38" spans="1:13">
      <c r="A38" s="541" t="s">
        <v>830</v>
      </c>
      <c r="B38" s="572">
        <v>872270</v>
      </c>
      <c r="C38" s="572">
        <v>642325</v>
      </c>
      <c r="D38" s="572">
        <v>1514595</v>
      </c>
      <c r="E38" s="572">
        <v>99725</v>
      </c>
      <c r="F38" s="572">
        <v>60529</v>
      </c>
      <c r="G38" s="572">
        <v>160254</v>
      </c>
      <c r="H38" s="572">
        <v>13046</v>
      </c>
      <c r="I38" s="572">
        <v>8495</v>
      </c>
      <c r="J38" s="572">
        <v>21541</v>
      </c>
      <c r="K38" s="572">
        <v>383787</v>
      </c>
      <c r="L38" s="572">
        <v>278682</v>
      </c>
      <c r="M38" s="572">
        <v>662469</v>
      </c>
    </row>
    <row r="39" spans="1:13">
      <c r="A39" s="570" t="s">
        <v>829</v>
      </c>
      <c r="B39" s="545">
        <v>948748</v>
      </c>
      <c r="C39" s="545">
        <v>696770</v>
      </c>
      <c r="D39" s="209">
        <v>1645518</v>
      </c>
      <c r="E39" s="545">
        <v>101848</v>
      </c>
      <c r="F39" s="545">
        <v>63155</v>
      </c>
      <c r="G39" s="209">
        <v>165003</v>
      </c>
      <c r="H39" s="545">
        <v>11402</v>
      </c>
      <c r="I39" s="545">
        <v>7808</v>
      </c>
      <c r="J39" s="209">
        <v>19210</v>
      </c>
      <c r="K39" s="545">
        <v>399664</v>
      </c>
      <c r="L39" s="545">
        <v>285655</v>
      </c>
      <c r="M39" s="209">
        <v>685319</v>
      </c>
    </row>
    <row r="40" spans="1:13">
      <c r="A40" s="570" t="s">
        <v>828</v>
      </c>
      <c r="B40" s="515">
        <v>928658</v>
      </c>
      <c r="C40" s="515">
        <v>674202</v>
      </c>
      <c r="D40" s="515">
        <v>1602860</v>
      </c>
      <c r="E40" s="515">
        <v>96535</v>
      </c>
      <c r="F40" s="515">
        <v>59270</v>
      </c>
      <c r="G40" s="515">
        <v>155805</v>
      </c>
      <c r="H40" s="515">
        <v>9303</v>
      </c>
      <c r="I40" s="515">
        <v>7627</v>
      </c>
      <c r="J40" s="515">
        <v>16930</v>
      </c>
      <c r="K40" s="515">
        <v>378194</v>
      </c>
      <c r="L40" s="515">
        <v>264113</v>
      </c>
      <c r="M40" s="515">
        <v>642307</v>
      </c>
    </row>
    <row r="41" spans="1:13" ht="15">
      <c r="A41" s="537" t="s">
        <v>19</v>
      </c>
      <c r="B41" s="564"/>
      <c r="C41" s="512"/>
      <c r="D41" s="512"/>
      <c r="E41" s="512"/>
      <c r="F41" s="512"/>
      <c r="G41" s="513"/>
      <c r="H41" s="564"/>
      <c r="I41" s="512"/>
      <c r="J41" s="512"/>
      <c r="K41" s="512"/>
      <c r="L41" s="512"/>
      <c r="M41" s="512"/>
    </row>
    <row r="42" spans="1:13">
      <c r="A42" s="541" t="s">
        <v>832</v>
      </c>
      <c r="B42" s="571">
        <v>53170</v>
      </c>
      <c r="C42" s="571">
        <v>53497</v>
      </c>
      <c r="D42" s="571">
        <v>106667</v>
      </c>
      <c r="E42" s="571">
        <v>6827</v>
      </c>
      <c r="F42" s="571">
        <v>6037</v>
      </c>
      <c r="G42" s="571">
        <v>12864</v>
      </c>
      <c r="H42" s="571">
        <v>961</v>
      </c>
      <c r="I42" s="571">
        <v>829</v>
      </c>
      <c r="J42" s="571">
        <v>1790</v>
      </c>
      <c r="K42" s="571">
        <v>3837</v>
      </c>
      <c r="L42" s="571">
        <v>2373</v>
      </c>
      <c r="M42" s="571">
        <v>6210</v>
      </c>
    </row>
    <row r="43" spans="1:13">
      <c r="A43" s="541" t="s">
        <v>831</v>
      </c>
      <c r="B43" s="515">
        <v>48566</v>
      </c>
      <c r="C43" s="515">
        <v>50443</v>
      </c>
      <c r="D43" s="515">
        <v>99009</v>
      </c>
      <c r="E43" s="515">
        <v>6578</v>
      </c>
      <c r="F43" s="515">
        <v>5813</v>
      </c>
      <c r="G43" s="515">
        <v>12391</v>
      </c>
      <c r="H43" s="515">
        <v>836</v>
      </c>
      <c r="I43" s="515">
        <v>776</v>
      </c>
      <c r="J43" s="515">
        <v>1612</v>
      </c>
      <c r="K43" s="515">
        <v>3107</v>
      </c>
      <c r="L43" s="515">
        <v>2050</v>
      </c>
      <c r="M43" s="515">
        <v>5157</v>
      </c>
    </row>
    <row r="44" spans="1:13">
      <c r="A44" s="541" t="s">
        <v>830</v>
      </c>
      <c r="B44" s="573">
        <v>54058.655986165402</v>
      </c>
      <c r="C44" s="573">
        <v>51770.792417998033</v>
      </c>
      <c r="D44" s="573">
        <v>105829.44840416344</v>
      </c>
      <c r="E44" s="572">
        <v>6500</v>
      </c>
      <c r="F44" s="572">
        <v>5441</v>
      </c>
      <c r="G44" s="572">
        <v>11941</v>
      </c>
      <c r="H44" s="572">
        <v>1021</v>
      </c>
      <c r="I44" s="572">
        <v>897</v>
      </c>
      <c r="J44" s="572">
        <v>1918</v>
      </c>
      <c r="K44" s="572">
        <v>3397</v>
      </c>
      <c r="L44" s="572">
        <v>1928</v>
      </c>
      <c r="M44" s="572">
        <v>5325</v>
      </c>
    </row>
    <row r="45" spans="1:13">
      <c r="A45" s="570" t="s">
        <v>829</v>
      </c>
      <c r="B45" s="545">
        <v>49981</v>
      </c>
      <c r="C45" s="545">
        <v>50868</v>
      </c>
      <c r="D45" s="209">
        <v>100849</v>
      </c>
      <c r="E45" s="545">
        <v>5771</v>
      </c>
      <c r="F45" s="545">
        <v>5874</v>
      </c>
      <c r="G45" s="209">
        <v>11645</v>
      </c>
      <c r="H45" s="545">
        <v>993</v>
      </c>
      <c r="I45" s="545">
        <v>908</v>
      </c>
      <c r="J45" s="209">
        <v>1901</v>
      </c>
      <c r="K45" s="545">
        <v>2785</v>
      </c>
      <c r="L45" s="545">
        <v>2093</v>
      </c>
      <c r="M45" s="209">
        <v>4878</v>
      </c>
    </row>
    <row r="46" spans="1:13">
      <c r="A46" s="570" t="s">
        <v>828</v>
      </c>
      <c r="B46" s="515">
        <v>49122</v>
      </c>
      <c r="C46" s="515">
        <v>50870</v>
      </c>
      <c r="D46" s="515">
        <v>99992</v>
      </c>
      <c r="E46" s="515">
        <v>5343</v>
      </c>
      <c r="F46" s="515">
        <v>5644</v>
      </c>
      <c r="G46" s="515">
        <v>10987</v>
      </c>
      <c r="H46" s="515">
        <v>896</v>
      </c>
      <c r="I46" s="515">
        <v>752</v>
      </c>
      <c r="J46" s="515">
        <v>1648</v>
      </c>
      <c r="K46" s="515">
        <v>2651</v>
      </c>
      <c r="L46" s="515">
        <v>1941</v>
      </c>
      <c r="M46" s="515">
        <v>4592</v>
      </c>
    </row>
    <row r="47" spans="1:13" ht="15">
      <c r="A47" s="537" t="s">
        <v>56</v>
      </c>
      <c r="B47" s="564"/>
      <c r="C47" s="512"/>
      <c r="D47" s="512"/>
      <c r="E47" s="512"/>
      <c r="F47" s="512"/>
      <c r="G47" s="513"/>
      <c r="H47" s="564"/>
      <c r="I47" s="512"/>
      <c r="J47" s="512"/>
      <c r="K47" s="512"/>
      <c r="L47" s="512"/>
      <c r="M47" s="512"/>
    </row>
    <row r="48" spans="1:13">
      <c r="A48" s="541" t="s">
        <v>832</v>
      </c>
      <c r="B48" s="571">
        <v>272813</v>
      </c>
      <c r="C48" s="571">
        <v>313582</v>
      </c>
      <c r="D48" s="571">
        <v>586395</v>
      </c>
      <c r="E48" s="571">
        <v>37575</v>
      </c>
      <c r="F48" s="571">
        <v>40055</v>
      </c>
      <c r="G48" s="571">
        <v>77630</v>
      </c>
      <c r="H48" s="571">
        <v>46084</v>
      </c>
      <c r="I48" s="571">
        <v>62803</v>
      </c>
      <c r="J48" s="571">
        <v>108887</v>
      </c>
      <c r="K48" s="571">
        <v>121781</v>
      </c>
      <c r="L48" s="571">
        <v>136814</v>
      </c>
      <c r="M48" s="571">
        <v>258595</v>
      </c>
    </row>
    <row r="49" spans="1:13">
      <c r="A49" s="541" t="s">
        <v>831</v>
      </c>
      <c r="B49" s="515">
        <v>282785</v>
      </c>
      <c r="C49" s="515">
        <v>304139</v>
      </c>
      <c r="D49" s="515">
        <v>586924</v>
      </c>
      <c r="E49" s="515">
        <v>37893</v>
      </c>
      <c r="F49" s="515">
        <v>38995</v>
      </c>
      <c r="G49" s="515">
        <v>76888</v>
      </c>
      <c r="H49" s="515">
        <v>46644</v>
      </c>
      <c r="I49" s="515">
        <v>59222</v>
      </c>
      <c r="J49" s="515">
        <v>105866</v>
      </c>
      <c r="K49" s="515">
        <v>122888</v>
      </c>
      <c r="L49" s="515">
        <v>129965</v>
      </c>
      <c r="M49" s="515">
        <v>252853</v>
      </c>
    </row>
    <row r="50" spans="1:13">
      <c r="A50" s="541" t="s">
        <v>830</v>
      </c>
      <c r="B50" s="572">
        <v>287143</v>
      </c>
      <c r="C50" s="572">
        <v>287718</v>
      </c>
      <c r="D50" s="572">
        <v>574861</v>
      </c>
      <c r="E50" s="572">
        <v>39314</v>
      </c>
      <c r="F50" s="572">
        <v>36225</v>
      </c>
      <c r="G50" s="572">
        <v>75539</v>
      </c>
      <c r="H50" s="572">
        <v>48834</v>
      </c>
      <c r="I50" s="572">
        <v>54855</v>
      </c>
      <c r="J50" s="572">
        <v>103689</v>
      </c>
      <c r="K50" s="572">
        <v>123942</v>
      </c>
      <c r="L50" s="572">
        <v>120898</v>
      </c>
      <c r="M50" s="572">
        <v>244840</v>
      </c>
    </row>
    <row r="51" spans="1:13">
      <c r="A51" s="570" t="s">
        <v>829</v>
      </c>
      <c r="B51" s="545">
        <v>253126</v>
      </c>
      <c r="C51" s="545">
        <v>246920</v>
      </c>
      <c r="D51" s="209">
        <v>500046</v>
      </c>
      <c r="E51" s="545">
        <v>33407</v>
      </c>
      <c r="F51" s="545">
        <v>30147</v>
      </c>
      <c r="G51" s="209">
        <v>63554</v>
      </c>
      <c r="H51" s="545">
        <v>43919</v>
      </c>
      <c r="I51" s="545">
        <v>47414</v>
      </c>
      <c r="J51" s="209">
        <v>91333</v>
      </c>
      <c r="K51" s="545">
        <v>106216</v>
      </c>
      <c r="L51" s="545">
        <v>100345</v>
      </c>
      <c r="M51" s="209">
        <v>206561</v>
      </c>
    </row>
    <row r="52" spans="1:13">
      <c r="A52" s="570" t="s">
        <v>828</v>
      </c>
      <c r="B52" s="515">
        <v>240872</v>
      </c>
      <c r="C52" s="515">
        <v>225158</v>
      </c>
      <c r="D52" s="515">
        <v>466030</v>
      </c>
      <c r="E52" s="515">
        <v>32238</v>
      </c>
      <c r="F52" s="515">
        <v>28278</v>
      </c>
      <c r="G52" s="515">
        <v>60516</v>
      </c>
      <c r="H52" s="515">
        <v>42138</v>
      </c>
      <c r="I52" s="515">
        <v>42950</v>
      </c>
      <c r="J52" s="515">
        <v>85088</v>
      </c>
      <c r="K52" s="515">
        <v>99830</v>
      </c>
      <c r="L52" s="515">
        <v>88313</v>
      </c>
      <c r="M52" s="515">
        <v>188143</v>
      </c>
    </row>
    <row r="53" spans="1:13" ht="15">
      <c r="A53" s="537" t="s">
        <v>155</v>
      </c>
      <c r="B53" s="564"/>
      <c r="C53" s="512"/>
      <c r="D53" s="512"/>
      <c r="E53" s="512"/>
      <c r="F53" s="512"/>
      <c r="G53" s="513"/>
      <c r="H53" s="564"/>
      <c r="I53" s="512"/>
      <c r="J53" s="512"/>
      <c r="K53" s="512"/>
      <c r="L53" s="512"/>
      <c r="M53" s="512"/>
    </row>
    <row r="54" spans="1:13">
      <c r="A54" s="541" t="s">
        <v>832</v>
      </c>
      <c r="B54" s="571">
        <v>3130</v>
      </c>
      <c r="C54" s="571">
        <v>3263</v>
      </c>
      <c r="D54" s="571">
        <v>6393</v>
      </c>
      <c r="E54" s="571">
        <v>107</v>
      </c>
      <c r="F54" s="571">
        <v>98</v>
      </c>
      <c r="G54" s="571">
        <v>205</v>
      </c>
      <c r="H54" s="571">
        <v>587</v>
      </c>
      <c r="I54" s="571">
        <v>735</v>
      </c>
      <c r="J54" s="571">
        <v>1322</v>
      </c>
      <c r="K54" s="571">
        <v>271</v>
      </c>
      <c r="L54" s="571">
        <v>317</v>
      </c>
      <c r="M54" s="571">
        <v>588</v>
      </c>
    </row>
    <row r="55" spans="1:13">
      <c r="A55" s="541" t="s">
        <v>831</v>
      </c>
      <c r="B55" s="515">
        <v>3032</v>
      </c>
      <c r="C55" s="515">
        <v>3070</v>
      </c>
      <c r="D55" s="515">
        <v>6102</v>
      </c>
      <c r="E55" s="515">
        <v>92</v>
      </c>
      <c r="F55" s="515">
        <v>102</v>
      </c>
      <c r="G55" s="515">
        <v>194</v>
      </c>
      <c r="H55" s="515">
        <v>639</v>
      </c>
      <c r="I55" s="515">
        <v>723</v>
      </c>
      <c r="J55" s="515">
        <v>1362</v>
      </c>
      <c r="K55" s="515">
        <v>213</v>
      </c>
      <c r="L55" s="515">
        <v>298</v>
      </c>
      <c r="M55" s="515">
        <v>511</v>
      </c>
    </row>
    <row r="56" spans="1:13">
      <c r="A56" s="541" t="s">
        <v>830</v>
      </c>
      <c r="B56" s="572">
        <v>2850</v>
      </c>
      <c r="C56" s="572">
        <v>2926</v>
      </c>
      <c r="D56" s="572">
        <v>5776</v>
      </c>
      <c r="E56" s="572">
        <v>93</v>
      </c>
      <c r="F56" s="572">
        <v>123</v>
      </c>
      <c r="G56" s="572">
        <v>216</v>
      </c>
      <c r="H56" s="572">
        <v>686</v>
      </c>
      <c r="I56" s="572">
        <v>754</v>
      </c>
      <c r="J56" s="572">
        <v>1440</v>
      </c>
      <c r="K56" s="572">
        <v>230</v>
      </c>
      <c r="L56" s="572">
        <v>325</v>
      </c>
      <c r="M56" s="572">
        <v>555</v>
      </c>
    </row>
    <row r="57" spans="1:13">
      <c r="A57" s="570" t="s">
        <v>829</v>
      </c>
      <c r="B57" s="545">
        <v>2918</v>
      </c>
      <c r="C57" s="545">
        <v>2708</v>
      </c>
      <c r="D57" s="209">
        <v>5626</v>
      </c>
      <c r="E57" s="545">
        <v>84</v>
      </c>
      <c r="F57" s="545">
        <v>127</v>
      </c>
      <c r="G57" s="209">
        <v>211</v>
      </c>
      <c r="H57" s="545">
        <v>803</v>
      </c>
      <c r="I57" s="545">
        <v>713</v>
      </c>
      <c r="J57" s="209">
        <v>1516</v>
      </c>
      <c r="K57" s="545">
        <v>243</v>
      </c>
      <c r="L57" s="545">
        <v>313</v>
      </c>
      <c r="M57" s="209">
        <v>556</v>
      </c>
    </row>
    <row r="58" spans="1:13">
      <c r="A58" s="570" t="s">
        <v>828</v>
      </c>
      <c r="B58" s="515">
        <v>2909</v>
      </c>
      <c r="C58" s="515">
        <v>2545</v>
      </c>
      <c r="D58" s="515">
        <v>5454</v>
      </c>
      <c r="E58" s="515">
        <v>95</v>
      </c>
      <c r="F58" s="515">
        <v>126</v>
      </c>
      <c r="G58" s="515">
        <v>221</v>
      </c>
      <c r="H58" s="515">
        <v>902</v>
      </c>
      <c r="I58" s="515">
        <v>760</v>
      </c>
      <c r="J58" s="515">
        <v>1662</v>
      </c>
      <c r="K58" s="515">
        <v>275</v>
      </c>
      <c r="L58" s="515">
        <v>289</v>
      </c>
      <c r="M58" s="515">
        <v>564</v>
      </c>
    </row>
    <row r="59" spans="1:13" ht="15">
      <c r="A59" s="537" t="s">
        <v>156</v>
      </c>
      <c r="B59" s="564"/>
      <c r="C59" s="512"/>
      <c r="D59" s="512"/>
      <c r="E59" s="512"/>
      <c r="F59" s="512"/>
      <c r="G59" s="513"/>
      <c r="H59" s="564"/>
      <c r="I59" s="512"/>
      <c r="J59" s="512"/>
      <c r="K59" s="512"/>
      <c r="L59" s="512"/>
      <c r="M59" s="512"/>
    </row>
    <row r="60" spans="1:13">
      <c r="A60" s="541" t="s">
        <v>832</v>
      </c>
      <c r="B60" s="571">
        <v>2190</v>
      </c>
      <c r="C60" s="571">
        <v>1742</v>
      </c>
      <c r="D60" s="571">
        <v>3932</v>
      </c>
      <c r="E60" s="571">
        <v>94</v>
      </c>
      <c r="F60" s="571">
        <v>135</v>
      </c>
      <c r="G60" s="571">
        <v>229</v>
      </c>
      <c r="H60" s="571">
        <v>134</v>
      </c>
      <c r="I60" s="571">
        <v>263</v>
      </c>
      <c r="J60" s="571">
        <v>397</v>
      </c>
      <c r="K60" s="571">
        <v>680</v>
      </c>
      <c r="L60" s="571">
        <v>626</v>
      </c>
      <c r="M60" s="571">
        <v>1306</v>
      </c>
    </row>
    <row r="61" spans="1:13">
      <c r="A61" s="541" t="s">
        <v>831</v>
      </c>
      <c r="B61" s="515">
        <v>1962</v>
      </c>
      <c r="C61" s="515">
        <v>1441</v>
      </c>
      <c r="D61" s="515">
        <v>3403</v>
      </c>
      <c r="E61" s="515">
        <v>94</v>
      </c>
      <c r="F61" s="515">
        <v>112</v>
      </c>
      <c r="G61" s="515">
        <v>206</v>
      </c>
      <c r="H61" s="515">
        <v>146</v>
      </c>
      <c r="I61" s="515">
        <v>194</v>
      </c>
      <c r="J61" s="515">
        <v>340</v>
      </c>
      <c r="K61" s="515">
        <v>600</v>
      </c>
      <c r="L61" s="515">
        <v>539</v>
      </c>
      <c r="M61" s="515">
        <v>1139</v>
      </c>
    </row>
    <row r="62" spans="1:13">
      <c r="A62" s="541" t="s">
        <v>830</v>
      </c>
      <c r="B62" s="572">
        <v>1808</v>
      </c>
      <c r="C62" s="572">
        <v>1282</v>
      </c>
      <c r="D62" s="572">
        <v>3090</v>
      </c>
      <c r="E62" s="572">
        <v>112</v>
      </c>
      <c r="F62" s="572">
        <v>109</v>
      </c>
      <c r="G62" s="572">
        <v>221</v>
      </c>
      <c r="H62" s="572">
        <v>129</v>
      </c>
      <c r="I62" s="572">
        <v>158</v>
      </c>
      <c r="J62" s="572">
        <v>287</v>
      </c>
      <c r="K62" s="572">
        <v>527</v>
      </c>
      <c r="L62" s="572">
        <v>401</v>
      </c>
      <c r="M62" s="572">
        <v>928</v>
      </c>
    </row>
    <row r="63" spans="1:13">
      <c r="A63" s="570" t="s">
        <v>829</v>
      </c>
      <c r="B63" s="545">
        <v>1934</v>
      </c>
      <c r="C63" s="545">
        <v>1185</v>
      </c>
      <c r="D63" s="209">
        <v>3119</v>
      </c>
      <c r="E63" s="545">
        <v>104</v>
      </c>
      <c r="F63" s="545">
        <v>124</v>
      </c>
      <c r="G63" s="209">
        <v>228</v>
      </c>
      <c r="H63" s="545">
        <v>157</v>
      </c>
      <c r="I63" s="545">
        <v>140</v>
      </c>
      <c r="J63" s="209">
        <v>297</v>
      </c>
      <c r="K63" s="545">
        <v>571</v>
      </c>
      <c r="L63" s="545">
        <v>336</v>
      </c>
      <c r="M63" s="209">
        <v>907</v>
      </c>
    </row>
    <row r="64" spans="1:13">
      <c r="A64" s="570" t="s">
        <v>828</v>
      </c>
      <c r="B64" s="515">
        <v>1881</v>
      </c>
      <c r="C64" s="515">
        <v>1241</v>
      </c>
      <c r="D64" s="515">
        <v>3122</v>
      </c>
      <c r="E64" s="515">
        <v>118</v>
      </c>
      <c r="F64" s="515">
        <v>111</v>
      </c>
      <c r="G64" s="515">
        <v>229</v>
      </c>
      <c r="H64" s="515">
        <v>188</v>
      </c>
      <c r="I64" s="515">
        <v>143</v>
      </c>
      <c r="J64" s="515">
        <v>331</v>
      </c>
      <c r="K64" s="515">
        <v>447</v>
      </c>
      <c r="L64" s="515">
        <v>306</v>
      </c>
      <c r="M64" s="515">
        <v>753</v>
      </c>
    </row>
    <row r="65" spans="1:13" ht="15">
      <c r="A65" s="537" t="s">
        <v>23</v>
      </c>
      <c r="B65" s="564"/>
      <c r="C65" s="512"/>
      <c r="D65" s="512"/>
      <c r="E65" s="512"/>
      <c r="F65" s="512"/>
      <c r="G65" s="513"/>
      <c r="H65" s="564"/>
      <c r="I65" s="512"/>
      <c r="J65" s="512"/>
      <c r="K65" s="512"/>
      <c r="L65" s="512"/>
      <c r="M65" s="512"/>
    </row>
    <row r="66" spans="1:13">
      <c r="A66" s="541" t="s">
        <v>832</v>
      </c>
      <c r="B66" s="571">
        <v>578747</v>
      </c>
      <c r="C66" s="571">
        <v>554109</v>
      </c>
      <c r="D66" s="571">
        <v>1132856</v>
      </c>
      <c r="E66" s="571">
        <v>80990</v>
      </c>
      <c r="F66" s="571">
        <v>81296</v>
      </c>
      <c r="G66" s="571">
        <v>162286</v>
      </c>
      <c r="H66" s="571">
        <v>8315</v>
      </c>
      <c r="I66" s="571">
        <v>7314</v>
      </c>
      <c r="J66" s="571">
        <v>15629</v>
      </c>
      <c r="K66" s="571">
        <v>108206</v>
      </c>
      <c r="L66" s="571">
        <v>81721</v>
      </c>
      <c r="M66" s="571">
        <v>189927</v>
      </c>
    </row>
    <row r="67" spans="1:13">
      <c r="A67" s="541" t="s">
        <v>831</v>
      </c>
      <c r="B67" s="515">
        <v>549782</v>
      </c>
      <c r="C67" s="515">
        <v>527774</v>
      </c>
      <c r="D67" s="515">
        <v>1077556</v>
      </c>
      <c r="E67" s="515">
        <v>74144</v>
      </c>
      <c r="F67" s="515">
        <v>73583</v>
      </c>
      <c r="G67" s="515">
        <v>147727</v>
      </c>
      <c r="H67" s="515">
        <v>11244</v>
      </c>
      <c r="I67" s="515">
        <v>9151</v>
      </c>
      <c r="J67" s="515">
        <v>20395</v>
      </c>
      <c r="K67" s="515">
        <v>90392</v>
      </c>
      <c r="L67" s="515">
        <v>64796</v>
      </c>
      <c r="M67" s="515">
        <v>155188</v>
      </c>
    </row>
    <row r="68" spans="1:13">
      <c r="A68" s="541" t="s">
        <v>830</v>
      </c>
      <c r="B68" s="573">
        <v>565088.58075349708</v>
      </c>
      <c r="C68" s="573">
        <v>499317.31368653738</v>
      </c>
      <c r="D68" s="573">
        <v>1064405.8944400344</v>
      </c>
      <c r="E68" s="572">
        <v>73096</v>
      </c>
      <c r="F68" s="572">
        <v>63859</v>
      </c>
      <c r="G68" s="572">
        <v>136955</v>
      </c>
      <c r="H68" s="572">
        <v>10757</v>
      </c>
      <c r="I68" s="572">
        <v>8415</v>
      </c>
      <c r="J68" s="572">
        <v>19172</v>
      </c>
      <c r="K68" s="572">
        <v>84506</v>
      </c>
      <c r="L68" s="572">
        <v>55337</v>
      </c>
      <c r="M68" s="572">
        <v>139843</v>
      </c>
    </row>
    <row r="69" spans="1:13">
      <c r="A69" s="570" t="s">
        <v>829</v>
      </c>
      <c r="B69" s="545">
        <v>531056</v>
      </c>
      <c r="C69" s="545">
        <v>496750</v>
      </c>
      <c r="D69" s="209">
        <v>1027806</v>
      </c>
      <c r="E69" s="545">
        <v>65724</v>
      </c>
      <c r="F69" s="545">
        <v>60441</v>
      </c>
      <c r="G69" s="209">
        <v>126165</v>
      </c>
      <c r="H69" s="545">
        <v>8785</v>
      </c>
      <c r="I69" s="545">
        <v>7334</v>
      </c>
      <c r="J69" s="209">
        <v>16119</v>
      </c>
      <c r="K69" s="545">
        <v>76505</v>
      </c>
      <c r="L69" s="545">
        <v>52428</v>
      </c>
      <c r="M69" s="209">
        <v>128933</v>
      </c>
    </row>
    <row r="70" spans="1:13">
      <c r="A70" s="570" t="s">
        <v>828</v>
      </c>
      <c r="B70" s="515">
        <v>526798</v>
      </c>
      <c r="C70" s="515">
        <v>488078</v>
      </c>
      <c r="D70" s="515">
        <v>1014876</v>
      </c>
      <c r="E70" s="515">
        <v>67837</v>
      </c>
      <c r="F70" s="515">
        <v>55555</v>
      </c>
      <c r="G70" s="515">
        <v>123392</v>
      </c>
      <c r="H70" s="515">
        <v>9008</v>
      </c>
      <c r="I70" s="515">
        <v>7356</v>
      </c>
      <c r="J70" s="515">
        <v>16364</v>
      </c>
      <c r="K70" s="515">
        <v>73498</v>
      </c>
      <c r="L70" s="515">
        <v>48975</v>
      </c>
      <c r="M70" s="515">
        <v>122473</v>
      </c>
    </row>
    <row r="71" spans="1:13" ht="15">
      <c r="A71" s="537" t="s">
        <v>24</v>
      </c>
      <c r="B71" s="564"/>
      <c r="C71" s="512"/>
      <c r="D71" s="512"/>
      <c r="E71" s="512"/>
      <c r="F71" s="512"/>
      <c r="G71" s="513"/>
      <c r="H71" s="564"/>
      <c r="I71" s="512"/>
      <c r="J71" s="512"/>
      <c r="K71" s="512"/>
      <c r="L71" s="512"/>
      <c r="M71" s="512"/>
    </row>
    <row r="72" spans="1:13">
      <c r="A72" s="541" t="s">
        <v>832</v>
      </c>
      <c r="B72" s="571">
        <v>25055</v>
      </c>
      <c r="C72" s="571">
        <v>27727</v>
      </c>
      <c r="D72" s="571">
        <v>52782</v>
      </c>
      <c r="E72" s="571">
        <v>555</v>
      </c>
      <c r="F72" s="571">
        <v>540</v>
      </c>
      <c r="G72" s="571">
        <v>1095</v>
      </c>
      <c r="H72" s="571">
        <v>1850</v>
      </c>
      <c r="I72" s="571">
        <v>2652</v>
      </c>
      <c r="J72" s="571">
        <v>4502</v>
      </c>
      <c r="K72" s="571">
        <v>4089</v>
      </c>
      <c r="L72" s="571">
        <v>5499</v>
      </c>
      <c r="M72" s="571">
        <v>9588</v>
      </c>
    </row>
    <row r="73" spans="1:13">
      <c r="A73" s="541" t="s">
        <v>831</v>
      </c>
      <c r="B73" s="515">
        <v>26967</v>
      </c>
      <c r="C73" s="515">
        <v>27713</v>
      </c>
      <c r="D73" s="515">
        <v>54680</v>
      </c>
      <c r="E73" s="515">
        <v>552</v>
      </c>
      <c r="F73" s="515">
        <v>514</v>
      </c>
      <c r="G73" s="515">
        <v>1066</v>
      </c>
      <c r="H73" s="515">
        <v>1992</v>
      </c>
      <c r="I73" s="515">
        <v>2622</v>
      </c>
      <c r="J73" s="515">
        <v>4614</v>
      </c>
      <c r="K73" s="515">
        <v>4341</v>
      </c>
      <c r="L73" s="515">
        <v>5398</v>
      </c>
      <c r="M73" s="515">
        <v>9739</v>
      </c>
    </row>
    <row r="74" spans="1:13">
      <c r="A74" s="541" t="s">
        <v>830</v>
      </c>
      <c r="B74" s="573">
        <v>24743.319239995868</v>
      </c>
      <c r="C74" s="573">
        <v>24897.80359062663</v>
      </c>
      <c r="D74" s="573">
        <v>49641.122830622495</v>
      </c>
      <c r="E74" s="572">
        <v>516</v>
      </c>
      <c r="F74" s="572">
        <v>472</v>
      </c>
      <c r="G74" s="572">
        <v>988</v>
      </c>
      <c r="H74" s="572">
        <v>1853</v>
      </c>
      <c r="I74" s="572">
        <v>2227</v>
      </c>
      <c r="J74" s="572">
        <v>4080</v>
      </c>
      <c r="K74" s="572">
        <v>4110</v>
      </c>
      <c r="L74" s="572">
        <v>4743</v>
      </c>
      <c r="M74" s="572">
        <v>8853</v>
      </c>
    </row>
    <row r="75" spans="1:13">
      <c r="A75" s="570" t="s">
        <v>829</v>
      </c>
      <c r="B75" s="545">
        <v>24101</v>
      </c>
      <c r="C75" s="545">
        <v>24568</v>
      </c>
      <c r="D75" s="209">
        <v>48669</v>
      </c>
      <c r="E75" s="545">
        <v>418</v>
      </c>
      <c r="F75" s="545">
        <v>419</v>
      </c>
      <c r="G75" s="209">
        <v>837</v>
      </c>
      <c r="H75" s="545">
        <v>1692</v>
      </c>
      <c r="I75" s="545">
        <v>2064</v>
      </c>
      <c r="J75" s="209">
        <v>3756</v>
      </c>
      <c r="K75" s="545">
        <v>3561</v>
      </c>
      <c r="L75" s="545">
        <v>4354</v>
      </c>
      <c r="M75" s="209">
        <v>7915</v>
      </c>
    </row>
    <row r="76" spans="1:13">
      <c r="A76" s="570" t="s">
        <v>828</v>
      </c>
      <c r="B76" s="515">
        <v>23585</v>
      </c>
      <c r="C76" s="515">
        <v>23681</v>
      </c>
      <c r="D76" s="515">
        <v>47266</v>
      </c>
      <c r="E76" s="515">
        <v>481</v>
      </c>
      <c r="F76" s="515">
        <v>429</v>
      </c>
      <c r="G76" s="515">
        <v>910</v>
      </c>
      <c r="H76" s="515">
        <v>1476</v>
      </c>
      <c r="I76" s="515">
        <v>1926</v>
      </c>
      <c r="J76" s="515">
        <v>3402</v>
      </c>
      <c r="K76" s="515">
        <v>3510</v>
      </c>
      <c r="L76" s="515">
        <v>4104</v>
      </c>
      <c r="M76" s="515">
        <v>7614</v>
      </c>
    </row>
    <row r="77" spans="1:13" ht="15">
      <c r="A77" s="537" t="s">
        <v>25</v>
      </c>
      <c r="B77" s="564"/>
      <c r="C77" s="512"/>
      <c r="D77" s="512"/>
      <c r="E77" s="512"/>
      <c r="F77" s="512"/>
      <c r="G77" s="513"/>
      <c r="H77" s="564"/>
      <c r="I77" s="512"/>
      <c r="J77" s="512"/>
      <c r="K77" s="512"/>
      <c r="L77" s="512"/>
      <c r="M77" s="512"/>
    </row>
    <row r="78" spans="1:13">
      <c r="A78" s="541" t="s">
        <v>832</v>
      </c>
      <c r="B78" s="571">
        <v>864967</v>
      </c>
      <c r="C78" s="571">
        <v>679873</v>
      </c>
      <c r="D78" s="571">
        <v>1544840</v>
      </c>
      <c r="E78" s="571">
        <v>78255</v>
      </c>
      <c r="F78" s="571">
        <v>63324</v>
      </c>
      <c r="G78" s="571">
        <v>141579</v>
      </c>
      <c r="H78" s="571">
        <v>79347</v>
      </c>
      <c r="I78" s="571">
        <v>81512</v>
      </c>
      <c r="J78" s="571">
        <v>160859</v>
      </c>
      <c r="K78" s="571">
        <v>283069</v>
      </c>
      <c r="L78" s="571">
        <v>203627</v>
      </c>
      <c r="M78" s="571">
        <v>486696</v>
      </c>
    </row>
    <row r="79" spans="1:13">
      <c r="A79" s="541" t="s">
        <v>831</v>
      </c>
      <c r="B79" s="515">
        <v>832946</v>
      </c>
      <c r="C79" s="515">
        <v>645106</v>
      </c>
      <c r="D79" s="515">
        <v>1478052</v>
      </c>
      <c r="E79" s="515">
        <v>77192</v>
      </c>
      <c r="F79" s="515">
        <v>61009</v>
      </c>
      <c r="G79" s="515">
        <v>138201</v>
      </c>
      <c r="H79" s="515">
        <v>72369</v>
      </c>
      <c r="I79" s="515">
        <v>72197</v>
      </c>
      <c r="J79" s="515">
        <v>144566</v>
      </c>
      <c r="K79" s="515">
        <v>261824</v>
      </c>
      <c r="L79" s="515">
        <v>185616</v>
      </c>
      <c r="M79" s="515">
        <v>447440</v>
      </c>
    </row>
    <row r="80" spans="1:13">
      <c r="A80" s="541" t="s">
        <v>830</v>
      </c>
      <c r="B80" s="572">
        <v>827611</v>
      </c>
      <c r="C80" s="572">
        <v>625644</v>
      </c>
      <c r="D80" s="572">
        <v>1453255</v>
      </c>
      <c r="E80" s="572">
        <v>77992</v>
      </c>
      <c r="F80" s="572">
        <v>59352</v>
      </c>
      <c r="G80" s="572">
        <v>137344</v>
      </c>
      <c r="H80" s="572">
        <v>66613</v>
      </c>
      <c r="I80" s="572">
        <v>66140</v>
      </c>
      <c r="J80" s="572">
        <v>132753</v>
      </c>
      <c r="K80" s="572">
        <v>252999</v>
      </c>
      <c r="L80" s="572">
        <v>176635</v>
      </c>
      <c r="M80" s="572">
        <v>429634</v>
      </c>
    </row>
    <row r="81" spans="1:13">
      <c r="A81" s="570" t="s">
        <v>829</v>
      </c>
      <c r="B81" s="545">
        <v>867145</v>
      </c>
      <c r="C81" s="545">
        <v>590959</v>
      </c>
      <c r="D81" s="209">
        <v>1458104</v>
      </c>
      <c r="E81" s="545">
        <v>84572</v>
      </c>
      <c r="F81" s="545">
        <v>52942</v>
      </c>
      <c r="G81" s="209">
        <v>137514</v>
      </c>
      <c r="H81" s="545">
        <v>72119</v>
      </c>
      <c r="I81" s="545">
        <v>60766</v>
      </c>
      <c r="J81" s="209">
        <v>132885</v>
      </c>
      <c r="K81" s="545">
        <v>254989</v>
      </c>
      <c r="L81" s="545">
        <v>159824</v>
      </c>
      <c r="M81" s="209">
        <v>414813</v>
      </c>
    </row>
    <row r="82" spans="1:13">
      <c r="A82" s="570" t="s">
        <v>828</v>
      </c>
      <c r="B82" s="515">
        <v>865432</v>
      </c>
      <c r="C82" s="515">
        <v>621697</v>
      </c>
      <c r="D82" s="515">
        <v>1487129</v>
      </c>
      <c r="E82" s="515">
        <v>74243</v>
      </c>
      <c r="F82" s="515">
        <v>56010</v>
      </c>
      <c r="G82" s="515">
        <v>130253</v>
      </c>
      <c r="H82" s="515">
        <v>64546</v>
      </c>
      <c r="I82" s="515">
        <v>62603</v>
      </c>
      <c r="J82" s="515">
        <v>127149</v>
      </c>
      <c r="K82" s="515">
        <v>256307</v>
      </c>
      <c r="L82" s="515">
        <v>167456</v>
      </c>
      <c r="M82" s="515">
        <v>423763</v>
      </c>
    </row>
    <row r="83" spans="1:13" ht="15">
      <c r="A83" s="537" t="s">
        <v>26</v>
      </c>
      <c r="B83" s="564"/>
      <c r="C83" s="512"/>
      <c r="D83" s="512"/>
      <c r="E83" s="512"/>
      <c r="F83" s="512"/>
      <c r="G83" s="513"/>
      <c r="H83" s="564"/>
      <c r="I83" s="512"/>
      <c r="J83" s="512"/>
      <c r="K83" s="512"/>
      <c r="L83" s="512"/>
      <c r="M83" s="512"/>
    </row>
    <row r="84" spans="1:13">
      <c r="A84" s="541" t="s">
        <v>832</v>
      </c>
      <c r="B84" s="571">
        <v>460487</v>
      </c>
      <c r="C84" s="571">
        <v>473054</v>
      </c>
      <c r="D84" s="571">
        <v>933541</v>
      </c>
      <c r="E84" s="571">
        <v>64017</v>
      </c>
      <c r="F84" s="571">
        <v>65958</v>
      </c>
      <c r="G84" s="571">
        <v>129975</v>
      </c>
      <c r="H84" s="571">
        <v>1795</v>
      </c>
      <c r="I84" s="571">
        <v>1240</v>
      </c>
      <c r="J84" s="571">
        <v>3035</v>
      </c>
      <c r="K84" s="571">
        <v>103486</v>
      </c>
      <c r="L84" s="571">
        <v>104970</v>
      </c>
      <c r="M84" s="571">
        <v>208456</v>
      </c>
    </row>
    <row r="85" spans="1:13">
      <c r="A85" s="541" t="s">
        <v>831</v>
      </c>
      <c r="B85" s="515">
        <v>457289</v>
      </c>
      <c r="C85" s="515">
        <v>471604</v>
      </c>
      <c r="D85" s="515">
        <v>928893</v>
      </c>
      <c r="E85" s="515">
        <v>67317</v>
      </c>
      <c r="F85" s="515">
        <v>67451</v>
      </c>
      <c r="G85" s="515">
        <v>134768</v>
      </c>
      <c r="H85" s="515">
        <v>1757</v>
      </c>
      <c r="I85" s="515">
        <v>1028</v>
      </c>
      <c r="J85" s="515">
        <v>2785</v>
      </c>
      <c r="K85" s="515">
        <v>105567</v>
      </c>
      <c r="L85" s="515">
        <v>108534</v>
      </c>
      <c r="M85" s="515">
        <v>214101</v>
      </c>
    </row>
    <row r="86" spans="1:13">
      <c r="A86" s="541" t="s">
        <v>830</v>
      </c>
      <c r="B86" s="573">
        <v>467389.38328537147</v>
      </c>
      <c r="C86" s="573">
        <v>446053.83375290607</v>
      </c>
      <c r="D86" s="573">
        <v>913443.21703827754</v>
      </c>
      <c r="E86" s="572">
        <v>66207</v>
      </c>
      <c r="F86" s="572">
        <v>59574</v>
      </c>
      <c r="G86" s="572">
        <v>125781</v>
      </c>
      <c r="H86" s="572">
        <v>1362</v>
      </c>
      <c r="I86" s="572">
        <v>716</v>
      </c>
      <c r="J86" s="572">
        <v>2078</v>
      </c>
      <c r="K86" s="572">
        <v>102544</v>
      </c>
      <c r="L86" s="572">
        <v>99574</v>
      </c>
      <c r="M86" s="572">
        <v>202118</v>
      </c>
    </row>
    <row r="87" spans="1:13">
      <c r="A87" s="570" t="s">
        <v>829</v>
      </c>
      <c r="B87" s="545">
        <v>493110</v>
      </c>
      <c r="C87" s="545">
        <v>432180</v>
      </c>
      <c r="D87" s="209">
        <v>925290</v>
      </c>
      <c r="E87" s="545">
        <v>67346</v>
      </c>
      <c r="F87" s="545">
        <v>55939</v>
      </c>
      <c r="G87" s="209">
        <v>123285</v>
      </c>
      <c r="H87" s="545">
        <v>1574</v>
      </c>
      <c r="I87" s="545">
        <v>671</v>
      </c>
      <c r="J87" s="209">
        <v>2245</v>
      </c>
      <c r="K87" s="545">
        <v>112703</v>
      </c>
      <c r="L87" s="545">
        <v>101467</v>
      </c>
      <c r="M87" s="209">
        <v>214170</v>
      </c>
    </row>
    <row r="88" spans="1:13">
      <c r="A88" s="570" t="s">
        <v>828</v>
      </c>
      <c r="B88" s="515">
        <v>448069</v>
      </c>
      <c r="C88" s="515">
        <v>383590</v>
      </c>
      <c r="D88" s="515">
        <v>831659</v>
      </c>
      <c r="E88" s="515">
        <v>63751</v>
      </c>
      <c r="F88" s="515">
        <v>51120</v>
      </c>
      <c r="G88" s="515">
        <v>114871</v>
      </c>
      <c r="H88" s="515">
        <v>1623</v>
      </c>
      <c r="I88" s="515">
        <v>606</v>
      </c>
      <c r="J88" s="515">
        <v>2229</v>
      </c>
      <c r="K88" s="515">
        <v>101279</v>
      </c>
      <c r="L88" s="515">
        <v>92916</v>
      </c>
      <c r="M88" s="515">
        <v>194195</v>
      </c>
    </row>
    <row r="89" spans="1:13" ht="15">
      <c r="A89" s="537" t="s">
        <v>27</v>
      </c>
      <c r="B89" s="564"/>
      <c r="C89" s="512"/>
      <c r="D89" s="512"/>
      <c r="E89" s="512"/>
      <c r="F89" s="512"/>
      <c r="G89" s="513"/>
      <c r="H89" s="564"/>
      <c r="I89" s="512"/>
      <c r="J89" s="512"/>
      <c r="K89" s="512"/>
      <c r="L89" s="512"/>
      <c r="M89" s="512"/>
    </row>
    <row r="90" spans="1:13">
      <c r="A90" s="541" t="s">
        <v>832</v>
      </c>
      <c r="B90" s="571">
        <v>132231</v>
      </c>
      <c r="C90" s="571">
        <v>157257</v>
      </c>
      <c r="D90" s="571">
        <v>289488</v>
      </c>
      <c r="E90" s="571">
        <v>24422</v>
      </c>
      <c r="F90" s="571">
        <v>30850</v>
      </c>
      <c r="G90" s="571">
        <v>55272</v>
      </c>
      <c r="H90" s="571">
        <v>7555</v>
      </c>
      <c r="I90" s="571">
        <v>9179</v>
      </c>
      <c r="J90" s="571">
        <v>16734</v>
      </c>
      <c r="K90" s="571">
        <v>16277</v>
      </c>
      <c r="L90" s="571">
        <v>22529</v>
      </c>
      <c r="M90" s="571">
        <v>38806</v>
      </c>
    </row>
    <row r="91" spans="1:13">
      <c r="A91" s="541" t="s">
        <v>831</v>
      </c>
      <c r="B91" s="515">
        <v>129449</v>
      </c>
      <c r="C91" s="515">
        <v>154411</v>
      </c>
      <c r="D91" s="515">
        <v>283860</v>
      </c>
      <c r="E91" s="515">
        <v>24684</v>
      </c>
      <c r="F91" s="515">
        <v>30277</v>
      </c>
      <c r="G91" s="515">
        <v>54961</v>
      </c>
      <c r="H91" s="515">
        <v>7550</v>
      </c>
      <c r="I91" s="515">
        <v>9078</v>
      </c>
      <c r="J91" s="515">
        <v>16628</v>
      </c>
      <c r="K91" s="515">
        <v>16236</v>
      </c>
      <c r="L91" s="515">
        <v>22758</v>
      </c>
      <c r="M91" s="515">
        <v>38994</v>
      </c>
    </row>
    <row r="92" spans="1:13">
      <c r="A92" s="541" t="s">
        <v>830</v>
      </c>
      <c r="B92" s="572">
        <v>128336</v>
      </c>
      <c r="C92" s="572">
        <v>147372</v>
      </c>
      <c r="D92" s="572">
        <v>275708</v>
      </c>
      <c r="E92" s="572">
        <v>24387</v>
      </c>
      <c r="F92" s="572">
        <v>28000</v>
      </c>
      <c r="G92" s="572">
        <v>52387</v>
      </c>
      <c r="H92" s="572">
        <v>7786</v>
      </c>
      <c r="I92" s="572">
        <v>8574</v>
      </c>
      <c r="J92" s="572">
        <v>16360</v>
      </c>
      <c r="K92" s="572">
        <v>16181</v>
      </c>
      <c r="L92" s="572">
        <v>21333</v>
      </c>
      <c r="M92" s="572">
        <v>37514</v>
      </c>
    </row>
    <row r="93" spans="1:13">
      <c r="A93" s="570" t="s">
        <v>829</v>
      </c>
      <c r="B93" s="545">
        <v>125852</v>
      </c>
      <c r="C93" s="545">
        <v>144358</v>
      </c>
      <c r="D93" s="209">
        <v>270210</v>
      </c>
      <c r="E93" s="545">
        <v>22304</v>
      </c>
      <c r="F93" s="545">
        <v>25021</v>
      </c>
      <c r="G93" s="209">
        <v>47325</v>
      </c>
      <c r="H93" s="545">
        <v>7267</v>
      </c>
      <c r="I93" s="545">
        <v>8204</v>
      </c>
      <c r="J93" s="209">
        <v>15471</v>
      </c>
      <c r="K93" s="545">
        <v>14940</v>
      </c>
      <c r="L93" s="545">
        <v>20515</v>
      </c>
      <c r="M93" s="209">
        <v>35455</v>
      </c>
    </row>
    <row r="94" spans="1:13">
      <c r="A94" s="570" t="s">
        <v>828</v>
      </c>
      <c r="B94" s="515">
        <v>113988</v>
      </c>
      <c r="C94" s="515">
        <v>127717</v>
      </c>
      <c r="D94" s="515">
        <v>241705</v>
      </c>
      <c r="E94" s="515">
        <v>19818</v>
      </c>
      <c r="F94" s="515">
        <v>21216</v>
      </c>
      <c r="G94" s="515">
        <v>41034</v>
      </c>
      <c r="H94" s="515">
        <v>6701</v>
      </c>
      <c r="I94" s="515">
        <v>7118</v>
      </c>
      <c r="J94" s="515">
        <v>13819</v>
      </c>
      <c r="K94" s="515">
        <v>13387</v>
      </c>
      <c r="L94" s="515">
        <v>17341</v>
      </c>
      <c r="M94" s="515">
        <v>30728</v>
      </c>
    </row>
    <row r="95" spans="1:13" ht="15">
      <c r="A95" s="537" t="s">
        <v>57</v>
      </c>
      <c r="B95" s="564"/>
      <c r="C95" s="512"/>
      <c r="D95" s="512"/>
      <c r="E95" s="512"/>
      <c r="F95" s="512"/>
      <c r="G95" s="513"/>
      <c r="H95" s="564"/>
      <c r="I95" s="512"/>
      <c r="J95" s="512"/>
      <c r="K95" s="512"/>
      <c r="L95" s="512"/>
      <c r="M95" s="512"/>
    </row>
    <row r="96" spans="1:13">
      <c r="A96" s="541" t="s">
        <v>832</v>
      </c>
      <c r="B96" s="571">
        <v>199249</v>
      </c>
      <c r="C96" s="571">
        <v>196167</v>
      </c>
      <c r="D96" s="571">
        <v>395416</v>
      </c>
      <c r="E96" s="571">
        <v>9302</v>
      </c>
      <c r="F96" s="571">
        <v>11703</v>
      </c>
      <c r="G96" s="571">
        <v>21005</v>
      </c>
      <c r="H96" s="571">
        <v>12261</v>
      </c>
      <c r="I96" s="571">
        <v>10081</v>
      </c>
      <c r="J96" s="571">
        <v>22342</v>
      </c>
      <c r="K96" s="571">
        <v>14636</v>
      </c>
      <c r="L96" s="571">
        <v>11364</v>
      </c>
      <c r="M96" s="571">
        <v>26000</v>
      </c>
    </row>
    <row r="97" spans="1:13">
      <c r="A97" s="541" t="s">
        <v>831</v>
      </c>
      <c r="B97" s="515">
        <v>195270</v>
      </c>
      <c r="C97" s="515">
        <v>198829</v>
      </c>
      <c r="D97" s="515">
        <v>394099</v>
      </c>
      <c r="E97" s="515">
        <v>9739</v>
      </c>
      <c r="F97" s="515">
        <v>11673</v>
      </c>
      <c r="G97" s="515">
        <v>21412</v>
      </c>
      <c r="H97" s="515">
        <v>13031</v>
      </c>
      <c r="I97" s="515">
        <v>11831</v>
      </c>
      <c r="J97" s="515">
        <v>24862</v>
      </c>
      <c r="K97" s="515">
        <v>14633</v>
      </c>
      <c r="L97" s="515">
        <v>11736</v>
      </c>
      <c r="M97" s="515">
        <v>26369</v>
      </c>
    </row>
    <row r="98" spans="1:13">
      <c r="A98" s="541" t="s">
        <v>830</v>
      </c>
      <c r="B98" s="573">
        <v>177021.5039168795</v>
      </c>
      <c r="C98" s="573">
        <v>182208.30560755706</v>
      </c>
      <c r="D98" s="573">
        <v>359229.8095244366</v>
      </c>
      <c r="E98" s="572">
        <v>8211</v>
      </c>
      <c r="F98" s="572">
        <v>9478</v>
      </c>
      <c r="G98" s="572">
        <v>17689</v>
      </c>
      <c r="H98" s="572">
        <v>11301</v>
      </c>
      <c r="I98" s="572">
        <v>10388</v>
      </c>
      <c r="J98" s="572">
        <v>21689</v>
      </c>
      <c r="K98" s="572">
        <v>13422</v>
      </c>
      <c r="L98" s="572">
        <v>10913</v>
      </c>
      <c r="M98" s="572">
        <v>24335</v>
      </c>
    </row>
    <row r="99" spans="1:13">
      <c r="A99" s="570" t="s">
        <v>829</v>
      </c>
      <c r="B99" s="545">
        <v>161134</v>
      </c>
      <c r="C99" s="545">
        <v>176716</v>
      </c>
      <c r="D99" s="209">
        <v>337850</v>
      </c>
      <c r="E99" s="545">
        <v>7436</v>
      </c>
      <c r="F99" s="545">
        <v>9531</v>
      </c>
      <c r="G99" s="209">
        <v>16967</v>
      </c>
      <c r="H99" s="545">
        <v>8204</v>
      </c>
      <c r="I99" s="545">
        <v>7133</v>
      </c>
      <c r="J99" s="209">
        <v>15337</v>
      </c>
      <c r="K99" s="545">
        <v>10446</v>
      </c>
      <c r="L99" s="545">
        <v>8760</v>
      </c>
      <c r="M99" s="209">
        <v>19206</v>
      </c>
    </row>
    <row r="100" spans="1:13">
      <c r="A100" s="570" t="s">
        <v>828</v>
      </c>
      <c r="B100" s="515">
        <v>162548</v>
      </c>
      <c r="C100" s="515">
        <v>170008</v>
      </c>
      <c r="D100" s="515">
        <v>332556</v>
      </c>
      <c r="E100" s="515">
        <v>7512</v>
      </c>
      <c r="F100" s="515">
        <v>9212</v>
      </c>
      <c r="G100" s="515">
        <v>16724</v>
      </c>
      <c r="H100" s="515">
        <v>7731</v>
      </c>
      <c r="I100" s="515">
        <v>6384</v>
      </c>
      <c r="J100" s="515">
        <v>14115</v>
      </c>
      <c r="K100" s="515">
        <v>12475</v>
      </c>
      <c r="L100" s="515">
        <v>9570</v>
      </c>
      <c r="M100" s="515">
        <v>22045</v>
      </c>
    </row>
    <row r="101" spans="1:13" ht="15">
      <c r="A101" s="537" t="s">
        <v>29</v>
      </c>
      <c r="B101" s="564"/>
      <c r="C101" s="512"/>
      <c r="D101" s="512"/>
      <c r="E101" s="512"/>
      <c r="F101" s="512"/>
      <c r="G101" s="513"/>
      <c r="H101" s="564"/>
      <c r="I101" s="512"/>
      <c r="J101" s="512"/>
      <c r="K101" s="512"/>
      <c r="L101" s="512"/>
      <c r="M101" s="512"/>
    </row>
    <row r="102" spans="1:13">
      <c r="A102" s="541" t="s">
        <v>832</v>
      </c>
      <c r="B102" s="571">
        <v>408859</v>
      </c>
      <c r="C102" s="571">
        <v>408701</v>
      </c>
      <c r="D102" s="571">
        <v>817560</v>
      </c>
      <c r="E102" s="571">
        <v>39061</v>
      </c>
      <c r="F102" s="571">
        <v>33841</v>
      </c>
      <c r="G102" s="571">
        <v>72902</v>
      </c>
      <c r="H102" s="571">
        <v>68787</v>
      </c>
      <c r="I102" s="571">
        <v>84739</v>
      </c>
      <c r="J102" s="571">
        <v>153526</v>
      </c>
      <c r="K102" s="571">
        <v>170328</v>
      </c>
      <c r="L102" s="571">
        <v>161304</v>
      </c>
      <c r="M102" s="571">
        <v>331632</v>
      </c>
    </row>
    <row r="103" spans="1:13">
      <c r="A103" s="541" t="s">
        <v>831</v>
      </c>
      <c r="B103" s="515">
        <v>377741</v>
      </c>
      <c r="C103" s="515">
        <v>361743</v>
      </c>
      <c r="D103" s="515">
        <v>739484</v>
      </c>
      <c r="E103" s="515">
        <v>39314</v>
      </c>
      <c r="F103" s="515">
        <v>33723</v>
      </c>
      <c r="G103" s="515">
        <v>73037</v>
      </c>
      <c r="H103" s="515">
        <v>62774</v>
      </c>
      <c r="I103" s="515">
        <v>73610</v>
      </c>
      <c r="J103" s="515">
        <v>136384</v>
      </c>
      <c r="K103" s="515">
        <v>151098</v>
      </c>
      <c r="L103" s="515">
        <v>142185</v>
      </c>
      <c r="M103" s="515">
        <v>293283</v>
      </c>
    </row>
    <row r="104" spans="1:13">
      <c r="A104" s="541" t="s">
        <v>830</v>
      </c>
      <c r="B104" s="573">
        <v>354094.88370536949</v>
      </c>
      <c r="C104" s="573">
        <v>334627.35291416117</v>
      </c>
      <c r="D104" s="573">
        <v>688722.23661953071</v>
      </c>
      <c r="E104" s="572">
        <v>34798</v>
      </c>
      <c r="F104" s="572">
        <v>28117</v>
      </c>
      <c r="G104" s="572">
        <v>62915</v>
      </c>
      <c r="H104" s="572">
        <v>56591</v>
      </c>
      <c r="I104" s="572">
        <v>66328</v>
      </c>
      <c r="J104" s="572">
        <v>122919</v>
      </c>
      <c r="K104" s="572">
        <v>137621</v>
      </c>
      <c r="L104" s="572">
        <v>124427</v>
      </c>
      <c r="M104" s="572">
        <v>262048</v>
      </c>
    </row>
    <row r="105" spans="1:13">
      <c r="A105" s="570" t="s">
        <v>829</v>
      </c>
      <c r="B105" s="545">
        <v>351485</v>
      </c>
      <c r="C105" s="545">
        <v>319552</v>
      </c>
      <c r="D105" s="209">
        <v>671037</v>
      </c>
      <c r="E105" s="545">
        <v>33461</v>
      </c>
      <c r="F105" s="545">
        <v>26874</v>
      </c>
      <c r="G105" s="209">
        <v>60335</v>
      </c>
      <c r="H105" s="545">
        <v>54363</v>
      </c>
      <c r="I105" s="545">
        <v>67883</v>
      </c>
      <c r="J105" s="209">
        <v>122246</v>
      </c>
      <c r="K105" s="545">
        <v>128923</v>
      </c>
      <c r="L105" s="545">
        <v>117711</v>
      </c>
      <c r="M105" s="209">
        <v>246634</v>
      </c>
    </row>
    <row r="106" spans="1:13">
      <c r="A106" s="570" t="s">
        <v>828</v>
      </c>
      <c r="B106" s="515">
        <v>307010</v>
      </c>
      <c r="C106" s="515">
        <v>274633</v>
      </c>
      <c r="D106" s="515">
        <v>581643</v>
      </c>
      <c r="E106" s="515">
        <v>29706</v>
      </c>
      <c r="F106" s="515">
        <v>23112</v>
      </c>
      <c r="G106" s="515">
        <v>52818</v>
      </c>
      <c r="H106" s="515">
        <v>47009</v>
      </c>
      <c r="I106" s="515">
        <v>54109</v>
      </c>
      <c r="J106" s="515">
        <v>101118</v>
      </c>
      <c r="K106" s="515">
        <v>108165</v>
      </c>
      <c r="L106" s="515">
        <v>93091</v>
      </c>
      <c r="M106" s="515">
        <v>201256</v>
      </c>
    </row>
    <row r="107" spans="1:13" ht="15">
      <c r="A107" s="537" t="s">
        <v>30</v>
      </c>
      <c r="B107" s="564"/>
      <c r="C107" s="512"/>
      <c r="D107" s="512"/>
      <c r="E107" s="512"/>
      <c r="F107" s="512"/>
      <c r="G107" s="513"/>
      <c r="H107" s="564"/>
      <c r="I107" s="512"/>
      <c r="J107" s="512"/>
      <c r="K107" s="512"/>
      <c r="L107" s="512"/>
      <c r="M107" s="512"/>
    </row>
    <row r="108" spans="1:13">
      <c r="A108" s="541" t="s">
        <v>832</v>
      </c>
      <c r="B108" s="571">
        <v>1088883</v>
      </c>
      <c r="C108" s="571">
        <v>1099009</v>
      </c>
      <c r="D108" s="571">
        <v>2187892</v>
      </c>
      <c r="E108" s="571">
        <v>147206</v>
      </c>
      <c r="F108" s="571">
        <v>142956</v>
      </c>
      <c r="G108" s="571">
        <v>290162</v>
      </c>
      <c r="H108" s="571">
        <v>53814</v>
      </c>
      <c r="I108" s="571">
        <v>51947</v>
      </c>
      <c r="J108" s="571">
        <v>105761</v>
      </c>
      <c r="K108" s="571">
        <v>536146</v>
      </c>
      <c r="L108" s="571">
        <v>564008</v>
      </c>
      <c r="M108" s="571">
        <v>1100154</v>
      </c>
    </row>
    <row r="109" spans="1:13">
      <c r="A109" s="541" t="s">
        <v>831</v>
      </c>
      <c r="B109" s="515">
        <v>993417</v>
      </c>
      <c r="C109" s="515">
        <v>995077</v>
      </c>
      <c r="D109" s="515">
        <v>1988494</v>
      </c>
      <c r="E109" s="515">
        <v>132676</v>
      </c>
      <c r="F109" s="515">
        <v>128603</v>
      </c>
      <c r="G109" s="515">
        <v>261279</v>
      </c>
      <c r="H109" s="515">
        <v>48370</v>
      </c>
      <c r="I109" s="515">
        <v>46750</v>
      </c>
      <c r="J109" s="515">
        <v>95120</v>
      </c>
      <c r="K109" s="515">
        <v>480822</v>
      </c>
      <c r="L109" s="515">
        <v>505308</v>
      </c>
      <c r="M109" s="515">
        <v>986130</v>
      </c>
    </row>
    <row r="110" spans="1:13">
      <c r="A110" s="541" t="s">
        <v>830</v>
      </c>
      <c r="B110" s="573">
        <v>971393.06083695556</v>
      </c>
      <c r="C110" s="573">
        <v>972462.57707732229</v>
      </c>
      <c r="D110" s="573">
        <v>1943855.6379142778</v>
      </c>
      <c r="E110" s="572">
        <v>126417</v>
      </c>
      <c r="F110" s="572">
        <v>120364</v>
      </c>
      <c r="G110" s="572">
        <v>246781</v>
      </c>
      <c r="H110" s="572">
        <v>46088</v>
      </c>
      <c r="I110" s="572">
        <v>43257</v>
      </c>
      <c r="J110" s="572">
        <v>89345</v>
      </c>
      <c r="K110" s="572">
        <v>462696</v>
      </c>
      <c r="L110" s="572">
        <v>474798</v>
      </c>
      <c r="M110" s="572">
        <v>937494</v>
      </c>
    </row>
    <row r="111" spans="1:13">
      <c r="A111" s="570" t="s">
        <v>829</v>
      </c>
      <c r="B111" s="545">
        <v>954076</v>
      </c>
      <c r="C111" s="545">
        <v>917218</v>
      </c>
      <c r="D111" s="209">
        <v>1871294</v>
      </c>
      <c r="E111" s="545">
        <v>122351</v>
      </c>
      <c r="F111" s="545">
        <v>115622</v>
      </c>
      <c r="G111" s="209">
        <v>237973</v>
      </c>
      <c r="H111" s="545">
        <v>44180</v>
      </c>
      <c r="I111" s="545">
        <v>40274</v>
      </c>
      <c r="J111" s="209">
        <v>84454</v>
      </c>
      <c r="K111" s="545">
        <v>441077</v>
      </c>
      <c r="L111" s="545">
        <v>442928</v>
      </c>
      <c r="M111" s="209">
        <v>884005</v>
      </c>
    </row>
    <row r="112" spans="1:13">
      <c r="A112" s="570" t="s">
        <v>828</v>
      </c>
      <c r="B112" s="515">
        <v>958378</v>
      </c>
      <c r="C112" s="515">
        <v>899568</v>
      </c>
      <c r="D112" s="515">
        <v>1857946</v>
      </c>
      <c r="E112" s="515">
        <v>124945</v>
      </c>
      <c r="F112" s="515">
        <v>113675</v>
      </c>
      <c r="G112" s="515">
        <v>238620</v>
      </c>
      <c r="H112" s="515">
        <v>44571</v>
      </c>
      <c r="I112" s="515">
        <v>38264</v>
      </c>
      <c r="J112" s="515">
        <v>82835</v>
      </c>
      <c r="K112" s="515">
        <v>431212</v>
      </c>
      <c r="L112" s="515">
        <v>430942</v>
      </c>
      <c r="M112" s="515">
        <v>862154</v>
      </c>
    </row>
    <row r="113" spans="1:13" ht="15">
      <c r="A113" s="537" t="s">
        <v>31</v>
      </c>
      <c r="B113" s="564"/>
      <c r="C113" s="512"/>
      <c r="D113" s="512"/>
      <c r="E113" s="512"/>
      <c r="F113" s="512"/>
      <c r="G113" s="513"/>
      <c r="H113" s="564"/>
      <c r="I113" s="512"/>
      <c r="J113" s="512"/>
      <c r="K113" s="512"/>
      <c r="L113" s="512"/>
      <c r="M113" s="512"/>
    </row>
    <row r="114" spans="1:13">
      <c r="A114" s="541" t="s">
        <v>832</v>
      </c>
      <c r="B114" s="571">
        <v>484849</v>
      </c>
      <c r="C114" s="571">
        <v>653004</v>
      </c>
      <c r="D114" s="571">
        <v>1137853</v>
      </c>
      <c r="E114" s="571">
        <v>25434</v>
      </c>
      <c r="F114" s="571">
        <v>46838</v>
      </c>
      <c r="G114" s="571">
        <v>72272</v>
      </c>
      <c r="H114" s="571">
        <v>4360</v>
      </c>
      <c r="I114" s="571">
        <v>6877</v>
      </c>
      <c r="J114" s="571">
        <v>11237</v>
      </c>
      <c r="K114" s="571">
        <v>194158</v>
      </c>
      <c r="L114" s="571">
        <v>295290</v>
      </c>
      <c r="M114" s="571">
        <v>489448</v>
      </c>
    </row>
    <row r="115" spans="1:13">
      <c r="A115" s="541" t="s">
        <v>831</v>
      </c>
      <c r="B115" s="515">
        <v>458200</v>
      </c>
      <c r="C115" s="515">
        <v>637642</v>
      </c>
      <c r="D115" s="515">
        <v>1095842</v>
      </c>
      <c r="E115" s="515">
        <v>24464</v>
      </c>
      <c r="F115" s="515">
        <v>44947</v>
      </c>
      <c r="G115" s="515">
        <v>69411</v>
      </c>
      <c r="H115" s="515">
        <v>4272</v>
      </c>
      <c r="I115" s="515">
        <v>6455</v>
      </c>
      <c r="J115" s="515">
        <v>10727</v>
      </c>
      <c r="K115" s="515">
        <v>185095</v>
      </c>
      <c r="L115" s="515">
        <v>274967</v>
      </c>
      <c r="M115" s="515">
        <v>460062</v>
      </c>
    </row>
    <row r="116" spans="1:13">
      <c r="A116" s="541" t="s">
        <v>830</v>
      </c>
      <c r="B116" s="573">
        <v>480177.7434148303</v>
      </c>
      <c r="C116" s="573">
        <v>602739.05567651894</v>
      </c>
      <c r="D116" s="573">
        <v>1082916.7990913494</v>
      </c>
      <c r="E116" s="572">
        <v>24246</v>
      </c>
      <c r="F116" s="572">
        <v>43518</v>
      </c>
      <c r="G116" s="572">
        <v>67764</v>
      </c>
      <c r="H116" s="572">
        <v>3986</v>
      </c>
      <c r="I116" s="572">
        <v>6103</v>
      </c>
      <c r="J116" s="572">
        <v>10089</v>
      </c>
      <c r="K116" s="572">
        <v>183691</v>
      </c>
      <c r="L116" s="572">
        <v>263978</v>
      </c>
      <c r="M116" s="572">
        <v>447669</v>
      </c>
    </row>
    <row r="117" spans="1:13">
      <c r="A117" s="570" t="s">
        <v>829</v>
      </c>
      <c r="B117" s="545">
        <v>428520</v>
      </c>
      <c r="C117" s="545">
        <v>604623</v>
      </c>
      <c r="D117" s="209">
        <v>1033143</v>
      </c>
      <c r="E117" s="545">
        <v>23300</v>
      </c>
      <c r="F117" s="545">
        <v>41225</v>
      </c>
      <c r="G117" s="209">
        <v>64525</v>
      </c>
      <c r="H117" s="545">
        <v>3544</v>
      </c>
      <c r="I117" s="545">
        <v>5107</v>
      </c>
      <c r="J117" s="209">
        <v>8651</v>
      </c>
      <c r="K117" s="545">
        <v>153667</v>
      </c>
      <c r="L117" s="545">
        <v>213481</v>
      </c>
      <c r="M117" s="209">
        <v>367148</v>
      </c>
    </row>
    <row r="118" spans="1:13">
      <c r="A118" s="570" t="s">
        <v>828</v>
      </c>
      <c r="B118" s="515">
        <v>405562</v>
      </c>
      <c r="C118" s="515">
        <v>533593</v>
      </c>
      <c r="D118" s="515">
        <v>939155</v>
      </c>
      <c r="E118" s="515">
        <v>22714</v>
      </c>
      <c r="F118" s="515">
        <v>39289</v>
      </c>
      <c r="G118" s="515">
        <v>62003</v>
      </c>
      <c r="H118" s="515">
        <v>3163</v>
      </c>
      <c r="I118" s="515">
        <v>4728</v>
      </c>
      <c r="J118" s="515">
        <v>7891</v>
      </c>
      <c r="K118" s="515">
        <v>141039</v>
      </c>
      <c r="L118" s="515">
        <v>193628</v>
      </c>
      <c r="M118" s="515">
        <v>334667</v>
      </c>
    </row>
    <row r="119" spans="1:13" ht="15">
      <c r="A119" s="537" t="s">
        <v>761</v>
      </c>
      <c r="B119" s="564"/>
      <c r="C119" s="512"/>
      <c r="D119" s="512"/>
      <c r="E119" s="512"/>
      <c r="F119" s="512"/>
      <c r="G119" s="513"/>
      <c r="H119" s="564"/>
      <c r="I119" s="512"/>
      <c r="J119" s="512"/>
      <c r="K119" s="512"/>
      <c r="L119" s="512"/>
      <c r="M119" s="512"/>
    </row>
    <row r="120" spans="1:13">
      <c r="A120" s="541" t="s">
        <v>832</v>
      </c>
      <c r="B120" s="571">
        <v>999</v>
      </c>
      <c r="C120" s="571">
        <v>1898</v>
      </c>
      <c r="D120" s="571">
        <v>2897</v>
      </c>
      <c r="E120" s="571">
        <v>0</v>
      </c>
      <c r="F120" s="571">
        <v>0</v>
      </c>
      <c r="G120" s="571">
        <v>0</v>
      </c>
      <c r="H120" s="571">
        <v>923</v>
      </c>
      <c r="I120" s="571">
        <v>1892</v>
      </c>
      <c r="J120" s="571">
        <v>2815</v>
      </c>
      <c r="K120" s="571">
        <v>14</v>
      </c>
      <c r="L120" s="571">
        <v>0</v>
      </c>
      <c r="M120" s="571">
        <v>14</v>
      </c>
    </row>
    <row r="121" spans="1:13" ht="15">
      <c r="A121" s="537" t="s">
        <v>32</v>
      </c>
      <c r="B121" s="564"/>
      <c r="C121" s="512"/>
      <c r="D121" s="512"/>
      <c r="E121" s="512"/>
      <c r="F121" s="512"/>
      <c r="G121" s="513"/>
      <c r="H121" s="564"/>
      <c r="I121" s="512"/>
      <c r="J121" s="512"/>
      <c r="K121" s="512"/>
      <c r="L121" s="512"/>
      <c r="M121" s="512"/>
    </row>
    <row r="122" spans="1:13">
      <c r="A122" s="541" t="s">
        <v>832</v>
      </c>
      <c r="B122" s="571">
        <v>133</v>
      </c>
      <c r="C122" s="571">
        <v>427</v>
      </c>
      <c r="D122" s="571">
        <v>560</v>
      </c>
      <c r="E122" s="571">
        <v>0</v>
      </c>
      <c r="F122" s="571">
        <v>0</v>
      </c>
      <c r="G122" s="571">
        <v>0</v>
      </c>
      <c r="H122" s="571">
        <v>70</v>
      </c>
      <c r="I122" s="571">
        <v>256</v>
      </c>
      <c r="J122" s="571">
        <v>326</v>
      </c>
      <c r="K122" s="571">
        <v>0</v>
      </c>
      <c r="L122" s="571">
        <v>0</v>
      </c>
      <c r="M122" s="571">
        <v>0</v>
      </c>
    </row>
    <row r="123" spans="1:13">
      <c r="A123" s="541" t="s">
        <v>831</v>
      </c>
      <c r="B123" s="515">
        <v>127</v>
      </c>
      <c r="C123" s="515">
        <v>418</v>
      </c>
      <c r="D123" s="515">
        <v>545</v>
      </c>
      <c r="E123" s="515">
        <v>0</v>
      </c>
      <c r="F123" s="515">
        <v>0</v>
      </c>
      <c r="G123" s="515">
        <v>0</v>
      </c>
      <c r="H123" s="515">
        <v>64</v>
      </c>
      <c r="I123" s="515">
        <v>246</v>
      </c>
      <c r="J123" s="515">
        <v>310</v>
      </c>
      <c r="K123" s="515">
        <v>0</v>
      </c>
      <c r="L123" s="515">
        <v>0</v>
      </c>
      <c r="M123" s="515">
        <v>0</v>
      </c>
    </row>
    <row r="124" spans="1:13">
      <c r="A124" s="570" t="s">
        <v>830</v>
      </c>
      <c r="B124" s="564">
        <v>116</v>
      </c>
      <c r="C124" s="512">
        <v>436</v>
      </c>
      <c r="D124" s="512">
        <v>552</v>
      </c>
      <c r="E124" s="512">
        <v>0</v>
      </c>
      <c r="F124" s="512">
        <v>0</v>
      </c>
      <c r="G124" s="513">
        <v>0</v>
      </c>
      <c r="H124" s="564">
        <v>56</v>
      </c>
      <c r="I124" s="512">
        <v>182</v>
      </c>
      <c r="J124" s="512">
        <v>238</v>
      </c>
      <c r="K124" s="512">
        <v>0</v>
      </c>
      <c r="L124" s="512">
        <v>0</v>
      </c>
      <c r="M124" s="512">
        <v>0</v>
      </c>
    </row>
    <row r="125" spans="1:13">
      <c r="A125" s="570" t="s">
        <v>829</v>
      </c>
      <c r="B125" s="545">
        <v>149</v>
      </c>
      <c r="C125" s="545">
        <v>375</v>
      </c>
      <c r="D125" s="209">
        <v>524</v>
      </c>
      <c r="E125" s="545">
        <v>0</v>
      </c>
      <c r="F125" s="545">
        <v>0</v>
      </c>
      <c r="G125" s="209">
        <v>0</v>
      </c>
      <c r="H125" s="545">
        <v>71</v>
      </c>
      <c r="I125" s="545">
        <v>183</v>
      </c>
      <c r="J125" s="209">
        <v>254</v>
      </c>
      <c r="K125" s="545">
        <v>45</v>
      </c>
      <c r="L125" s="545">
        <v>54</v>
      </c>
      <c r="M125" s="209">
        <v>99</v>
      </c>
    </row>
    <row r="126" spans="1:13">
      <c r="A126" s="570" t="s">
        <v>828</v>
      </c>
      <c r="B126" s="515">
        <v>150</v>
      </c>
      <c r="C126" s="515">
        <v>351</v>
      </c>
      <c r="D126" s="515">
        <v>501</v>
      </c>
      <c r="E126" s="515">
        <v>0</v>
      </c>
      <c r="F126" s="515">
        <v>0</v>
      </c>
      <c r="G126" s="515">
        <v>0</v>
      </c>
      <c r="H126" s="515">
        <v>72</v>
      </c>
      <c r="I126" s="515">
        <v>159</v>
      </c>
      <c r="J126" s="515">
        <v>231</v>
      </c>
      <c r="K126" s="515">
        <v>45</v>
      </c>
      <c r="L126" s="515">
        <v>54</v>
      </c>
      <c r="M126" s="515">
        <v>99</v>
      </c>
    </row>
    <row r="127" spans="1:13" ht="15">
      <c r="A127" s="537" t="s">
        <v>33</v>
      </c>
      <c r="B127" s="564"/>
      <c r="C127" s="512"/>
      <c r="D127" s="512"/>
      <c r="E127" s="512"/>
      <c r="F127" s="512"/>
      <c r="G127" s="513"/>
      <c r="H127" s="564"/>
      <c r="I127" s="512"/>
      <c r="J127" s="512"/>
      <c r="K127" s="512"/>
      <c r="L127" s="512"/>
      <c r="M127" s="512"/>
    </row>
    <row r="128" spans="1:13">
      <c r="A128" s="541" t="s">
        <v>832</v>
      </c>
      <c r="B128" s="571">
        <v>1144576</v>
      </c>
      <c r="C128" s="571">
        <v>1037578</v>
      </c>
      <c r="D128" s="571">
        <v>2182154</v>
      </c>
      <c r="E128" s="571">
        <v>176528</v>
      </c>
      <c r="F128" s="571">
        <v>154691</v>
      </c>
      <c r="G128" s="571">
        <v>331219</v>
      </c>
      <c r="H128" s="571">
        <v>107910</v>
      </c>
      <c r="I128" s="571">
        <v>107489</v>
      </c>
      <c r="J128" s="571">
        <v>215399</v>
      </c>
      <c r="K128" s="571">
        <v>449846</v>
      </c>
      <c r="L128" s="571">
        <v>425197</v>
      </c>
      <c r="M128" s="571">
        <v>875043</v>
      </c>
    </row>
    <row r="129" spans="1:13">
      <c r="A129" s="541" t="s">
        <v>831</v>
      </c>
      <c r="B129" s="515">
        <v>1027738</v>
      </c>
      <c r="C129" s="515">
        <v>901606</v>
      </c>
      <c r="D129" s="515">
        <v>1929344</v>
      </c>
      <c r="E129" s="515">
        <v>154836</v>
      </c>
      <c r="F129" s="515">
        <v>129221</v>
      </c>
      <c r="G129" s="515">
        <v>284057</v>
      </c>
      <c r="H129" s="515">
        <v>101105</v>
      </c>
      <c r="I129" s="515">
        <v>97921</v>
      </c>
      <c r="J129" s="515">
        <v>199026</v>
      </c>
      <c r="K129" s="515">
        <v>406281</v>
      </c>
      <c r="L129" s="515">
        <v>366091</v>
      </c>
      <c r="M129" s="515">
        <v>772372</v>
      </c>
    </row>
    <row r="130" spans="1:13">
      <c r="A130" s="541" t="s">
        <v>830</v>
      </c>
      <c r="B130" s="573">
        <v>1023418.4481650935</v>
      </c>
      <c r="C130" s="573">
        <v>862060.41071448405</v>
      </c>
      <c r="D130" s="573">
        <v>1885478.8588795776</v>
      </c>
      <c r="E130" s="572">
        <v>159632</v>
      </c>
      <c r="F130" s="572">
        <v>124154</v>
      </c>
      <c r="G130" s="572">
        <v>283786</v>
      </c>
      <c r="H130" s="572">
        <v>96286</v>
      </c>
      <c r="I130" s="572">
        <v>84612</v>
      </c>
      <c r="J130" s="572">
        <v>180898</v>
      </c>
      <c r="K130" s="572">
        <v>396788</v>
      </c>
      <c r="L130" s="572">
        <v>336461</v>
      </c>
      <c r="M130" s="572">
        <v>733249</v>
      </c>
    </row>
    <row r="131" spans="1:13">
      <c r="A131" s="570" t="s">
        <v>829</v>
      </c>
      <c r="B131" s="545">
        <v>978110</v>
      </c>
      <c r="C131" s="545">
        <v>795143</v>
      </c>
      <c r="D131" s="209">
        <v>1773253</v>
      </c>
      <c r="E131" s="545">
        <v>139807</v>
      </c>
      <c r="F131" s="545">
        <v>105665</v>
      </c>
      <c r="G131" s="209">
        <v>245472</v>
      </c>
      <c r="H131" s="545">
        <v>88959</v>
      </c>
      <c r="I131" s="545">
        <v>77834</v>
      </c>
      <c r="J131" s="209">
        <v>166793</v>
      </c>
      <c r="K131" s="545">
        <v>372784</v>
      </c>
      <c r="L131" s="545">
        <v>300465</v>
      </c>
      <c r="M131" s="209">
        <v>673249</v>
      </c>
    </row>
    <row r="132" spans="1:13">
      <c r="A132" s="570" t="s">
        <v>828</v>
      </c>
      <c r="B132" s="515">
        <v>983122</v>
      </c>
      <c r="C132" s="515">
        <v>742060</v>
      </c>
      <c r="D132" s="515">
        <v>1725182</v>
      </c>
      <c r="E132" s="515">
        <v>129383</v>
      </c>
      <c r="F132" s="515">
        <v>89651</v>
      </c>
      <c r="G132" s="515">
        <v>219034</v>
      </c>
      <c r="H132" s="515">
        <v>83508</v>
      </c>
      <c r="I132" s="515">
        <v>64224</v>
      </c>
      <c r="J132" s="515">
        <v>147732</v>
      </c>
      <c r="K132" s="515">
        <v>372747</v>
      </c>
      <c r="L132" s="515">
        <v>281505</v>
      </c>
      <c r="M132" s="515">
        <v>654252</v>
      </c>
    </row>
    <row r="133" spans="1:13" ht="15">
      <c r="A133" s="537" t="s">
        <v>34</v>
      </c>
      <c r="B133" s="564"/>
      <c r="C133" s="512"/>
      <c r="D133" s="512"/>
      <c r="E133" s="512"/>
      <c r="F133" s="512"/>
      <c r="G133" s="513"/>
      <c r="H133" s="564"/>
      <c r="I133" s="512"/>
      <c r="J133" s="512"/>
      <c r="K133" s="512"/>
      <c r="L133" s="512"/>
      <c r="M133" s="512"/>
    </row>
    <row r="134" spans="1:13">
      <c r="A134" s="541" t="s">
        <v>832</v>
      </c>
      <c r="B134" s="571">
        <v>2313862</v>
      </c>
      <c r="C134" s="571">
        <v>1951610</v>
      </c>
      <c r="D134" s="571">
        <v>4265472</v>
      </c>
      <c r="E134" s="571">
        <v>260361</v>
      </c>
      <c r="F134" s="571">
        <v>243253</v>
      </c>
      <c r="G134" s="571">
        <v>503614</v>
      </c>
      <c r="H134" s="571">
        <v>105835</v>
      </c>
      <c r="I134" s="571">
        <v>82907</v>
      </c>
      <c r="J134" s="571">
        <v>188742</v>
      </c>
      <c r="K134" s="571">
        <v>684718</v>
      </c>
      <c r="L134" s="571">
        <v>581699</v>
      </c>
      <c r="M134" s="571">
        <v>1266417</v>
      </c>
    </row>
    <row r="135" spans="1:13">
      <c r="A135" s="541" t="s">
        <v>831</v>
      </c>
      <c r="B135" s="515">
        <v>2324424</v>
      </c>
      <c r="C135" s="515">
        <v>1905902</v>
      </c>
      <c r="D135" s="515">
        <v>4230326</v>
      </c>
      <c r="E135" s="515">
        <v>269942</v>
      </c>
      <c r="F135" s="515">
        <v>240577</v>
      </c>
      <c r="G135" s="515">
        <v>510519</v>
      </c>
      <c r="H135" s="515">
        <v>105146</v>
      </c>
      <c r="I135" s="515">
        <v>79830</v>
      </c>
      <c r="J135" s="515">
        <v>184976</v>
      </c>
      <c r="K135" s="515">
        <v>681445</v>
      </c>
      <c r="L135" s="515">
        <v>565904</v>
      </c>
      <c r="M135" s="515">
        <v>1247349</v>
      </c>
    </row>
    <row r="136" spans="1:13">
      <c r="A136" s="541" t="s">
        <v>830</v>
      </c>
      <c r="B136" s="573">
        <v>2271077.9431296396</v>
      </c>
      <c r="C136" s="573">
        <v>1860678.7330807578</v>
      </c>
      <c r="D136" s="573">
        <v>4131756.6762103974</v>
      </c>
      <c r="E136" s="572">
        <v>271757</v>
      </c>
      <c r="F136" s="572">
        <v>231526</v>
      </c>
      <c r="G136" s="572">
        <v>503283</v>
      </c>
      <c r="H136" s="572">
        <v>108166</v>
      </c>
      <c r="I136" s="572">
        <v>76829</v>
      </c>
      <c r="J136" s="572">
        <v>184995</v>
      </c>
      <c r="K136" s="572">
        <v>675138</v>
      </c>
      <c r="L136" s="572">
        <v>545036</v>
      </c>
      <c r="M136" s="572">
        <v>1220174</v>
      </c>
    </row>
    <row r="137" spans="1:13">
      <c r="A137" s="570" t="s">
        <v>829</v>
      </c>
      <c r="B137" s="545">
        <v>2239764</v>
      </c>
      <c r="C137" s="545">
        <v>1776545</v>
      </c>
      <c r="D137" s="209">
        <v>4016309</v>
      </c>
      <c r="E137" s="545">
        <v>272601</v>
      </c>
      <c r="F137" s="545">
        <v>223042</v>
      </c>
      <c r="G137" s="209">
        <v>495643</v>
      </c>
      <c r="H137" s="545">
        <v>109476</v>
      </c>
      <c r="I137" s="545">
        <v>72377</v>
      </c>
      <c r="J137" s="209">
        <v>181853</v>
      </c>
      <c r="K137" s="545">
        <v>666571</v>
      </c>
      <c r="L137" s="545">
        <v>529471</v>
      </c>
      <c r="M137" s="209">
        <v>1196042</v>
      </c>
    </row>
    <row r="138" spans="1:13">
      <c r="A138" s="570" t="s">
        <v>828</v>
      </c>
      <c r="B138" s="515">
        <v>2247820</v>
      </c>
      <c r="C138" s="515">
        <v>1739492</v>
      </c>
      <c r="D138" s="515">
        <v>3987312</v>
      </c>
      <c r="E138" s="515">
        <v>273617</v>
      </c>
      <c r="F138" s="515">
        <v>214671</v>
      </c>
      <c r="G138" s="515">
        <v>488288</v>
      </c>
      <c r="H138" s="515">
        <v>111117</v>
      </c>
      <c r="I138" s="515">
        <v>70249</v>
      </c>
      <c r="J138" s="515">
        <v>181366</v>
      </c>
      <c r="K138" s="515">
        <v>610558</v>
      </c>
      <c r="L138" s="515">
        <v>484927</v>
      </c>
      <c r="M138" s="515">
        <v>1095485</v>
      </c>
    </row>
    <row r="139" spans="1:13" ht="15">
      <c r="A139" s="537" t="s">
        <v>35</v>
      </c>
      <c r="B139" s="564"/>
      <c r="C139" s="512"/>
      <c r="D139" s="512"/>
      <c r="E139" s="512"/>
      <c r="F139" s="512"/>
      <c r="G139" s="513"/>
      <c r="H139" s="564"/>
      <c r="I139" s="512"/>
      <c r="J139" s="512"/>
      <c r="K139" s="512"/>
      <c r="L139" s="512"/>
      <c r="M139" s="512"/>
    </row>
    <row r="140" spans="1:13">
      <c r="A140" s="570" t="s">
        <v>832</v>
      </c>
      <c r="B140" s="574">
        <v>60918</v>
      </c>
      <c r="C140" s="574">
        <v>63620</v>
      </c>
      <c r="D140" s="574">
        <v>124538</v>
      </c>
      <c r="E140" s="574">
        <v>3353</v>
      </c>
      <c r="F140" s="574">
        <v>3259</v>
      </c>
      <c r="G140" s="574">
        <v>6612</v>
      </c>
      <c r="H140" s="574">
        <v>17660</v>
      </c>
      <c r="I140" s="574">
        <v>18273</v>
      </c>
      <c r="J140" s="574">
        <v>35933</v>
      </c>
      <c r="K140" s="574">
        <v>17875</v>
      </c>
      <c r="L140" s="574">
        <v>22253</v>
      </c>
      <c r="M140" s="574">
        <v>40128</v>
      </c>
    </row>
    <row r="141" spans="1:13">
      <c r="A141" s="541" t="s">
        <v>831</v>
      </c>
      <c r="B141" s="515">
        <v>54679</v>
      </c>
      <c r="C141" s="515">
        <v>55698</v>
      </c>
      <c r="D141" s="515">
        <v>110377</v>
      </c>
      <c r="E141" s="515">
        <v>3325</v>
      </c>
      <c r="F141" s="515">
        <v>3023</v>
      </c>
      <c r="G141" s="515">
        <v>6348</v>
      </c>
      <c r="H141" s="515">
        <v>18323</v>
      </c>
      <c r="I141" s="515">
        <v>17453</v>
      </c>
      <c r="J141" s="515">
        <v>35776</v>
      </c>
      <c r="K141" s="515">
        <v>16068</v>
      </c>
      <c r="L141" s="515">
        <v>19638</v>
      </c>
      <c r="M141" s="515">
        <v>35706</v>
      </c>
    </row>
    <row r="142" spans="1:13">
      <c r="A142" s="541" t="s">
        <v>830</v>
      </c>
      <c r="B142" s="573">
        <v>51270.875438012998</v>
      </c>
      <c r="C142" s="573">
        <v>53409.095683233973</v>
      </c>
      <c r="D142" s="573">
        <v>104679.97112124697</v>
      </c>
      <c r="E142" s="572">
        <v>3523</v>
      </c>
      <c r="F142" s="572">
        <v>3115</v>
      </c>
      <c r="G142" s="572">
        <v>6638</v>
      </c>
      <c r="H142" s="572">
        <v>17636</v>
      </c>
      <c r="I142" s="572">
        <v>16100</v>
      </c>
      <c r="J142" s="572">
        <v>33736</v>
      </c>
      <c r="K142" s="572">
        <v>16747</v>
      </c>
      <c r="L142" s="572">
        <v>19740</v>
      </c>
      <c r="M142" s="572">
        <v>36487</v>
      </c>
    </row>
    <row r="143" spans="1:13">
      <c r="A143" s="570" t="s">
        <v>829</v>
      </c>
      <c r="B143" s="545">
        <v>50066</v>
      </c>
      <c r="C143" s="545">
        <v>50996</v>
      </c>
      <c r="D143" s="209">
        <v>101062</v>
      </c>
      <c r="E143" s="545">
        <v>2992</v>
      </c>
      <c r="F143" s="545">
        <v>2705</v>
      </c>
      <c r="G143" s="209">
        <v>5697</v>
      </c>
      <c r="H143" s="545">
        <v>16214</v>
      </c>
      <c r="I143" s="545">
        <v>14913</v>
      </c>
      <c r="J143" s="209">
        <v>31127</v>
      </c>
      <c r="K143" s="545">
        <v>14332</v>
      </c>
      <c r="L143" s="545">
        <v>17546</v>
      </c>
      <c r="M143" s="209">
        <v>31878</v>
      </c>
    </row>
    <row r="144" spans="1:13">
      <c r="A144" s="570" t="s">
        <v>828</v>
      </c>
      <c r="B144" s="515">
        <v>50439</v>
      </c>
      <c r="C144" s="515">
        <v>48901</v>
      </c>
      <c r="D144" s="515">
        <v>99340</v>
      </c>
      <c r="E144" s="515">
        <v>2859</v>
      </c>
      <c r="F144" s="515">
        <v>2405</v>
      </c>
      <c r="G144" s="515">
        <v>5264</v>
      </c>
      <c r="H144" s="515">
        <v>16192</v>
      </c>
      <c r="I144" s="515">
        <v>14306</v>
      </c>
      <c r="J144" s="515">
        <v>30498</v>
      </c>
      <c r="K144" s="515">
        <v>16700</v>
      </c>
      <c r="L144" s="515">
        <v>18352</v>
      </c>
      <c r="M144" s="515">
        <v>35052</v>
      </c>
    </row>
    <row r="145" spans="1:13" ht="15">
      <c r="A145" s="537" t="s">
        <v>36</v>
      </c>
      <c r="B145" s="564"/>
      <c r="C145" s="512"/>
      <c r="D145" s="512"/>
      <c r="E145" s="512"/>
      <c r="F145" s="512"/>
      <c r="G145" s="513"/>
      <c r="H145" s="564"/>
      <c r="I145" s="512"/>
      <c r="J145" s="512"/>
      <c r="K145" s="512"/>
      <c r="L145" s="512"/>
      <c r="M145" s="512"/>
    </row>
    <row r="146" spans="1:13">
      <c r="A146" s="541" t="s">
        <v>832</v>
      </c>
      <c r="B146" s="571">
        <v>39844</v>
      </c>
      <c r="C146" s="571">
        <v>47697</v>
      </c>
      <c r="D146" s="571">
        <v>87541</v>
      </c>
      <c r="E146" s="571">
        <v>1124</v>
      </c>
      <c r="F146" s="571">
        <v>824</v>
      </c>
      <c r="G146" s="571">
        <v>1948</v>
      </c>
      <c r="H146" s="571">
        <v>29208</v>
      </c>
      <c r="I146" s="571">
        <v>39413</v>
      </c>
      <c r="J146" s="571">
        <v>68621</v>
      </c>
      <c r="K146" s="571">
        <v>2503</v>
      </c>
      <c r="L146" s="571">
        <v>1460</v>
      </c>
      <c r="M146" s="571">
        <v>3963</v>
      </c>
    </row>
    <row r="147" spans="1:13">
      <c r="A147" s="541" t="s">
        <v>831</v>
      </c>
      <c r="B147" s="515">
        <v>39461</v>
      </c>
      <c r="C147" s="515">
        <v>47470</v>
      </c>
      <c r="D147" s="515">
        <v>86931</v>
      </c>
      <c r="E147" s="515">
        <v>909</v>
      </c>
      <c r="F147" s="515">
        <v>2112</v>
      </c>
      <c r="G147" s="515">
        <v>3021</v>
      </c>
      <c r="H147" s="515">
        <v>29641</v>
      </c>
      <c r="I147" s="515">
        <v>38383</v>
      </c>
      <c r="J147" s="515">
        <v>68024</v>
      </c>
      <c r="K147" s="515">
        <v>2446</v>
      </c>
      <c r="L147" s="515">
        <v>1421</v>
      </c>
      <c r="M147" s="515">
        <v>3867</v>
      </c>
    </row>
    <row r="148" spans="1:13">
      <c r="A148" s="541" t="s">
        <v>830</v>
      </c>
      <c r="B148" s="573">
        <v>40427.713486908644</v>
      </c>
      <c r="C148" s="573">
        <v>43394.089871076707</v>
      </c>
      <c r="D148" s="573">
        <v>83821.803357985351</v>
      </c>
      <c r="E148" s="572">
        <v>568</v>
      </c>
      <c r="F148" s="572">
        <v>376</v>
      </c>
      <c r="G148" s="572">
        <v>944</v>
      </c>
      <c r="H148" s="572">
        <v>25989</v>
      </c>
      <c r="I148" s="572">
        <v>30948</v>
      </c>
      <c r="J148" s="572">
        <v>56937</v>
      </c>
      <c r="K148" s="572">
        <v>2292</v>
      </c>
      <c r="L148" s="572">
        <v>1337</v>
      </c>
      <c r="M148" s="572">
        <v>3629</v>
      </c>
    </row>
    <row r="149" spans="1:13">
      <c r="A149" s="570" t="s">
        <v>829</v>
      </c>
      <c r="B149" s="545">
        <v>38881</v>
      </c>
      <c r="C149" s="545">
        <v>41411</v>
      </c>
      <c r="D149" s="209">
        <v>80292</v>
      </c>
      <c r="E149" s="545">
        <v>583</v>
      </c>
      <c r="F149" s="545">
        <v>450</v>
      </c>
      <c r="G149" s="209">
        <v>1033</v>
      </c>
      <c r="H149" s="545">
        <v>24513</v>
      </c>
      <c r="I149" s="545">
        <v>32082</v>
      </c>
      <c r="J149" s="209">
        <v>56595</v>
      </c>
      <c r="K149" s="545">
        <v>891</v>
      </c>
      <c r="L149" s="545">
        <v>790</v>
      </c>
      <c r="M149" s="209">
        <v>1681</v>
      </c>
    </row>
    <row r="150" spans="1:13">
      <c r="A150" s="570" t="s">
        <v>828</v>
      </c>
      <c r="B150" s="515">
        <v>34599</v>
      </c>
      <c r="C150" s="515">
        <v>36968</v>
      </c>
      <c r="D150" s="515">
        <v>71567</v>
      </c>
      <c r="E150" s="515">
        <v>632</v>
      </c>
      <c r="F150" s="515">
        <v>451</v>
      </c>
      <c r="G150" s="515">
        <v>1083</v>
      </c>
      <c r="H150" s="515">
        <v>22485</v>
      </c>
      <c r="I150" s="515">
        <v>28061</v>
      </c>
      <c r="J150" s="515">
        <v>50546</v>
      </c>
      <c r="K150" s="515">
        <v>1054</v>
      </c>
      <c r="L150" s="515">
        <v>647</v>
      </c>
      <c r="M150" s="515">
        <v>1701</v>
      </c>
    </row>
    <row r="151" spans="1:13" ht="15">
      <c r="A151" s="537" t="s">
        <v>37</v>
      </c>
      <c r="B151" s="564"/>
      <c r="C151" s="512"/>
      <c r="D151" s="512"/>
      <c r="E151" s="512"/>
      <c r="F151" s="512"/>
      <c r="G151" s="513"/>
      <c r="H151" s="564"/>
      <c r="I151" s="512"/>
      <c r="J151" s="512"/>
      <c r="K151" s="512"/>
      <c r="L151" s="512"/>
      <c r="M151" s="512"/>
    </row>
    <row r="152" spans="1:13">
      <c r="A152" s="541" t="s">
        <v>832</v>
      </c>
      <c r="B152" s="571">
        <v>17156</v>
      </c>
      <c r="C152" s="571">
        <v>16080</v>
      </c>
      <c r="D152" s="571">
        <v>33236</v>
      </c>
      <c r="E152" s="571">
        <v>161</v>
      </c>
      <c r="F152" s="571">
        <v>61</v>
      </c>
      <c r="G152" s="571">
        <v>222</v>
      </c>
      <c r="H152" s="571">
        <v>15882</v>
      </c>
      <c r="I152" s="571">
        <v>15689</v>
      </c>
      <c r="J152" s="571">
        <v>31571</v>
      </c>
      <c r="K152" s="571">
        <v>380</v>
      </c>
      <c r="L152" s="571">
        <v>181</v>
      </c>
      <c r="M152" s="571">
        <v>561</v>
      </c>
    </row>
    <row r="153" spans="1:13">
      <c r="A153" s="541" t="s">
        <v>831</v>
      </c>
      <c r="B153" s="515">
        <v>16852</v>
      </c>
      <c r="C153" s="515">
        <v>15986</v>
      </c>
      <c r="D153" s="515">
        <v>32838</v>
      </c>
      <c r="E153" s="515">
        <v>143</v>
      </c>
      <c r="F153" s="515">
        <v>77</v>
      </c>
      <c r="G153" s="515">
        <v>220</v>
      </c>
      <c r="H153" s="515">
        <v>15836</v>
      </c>
      <c r="I153" s="515">
        <v>15391</v>
      </c>
      <c r="J153" s="515">
        <v>31227</v>
      </c>
      <c r="K153" s="515">
        <v>361</v>
      </c>
      <c r="L153" s="515">
        <v>181</v>
      </c>
      <c r="M153" s="515">
        <v>542</v>
      </c>
    </row>
    <row r="154" spans="1:13">
      <c r="A154" s="541" t="s">
        <v>830</v>
      </c>
      <c r="B154" s="572">
        <v>15861</v>
      </c>
      <c r="C154" s="572">
        <v>13634</v>
      </c>
      <c r="D154" s="572">
        <v>29495</v>
      </c>
      <c r="E154" s="572">
        <v>130</v>
      </c>
      <c r="F154" s="572">
        <v>61</v>
      </c>
      <c r="G154" s="572">
        <v>191</v>
      </c>
      <c r="H154" s="572">
        <v>14885</v>
      </c>
      <c r="I154" s="572">
        <v>13149</v>
      </c>
      <c r="J154" s="572">
        <v>28034</v>
      </c>
      <c r="K154" s="572">
        <v>326</v>
      </c>
      <c r="L154" s="572">
        <v>146</v>
      </c>
      <c r="M154" s="572">
        <v>472</v>
      </c>
    </row>
    <row r="155" spans="1:13">
      <c r="A155" s="570" t="s">
        <v>829</v>
      </c>
      <c r="B155" s="545">
        <v>16278</v>
      </c>
      <c r="C155" s="545">
        <v>15441</v>
      </c>
      <c r="D155" s="209">
        <v>31719</v>
      </c>
      <c r="E155" s="545">
        <v>125</v>
      </c>
      <c r="F155" s="545">
        <v>58</v>
      </c>
      <c r="G155" s="209">
        <v>183</v>
      </c>
      <c r="H155" s="545">
        <v>15070</v>
      </c>
      <c r="I155" s="545">
        <v>14651</v>
      </c>
      <c r="J155" s="209">
        <v>29721</v>
      </c>
      <c r="K155" s="545">
        <v>290</v>
      </c>
      <c r="L155" s="545">
        <v>139</v>
      </c>
      <c r="M155" s="209">
        <v>429</v>
      </c>
    </row>
    <row r="156" spans="1:13">
      <c r="A156" s="570" t="s">
        <v>828</v>
      </c>
      <c r="B156" s="515">
        <v>16342</v>
      </c>
      <c r="C156" s="515">
        <v>15121</v>
      </c>
      <c r="D156" s="515">
        <v>31463</v>
      </c>
      <c r="E156" s="515">
        <v>208</v>
      </c>
      <c r="F156" s="515">
        <v>59</v>
      </c>
      <c r="G156" s="515">
        <v>267</v>
      </c>
      <c r="H156" s="515">
        <v>15433</v>
      </c>
      <c r="I156" s="515">
        <v>14769</v>
      </c>
      <c r="J156" s="515">
        <v>30202</v>
      </c>
      <c r="K156" s="515">
        <v>271</v>
      </c>
      <c r="L156" s="515">
        <v>112</v>
      </c>
      <c r="M156" s="515">
        <v>383</v>
      </c>
    </row>
    <row r="157" spans="1:13" ht="15">
      <c r="A157" s="537" t="s">
        <v>38</v>
      </c>
      <c r="B157" s="564"/>
      <c r="C157" s="512"/>
      <c r="D157" s="512"/>
      <c r="E157" s="512"/>
      <c r="F157" s="512"/>
      <c r="G157" s="513"/>
      <c r="H157" s="564"/>
      <c r="I157" s="512"/>
      <c r="J157" s="512"/>
      <c r="K157" s="512"/>
      <c r="L157" s="512"/>
      <c r="M157" s="512"/>
    </row>
    <row r="158" spans="1:13">
      <c r="A158" s="541" t="s">
        <v>832</v>
      </c>
      <c r="B158" s="571">
        <v>20255</v>
      </c>
      <c r="C158" s="571">
        <v>24306</v>
      </c>
      <c r="D158" s="571">
        <v>44561</v>
      </c>
      <c r="E158" s="571">
        <v>191</v>
      </c>
      <c r="F158" s="571">
        <v>145</v>
      </c>
      <c r="G158" s="571">
        <v>336</v>
      </c>
      <c r="H158" s="571">
        <v>18460</v>
      </c>
      <c r="I158" s="571">
        <v>22495</v>
      </c>
      <c r="J158" s="571">
        <v>40955</v>
      </c>
      <c r="K158" s="571">
        <v>454</v>
      </c>
      <c r="L158" s="571">
        <v>389</v>
      </c>
      <c r="M158" s="571">
        <v>843</v>
      </c>
    </row>
    <row r="159" spans="1:13">
      <c r="A159" s="541" t="s">
        <v>831</v>
      </c>
      <c r="B159" s="515">
        <v>21987</v>
      </c>
      <c r="C159" s="515">
        <v>23475</v>
      </c>
      <c r="D159" s="515">
        <v>45462</v>
      </c>
      <c r="E159" s="515">
        <v>233</v>
      </c>
      <c r="F159" s="515">
        <v>168</v>
      </c>
      <c r="G159" s="515">
        <v>401</v>
      </c>
      <c r="H159" s="515">
        <v>18615</v>
      </c>
      <c r="I159" s="515">
        <v>21483</v>
      </c>
      <c r="J159" s="515">
        <v>40098</v>
      </c>
      <c r="K159" s="515">
        <v>471</v>
      </c>
      <c r="L159" s="515">
        <v>377</v>
      </c>
      <c r="M159" s="515">
        <v>848</v>
      </c>
    </row>
    <row r="160" spans="1:13">
      <c r="A160" s="541" t="s">
        <v>830</v>
      </c>
      <c r="B160" s="572">
        <v>22118</v>
      </c>
      <c r="C160" s="572">
        <v>21439</v>
      </c>
      <c r="D160" s="572">
        <v>43557</v>
      </c>
      <c r="E160" s="572">
        <v>229</v>
      </c>
      <c r="F160" s="572">
        <v>181</v>
      </c>
      <c r="G160" s="572">
        <v>410</v>
      </c>
      <c r="H160" s="572">
        <v>17624</v>
      </c>
      <c r="I160" s="572">
        <v>19035</v>
      </c>
      <c r="J160" s="572">
        <v>36659</v>
      </c>
      <c r="K160" s="572">
        <v>427</v>
      </c>
      <c r="L160" s="572">
        <v>281</v>
      </c>
      <c r="M160" s="572">
        <v>708</v>
      </c>
    </row>
    <row r="161" spans="1:13">
      <c r="A161" s="570" t="s">
        <v>829</v>
      </c>
      <c r="B161" s="545">
        <v>20192</v>
      </c>
      <c r="C161" s="545">
        <v>20570</v>
      </c>
      <c r="D161" s="209">
        <v>40762</v>
      </c>
      <c r="E161" s="545">
        <v>337</v>
      </c>
      <c r="F161" s="545">
        <v>247</v>
      </c>
      <c r="G161" s="209">
        <v>584</v>
      </c>
      <c r="H161" s="545">
        <v>16176</v>
      </c>
      <c r="I161" s="545">
        <v>18107</v>
      </c>
      <c r="J161" s="209">
        <v>34283</v>
      </c>
      <c r="K161" s="545">
        <v>380</v>
      </c>
      <c r="L161" s="545">
        <v>307</v>
      </c>
      <c r="M161" s="209">
        <v>687</v>
      </c>
    </row>
    <row r="162" spans="1:13">
      <c r="A162" s="570" t="s">
        <v>828</v>
      </c>
      <c r="B162" s="515">
        <v>17889</v>
      </c>
      <c r="C162" s="515">
        <v>19003</v>
      </c>
      <c r="D162" s="515">
        <v>36892</v>
      </c>
      <c r="E162" s="515">
        <v>394</v>
      </c>
      <c r="F162" s="515">
        <v>254</v>
      </c>
      <c r="G162" s="515">
        <v>648</v>
      </c>
      <c r="H162" s="515">
        <v>14491</v>
      </c>
      <c r="I162" s="515">
        <v>15988</v>
      </c>
      <c r="J162" s="515">
        <v>30479</v>
      </c>
      <c r="K162" s="515">
        <v>391</v>
      </c>
      <c r="L162" s="515">
        <v>281</v>
      </c>
      <c r="M162" s="515">
        <v>672</v>
      </c>
    </row>
    <row r="163" spans="1:13" ht="15">
      <c r="A163" s="537" t="s">
        <v>39</v>
      </c>
      <c r="B163" s="564"/>
      <c r="C163" s="512"/>
      <c r="D163" s="512"/>
      <c r="E163" s="512"/>
      <c r="F163" s="512"/>
      <c r="G163" s="513"/>
      <c r="H163" s="564"/>
      <c r="I163" s="512"/>
      <c r="J163" s="512"/>
      <c r="K163" s="512"/>
      <c r="L163" s="512"/>
      <c r="M163" s="512"/>
    </row>
    <row r="164" spans="1:13">
      <c r="A164" s="541" t="s">
        <v>832</v>
      </c>
      <c r="B164" s="571">
        <v>529226</v>
      </c>
      <c r="C164" s="571">
        <v>465703</v>
      </c>
      <c r="D164" s="571">
        <v>994929</v>
      </c>
      <c r="E164" s="571">
        <v>88766</v>
      </c>
      <c r="F164" s="571">
        <v>71362</v>
      </c>
      <c r="G164" s="571">
        <v>160128</v>
      </c>
      <c r="H164" s="571">
        <v>70031</v>
      </c>
      <c r="I164" s="571">
        <v>64832</v>
      </c>
      <c r="J164" s="571">
        <v>134863</v>
      </c>
      <c r="K164" s="571">
        <v>110320</v>
      </c>
      <c r="L164" s="571">
        <v>102419</v>
      </c>
      <c r="M164" s="571">
        <v>212739</v>
      </c>
    </row>
    <row r="165" spans="1:13">
      <c r="A165" s="541" t="s">
        <v>831</v>
      </c>
      <c r="B165" s="515">
        <v>558364</v>
      </c>
      <c r="C165" s="515">
        <v>460828</v>
      </c>
      <c r="D165" s="515">
        <v>1019192</v>
      </c>
      <c r="E165" s="515">
        <v>92203</v>
      </c>
      <c r="F165" s="515">
        <v>70405</v>
      </c>
      <c r="G165" s="515">
        <v>162608</v>
      </c>
      <c r="H165" s="515">
        <v>68967</v>
      </c>
      <c r="I165" s="515">
        <v>58845</v>
      </c>
      <c r="J165" s="515">
        <v>127812</v>
      </c>
      <c r="K165" s="515">
        <v>110862</v>
      </c>
      <c r="L165" s="515">
        <v>99396</v>
      </c>
      <c r="M165" s="515">
        <v>210258</v>
      </c>
    </row>
    <row r="166" spans="1:13">
      <c r="A166" s="541" t="s">
        <v>830</v>
      </c>
      <c r="B166" s="573">
        <v>549575.04319256498</v>
      </c>
      <c r="C166" s="573">
        <v>466201.56016932696</v>
      </c>
      <c r="D166" s="573">
        <v>1015776.6033618919</v>
      </c>
      <c r="E166" s="572">
        <v>88490</v>
      </c>
      <c r="F166" s="572">
        <v>64545</v>
      </c>
      <c r="G166" s="572">
        <v>153035</v>
      </c>
      <c r="H166" s="572">
        <v>68567</v>
      </c>
      <c r="I166" s="572">
        <v>56400</v>
      </c>
      <c r="J166" s="572">
        <v>124967</v>
      </c>
      <c r="K166" s="572">
        <v>108119</v>
      </c>
      <c r="L166" s="572">
        <v>95617</v>
      </c>
      <c r="M166" s="572">
        <v>203736</v>
      </c>
    </row>
    <row r="167" spans="1:13">
      <c r="A167" s="570" t="s">
        <v>829</v>
      </c>
      <c r="B167" s="545">
        <v>532506</v>
      </c>
      <c r="C167" s="545">
        <v>439779</v>
      </c>
      <c r="D167" s="209">
        <v>972285</v>
      </c>
      <c r="E167" s="545">
        <v>81936</v>
      </c>
      <c r="F167" s="545">
        <v>60347</v>
      </c>
      <c r="G167" s="209">
        <v>142283</v>
      </c>
      <c r="H167" s="545">
        <v>62918</v>
      </c>
      <c r="I167" s="545">
        <v>51028</v>
      </c>
      <c r="J167" s="209">
        <v>113946</v>
      </c>
      <c r="K167" s="545">
        <v>107328</v>
      </c>
      <c r="L167" s="545">
        <v>98840</v>
      </c>
      <c r="M167" s="209">
        <v>206168</v>
      </c>
    </row>
    <row r="168" spans="1:13">
      <c r="A168" s="570" t="s">
        <v>828</v>
      </c>
      <c r="B168" s="515">
        <v>498103</v>
      </c>
      <c r="C168" s="515">
        <v>416572</v>
      </c>
      <c r="D168" s="515">
        <v>914675</v>
      </c>
      <c r="E168" s="515">
        <v>67327</v>
      </c>
      <c r="F168" s="515">
        <v>53218</v>
      </c>
      <c r="G168" s="515">
        <v>120545</v>
      </c>
      <c r="H168" s="515">
        <v>51501</v>
      </c>
      <c r="I168" s="515">
        <v>43321</v>
      </c>
      <c r="J168" s="515">
        <v>94822</v>
      </c>
      <c r="K168" s="515">
        <v>103140</v>
      </c>
      <c r="L168" s="515">
        <v>96703</v>
      </c>
      <c r="M168" s="515">
        <v>199843</v>
      </c>
    </row>
    <row r="169" spans="1:13" ht="15">
      <c r="A169" s="537" t="s">
        <v>40</v>
      </c>
      <c r="B169" s="564"/>
      <c r="C169" s="512"/>
      <c r="D169" s="512"/>
      <c r="E169" s="512"/>
      <c r="F169" s="512"/>
      <c r="G169" s="513"/>
      <c r="H169" s="564"/>
      <c r="I169" s="512"/>
      <c r="J169" s="512"/>
      <c r="K169" s="512"/>
      <c r="L169" s="512"/>
      <c r="M169" s="512"/>
    </row>
    <row r="170" spans="1:13">
      <c r="A170" s="541" t="s">
        <v>832</v>
      </c>
      <c r="B170" s="571">
        <v>38156</v>
      </c>
      <c r="C170" s="571">
        <v>41968</v>
      </c>
      <c r="D170" s="571">
        <v>80124</v>
      </c>
      <c r="E170" s="571">
        <v>4892</v>
      </c>
      <c r="F170" s="571">
        <v>5165</v>
      </c>
      <c r="G170" s="571">
        <v>10057</v>
      </c>
      <c r="H170" s="571">
        <v>547</v>
      </c>
      <c r="I170" s="571">
        <v>476</v>
      </c>
      <c r="J170" s="571">
        <v>1023</v>
      </c>
      <c r="K170" s="571">
        <v>22563</v>
      </c>
      <c r="L170" s="571">
        <v>26083</v>
      </c>
      <c r="M170" s="571">
        <v>48646</v>
      </c>
    </row>
    <row r="171" spans="1:13">
      <c r="A171" s="541" t="s">
        <v>831</v>
      </c>
      <c r="B171" s="515">
        <v>36894</v>
      </c>
      <c r="C171" s="515">
        <v>40448</v>
      </c>
      <c r="D171" s="515">
        <v>77342</v>
      </c>
      <c r="E171" s="515">
        <v>5018</v>
      </c>
      <c r="F171" s="515">
        <v>5239</v>
      </c>
      <c r="G171" s="515">
        <v>10257</v>
      </c>
      <c r="H171" s="515">
        <v>556</v>
      </c>
      <c r="I171" s="515">
        <v>382</v>
      </c>
      <c r="J171" s="515">
        <v>938</v>
      </c>
      <c r="K171" s="515">
        <v>21472</v>
      </c>
      <c r="L171" s="515">
        <v>25478</v>
      </c>
      <c r="M171" s="515">
        <v>46950</v>
      </c>
    </row>
    <row r="172" spans="1:13">
      <c r="A172" s="541" t="s">
        <v>830</v>
      </c>
      <c r="B172" s="573">
        <v>36093.884744531271</v>
      </c>
      <c r="C172" s="573">
        <v>36966.739775876173</v>
      </c>
      <c r="D172" s="573">
        <v>73060.624520407437</v>
      </c>
      <c r="E172" s="572">
        <v>4516</v>
      </c>
      <c r="F172" s="572">
        <v>4557</v>
      </c>
      <c r="G172" s="572">
        <v>9073</v>
      </c>
      <c r="H172" s="572">
        <v>659</v>
      </c>
      <c r="I172" s="572">
        <v>393</v>
      </c>
      <c r="J172" s="572">
        <v>1052</v>
      </c>
      <c r="K172" s="572">
        <v>19640</v>
      </c>
      <c r="L172" s="572">
        <v>22816</v>
      </c>
      <c r="M172" s="572">
        <v>42456</v>
      </c>
    </row>
    <row r="173" spans="1:13">
      <c r="A173" s="570" t="s">
        <v>829</v>
      </c>
      <c r="B173" s="545">
        <v>33446</v>
      </c>
      <c r="C173" s="545">
        <v>33472</v>
      </c>
      <c r="D173" s="209">
        <v>66918</v>
      </c>
      <c r="E173" s="545">
        <v>4306</v>
      </c>
      <c r="F173" s="545">
        <v>4372</v>
      </c>
      <c r="G173" s="209">
        <v>8678</v>
      </c>
      <c r="H173" s="545">
        <v>532</v>
      </c>
      <c r="I173" s="545">
        <v>344</v>
      </c>
      <c r="J173" s="209">
        <v>876</v>
      </c>
      <c r="K173" s="545">
        <v>18223</v>
      </c>
      <c r="L173" s="545">
        <v>20621</v>
      </c>
      <c r="M173" s="209">
        <v>38844</v>
      </c>
    </row>
    <row r="174" spans="1:13">
      <c r="A174" s="570" t="s">
        <v>828</v>
      </c>
      <c r="B174" s="515">
        <v>33992</v>
      </c>
      <c r="C174" s="515">
        <v>31420</v>
      </c>
      <c r="D174" s="515">
        <v>65412</v>
      </c>
      <c r="E174" s="515">
        <v>4451</v>
      </c>
      <c r="F174" s="515">
        <v>4166</v>
      </c>
      <c r="G174" s="515">
        <v>8617</v>
      </c>
      <c r="H174" s="515">
        <v>809</v>
      </c>
      <c r="I174" s="515">
        <v>402</v>
      </c>
      <c r="J174" s="515">
        <v>1211</v>
      </c>
      <c r="K174" s="515">
        <v>19175</v>
      </c>
      <c r="L174" s="515">
        <v>19888</v>
      </c>
      <c r="M174" s="515">
        <v>39063</v>
      </c>
    </row>
    <row r="175" spans="1:13" ht="15">
      <c r="A175" s="537" t="s">
        <v>41</v>
      </c>
      <c r="B175" s="564"/>
      <c r="C175" s="512"/>
      <c r="D175" s="512"/>
      <c r="E175" s="512"/>
      <c r="F175" s="512"/>
      <c r="G175" s="513"/>
      <c r="H175" s="564"/>
      <c r="I175" s="512"/>
      <c r="J175" s="512"/>
      <c r="K175" s="512"/>
      <c r="L175" s="512"/>
      <c r="M175" s="512"/>
    </row>
    <row r="176" spans="1:13">
      <c r="A176" s="541" t="s">
        <v>832</v>
      </c>
      <c r="B176" s="571">
        <v>425331</v>
      </c>
      <c r="C176" s="571">
        <v>444132</v>
      </c>
      <c r="D176" s="571">
        <v>869463</v>
      </c>
      <c r="E176" s="571">
        <v>90941</v>
      </c>
      <c r="F176" s="571">
        <v>107929</v>
      </c>
      <c r="G176" s="571">
        <v>198870</v>
      </c>
      <c r="H176" s="571">
        <v>3075</v>
      </c>
      <c r="I176" s="571">
        <v>1942</v>
      </c>
      <c r="J176" s="571">
        <v>5017</v>
      </c>
      <c r="K176" s="571">
        <v>55729</v>
      </c>
      <c r="L176" s="571">
        <v>55521</v>
      </c>
      <c r="M176" s="571">
        <v>111250</v>
      </c>
    </row>
    <row r="177" spans="1:13">
      <c r="A177" s="541" t="s">
        <v>831</v>
      </c>
      <c r="B177" s="515">
        <v>436730</v>
      </c>
      <c r="C177" s="515">
        <v>482846</v>
      </c>
      <c r="D177" s="515">
        <v>919576</v>
      </c>
      <c r="E177" s="515">
        <v>101143</v>
      </c>
      <c r="F177" s="515">
        <v>120175</v>
      </c>
      <c r="G177" s="515">
        <v>221318</v>
      </c>
      <c r="H177" s="515">
        <v>3586</v>
      </c>
      <c r="I177" s="515">
        <v>1712</v>
      </c>
      <c r="J177" s="515">
        <v>5298</v>
      </c>
      <c r="K177" s="515">
        <v>54022</v>
      </c>
      <c r="L177" s="515">
        <v>57855</v>
      </c>
      <c r="M177" s="515">
        <v>111877</v>
      </c>
    </row>
    <row r="178" spans="1:13">
      <c r="A178" s="541" t="s">
        <v>830</v>
      </c>
      <c r="B178" s="573">
        <v>479105.54572265298</v>
      </c>
      <c r="C178" s="573">
        <v>480430.46887301886</v>
      </c>
      <c r="D178" s="573">
        <v>959536.01459567179</v>
      </c>
      <c r="E178" s="572">
        <v>111852</v>
      </c>
      <c r="F178" s="572">
        <v>115122</v>
      </c>
      <c r="G178" s="572">
        <v>226974</v>
      </c>
      <c r="H178" s="572">
        <v>4127</v>
      </c>
      <c r="I178" s="572">
        <v>2152</v>
      </c>
      <c r="J178" s="572">
        <v>6279</v>
      </c>
      <c r="K178" s="572">
        <v>51690</v>
      </c>
      <c r="L178" s="572">
        <v>49200</v>
      </c>
      <c r="M178" s="572">
        <v>100890</v>
      </c>
    </row>
    <row r="179" spans="1:13">
      <c r="A179" s="570" t="s">
        <v>829</v>
      </c>
      <c r="B179" s="545">
        <v>472859</v>
      </c>
      <c r="C179" s="545">
        <v>444691</v>
      </c>
      <c r="D179" s="209">
        <v>917550</v>
      </c>
      <c r="E179" s="545">
        <v>112768</v>
      </c>
      <c r="F179" s="545">
        <v>106994</v>
      </c>
      <c r="G179" s="209">
        <v>219762</v>
      </c>
      <c r="H179" s="545">
        <v>3846</v>
      </c>
      <c r="I179" s="545">
        <v>1824</v>
      </c>
      <c r="J179" s="209">
        <v>5670</v>
      </c>
      <c r="K179" s="545">
        <v>50593</v>
      </c>
      <c r="L179" s="545">
        <v>44898</v>
      </c>
      <c r="M179" s="209">
        <v>95491</v>
      </c>
    </row>
    <row r="180" spans="1:13">
      <c r="A180" s="570" t="s">
        <v>828</v>
      </c>
      <c r="B180" s="515">
        <v>457556</v>
      </c>
      <c r="C180" s="515">
        <v>420923</v>
      </c>
      <c r="D180" s="515">
        <v>878479</v>
      </c>
      <c r="E180" s="515">
        <v>104253</v>
      </c>
      <c r="F180" s="515">
        <v>92114</v>
      </c>
      <c r="G180" s="515">
        <v>196367</v>
      </c>
      <c r="H180" s="515">
        <v>3828</v>
      </c>
      <c r="I180" s="515">
        <v>1687</v>
      </c>
      <c r="J180" s="515">
        <v>5515</v>
      </c>
      <c r="K180" s="515">
        <v>49016</v>
      </c>
      <c r="L180" s="515">
        <v>41453</v>
      </c>
      <c r="M180" s="515">
        <v>90469</v>
      </c>
    </row>
    <row r="181" spans="1:13" ht="15">
      <c r="A181" s="537" t="s">
        <v>42</v>
      </c>
      <c r="B181" s="564"/>
      <c r="C181" s="512"/>
      <c r="D181" s="512"/>
      <c r="E181" s="512"/>
      <c r="F181" s="512"/>
      <c r="G181" s="513"/>
      <c r="H181" s="564"/>
      <c r="I181" s="512"/>
      <c r="J181" s="512"/>
      <c r="K181" s="512"/>
      <c r="L181" s="512"/>
      <c r="M181" s="512"/>
    </row>
    <row r="182" spans="1:13">
      <c r="A182" s="541" t="s">
        <v>832</v>
      </c>
      <c r="B182" s="571">
        <v>1151186</v>
      </c>
      <c r="C182" s="571">
        <v>1055331</v>
      </c>
      <c r="D182" s="571">
        <v>2206517</v>
      </c>
      <c r="E182" s="571">
        <v>186353</v>
      </c>
      <c r="F182" s="571">
        <v>165088</v>
      </c>
      <c r="G182" s="571">
        <v>351441</v>
      </c>
      <c r="H182" s="571">
        <v>128038</v>
      </c>
      <c r="I182" s="571">
        <v>125991</v>
      </c>
      <c r="J182" s="571">
        <v>254029</v>
      </c>
      <c r="K182" s="571">
        <v>453177</v>
      </c>
      <c r="L182" s="571">
        <v>446822</v>
      </c>
      <c r="M182" s="571">
        <v>899999</v>
      </c>
    </row>
    <row r="183" spans="1:13">
      <c r="A183" s="541" t="s">
        <v>831</v>
      </c>
      <c r="B183" s="515">
        <v>1082466</v>
      </c>
      <c r="C183" s="515">
        <v>1001947</v>
      </c>
      <c r="D183" s="515">
        <v>2084413</v>
      </c>
      <c r="E183" s="515">
        <v>180245</v>
      </c>
      <c r="F183" s="515">
        <v>150924</v>
      </c>
      <c r="G183" s="515">
        <v>331169</v>
      </c>
      <c r="H183" s="515">
        <v>128628</v>
      </c>
      <c r="I183" s="515">
        <v>117238</v>
      </c>
      <c r="J183" s="515">
        <v>245866</v>
      </c>
      <c r="K183" s="515">
        <v>433092</v>
      </c>
      <c r="L183" s="515">
        <v>427045</v>
      </c>
      <c r="M183" s="515">
        <v>860137</v>
      </c>
    </row>
    <row r="184" spans="1:13">
      <c r="A184" s="541" t="s">
        <v>830</v>
      </c>
      <c r="B184" s="573">
        <v>1054510.6907381921</v>
      </c>
      <c r="C184" s="573">
        <v>881693.30864711315</v>
      </c>
      <c r="D184" s="573">
        <v>1936203.9993853052</v>
      </c>
      <c r="E184" s="572">
        <v>157680</v>
      </c>
      <c r="F184" s="572">
        <v>124975</v>
      </c>
      <c r="G184" s="572">
        <v>282655</v>
      </c>
      <c r="H184" s="572">
        <v>113959</v>
      </c>
      <c r="I184" s="572">
        <v>97354</v>
      </c>
      <c r="J184" s="572">
        <v>211313</v>
      </c>
      <c r="K184" s="572">
        <v>399405</v>
      </c>
      <c r="L184" s="572">
        <v>365738</v>
      </c>
      <c r="M184" s="572">
        <v>765143</v>
      </c>
    </row>
    <row r="185" spans="1:13">
      <c r="A185" s="570" t="s">
        <v>829</v>
      </c>
      <c r="B185" s="545">
        <v>994972</v>
      </c>
      <c r="C185" s="545">
        <v>813479</v>
      </c>
      <c r="D185" s="209">
        <v>1808451</v>
      </c>
      <c r="E185" s="545">
        <v>149102</v>
      </c>
      <c r="F185" s="545">
        <v>110755</v>
      </c>
      <c r="G185" s="209">
        <v>259857</v>
      </c>
      <c r="H185" s="545">
        <v>111189</v>
      </c>
      <c r="I185" s="545">
        <v>90316</v>
      </c>
      <c r="J185" s="209">
        <v>201505</v>
      </c>
      <c r="K185" s="545">
        <v>385913</v>
      </c>
      <c r="L185" s="545">
        <v>335298</v>
      </c>
      <c r="M185" s="209">
        <v>721211</v>
      </c>
    </row>
    <row r="186" spans="1:13">
      <c r="A186" s="570" t="s">
        <v>828</v>
      </c>
      <c r="B186" s="515">
        <v>992153</v>
      </c>
      <c r="C186" s="515">
        <v>769307</v>
      </c>
      <c r="D186" s="515">
        <v>1761460</v>
      </c>
      <c r="E186" s="515">
        <v>141594</v>
      </c>
      <c r="F186" s="515">
        <v>100777</v>
      </c>
      <c r="G186" s="515">
        <v>242371</v>
      </c>
      <c r="H186" s="515">
        <v>95189</v>
      </c>
      <c r="I186" s="515">
        <v>74367</v>
      </c>
      <c r="J186" s="515">
        <v>169556</v>
      </c>
      <c r="K186" s="515">
        <v>374683</v>
      </c>
      <c r="L186" s="515">
        <v>310865</v>
      </c>
      <c r="M186" s="515">
        <v>685548</v>
      </c>
    </row>
    <row r="187" spans="1:13" ht="15">
      <c r="A187" s="537" t="s">
        <v>43</v>
      </c>
      <c r="B187" s="564"/>
      <c r="C187" s="512"/>
      <c r="D187" s="512"/>
      <c r="E187" s="512"/>
      <c r="F187" s="512"/>
      <c r="G187" s="513"/>
      <c r="H187" s="564"/>
      <c r="I187" s="512"/>
      <c r="J187" s="512"/>
      <c r="K187" s="512"/>
      <c r="L187" s="512"/>
      <c r="M187" s="512"/>
    </row>
    <row r="188" spans="1:13">
      <c r="A188" s="541" t="s">
        <v>832</v>
      </c>
      <c r="B188" s="571">
        <v>33049</v>
      </c>
      <c r="C188" s="571">
        <v>25022</v>
      </c>
      <c r="D188" s="571">
        <v>58071</v>
      </c>
      <c r="E188" s="571">
        <v>681</v>
      </c>
      <c r="F188" s="571">
        <v>621</v>
      </c>
      <c r="G188" s="571">
        <v>1302</v>
      </c>
      <c r="H188" s="571">
        <v>3586</v>
      </c>
      <c r="I188" s="571">
        <v>5423</v>
      </c>
      <c r="J188" s="571">
        <v>9009</v>
      </c>
      <c r="K188" s="571">
        <v>3274</v>
      </c>
      <c r="L188" s="571">
        <v>4187</v>
      </c>
      <c r="M188" s="571">
        <v>7461</v>
      </c>
    </row>
    <row r="189" spans="1:13">
      <c r="A189" s="541" t="s">
        <v>831</v>
      </c>
      <c r="B189" s="515">
        <v>21489</v>
      </c>
      <c r="C189" s="515">
        <v>20083</v>
      </c>
      <c r="D189" s="515">
        <v>41572</v>
      </c>
      <c r="E189" s="515">
        <v>733</v>
      </c>
      <c r="F189" s="515">
        <v>627</v>
      </c>
      <c r="G189" s="515">
        <v>1360</v>
      </c>
      <c r="H189" s="515">
        <v>3454</v>
      </c>
      <c r="I189" s="515">
        <v>5315</v>
      </c>
      <c r="J189" s="515">
        <v>8769</v>
      </c>
      <c r="K189" s="515">
        <v>3006</v>
      </c>
      <c r="L189" s="515">
        <v>3767</v>
      </c>
      <c r="M189" s="515">
        <v>6773</v>
      </c>
    </row>
    <row r="190" spans="1:13">
      <c r="A190" s="541" t="s">
        <v>830</v>
      </c>
      <c r="B190" s="573">
        <v>13587.796108021475</v>
      </c>
      <c r="C190" s="573">
        <v>15412.579037678461</v>
      </c>
      <c r="D190" s="573">
        <v>29000.375145699938</v>
      </c>
      <c r="E190" s="572">
        <v>683</v>
      </c>
      <c r="F190" s="572">
        <v>528</v>
      </c>
      <c r="G190" s="572">
        <v>1211</v>
      </c>
      <c r="H190" s="572">
        <v>3776</v>
      </c>
      <c r="I190" s="572">
        <v>5058</v>
      </c>
      <c r="J190" s="572">
        <v>8834</v>
      </c>
      <c r="K190" s="572">
        <v>3362</v>
      </c>
      <c r="L190" s="572">
        <v>3653</v>
      </c>
      <c r="M190" s="572">
        <v>7015</v>
      </c>
    </row>
    <row r="191" spans="1:13">
      <c r="A191" s="570" t="s">
        <v>829</v>
      </c>
      <c r="B191" s="545">
        <v>13695</v>
      </c>
      <c r="C191" s="545">
        <v>15415</v>
      </c>
      <c r="D191" s="209">
        <v>29110</v>
      </c>
      <c r="E191" s="545">
        <v>506</v>
      </c>
      <c r="F191" s="545">
        <v>485</v>
      </c>
      <c r="G191" s="209">
        <v>991</v>
      </c>
      <c r="H191" s="545">
        <v>2747</v>
      </c>
      <c r="I191" s="545">
        <v>4271</v>
      </c>
      <c r="J191" s="209">
        <v>7018</v>
      </c>
      <c r="K191" s="545">
        <v>2249</v>
      </c>
      <c r="L191" s="545">
        <v>2998</v>
      </c>
      <c r="M191" s="209">
        <v>5247</v>
      </c>
    </row>
    <row r="192" spans="1:13">
      <c r="A192" s="570" t="s">
        <v>828</v>
      </c>
      <c r="B192" s="515">
        <v>14926</v>
      </c>
      <c r="C192" s="515">
        <v>14624</v>
      </c>
      <c r="D192" s="515">
        <v>29550</v>
      </c>
      <c r="E192" s="515">
        <v>666</v>
      </c>
      <c r="F192" s="515">
        <v>440</v>
      </c>
      <c r="G192" s="515">
        <v>1106</v>
      </c>
      <c r="H192" s="515">
        <v>2582</v>
      </c>
      <c r="I192" s="515">
        <v>3785</v>
      </c>
      <c r="J192" s="515">
        <v>6367</v>
      </c>
      <c r="K192" s="515">
        <v>2646</v>
      </c>
      <c r="L192" s="515">
        <v>2878</v>
      </c>
      <c r="M192" s="515">
        <v>5524</v>
      </c>
    </row>
    <row r="193" spans="1:13" ht="15">
      <c r="A193" s="537" t="s">
        <v>44</v>
      </c>
      <c r="B193" s="564"/>
      <c r="C193" s="512"/>
      <c r="D193" s="512"/>
      <c r="E193" s="512"/>
      <c r="F193" s="512"/>
      <c r="G193" s="513"/>
      <c r="H193" s="564"/>
      <c r="I193" s="512"/>
      <c r="J193" s="512"/>
      <c r="K193" s="512"/>
      <c r="L193" s="512"/>
      <c r="M193" s="512"/>
    </row>
    <row r="194" spans="1:13">
      <c r="A194" s="541" t="s">
        <v>832</v>
      </c>
      <c r="B194" s="571">
        <v>1778186</v>
      </c>
      <c r="C194" s="571">
        <v>1742125</v>
      </c>
      <c r="D194" s="571">
        <v>3520311</v>
      </c>
      <c r="E194" s="571">
        <v>298278</v>
      </c>
      <c r="F194" s="571">
        <v>315606</v>
      </c>
      <c r="G194" s="571">
        <v>613884</v>
      </c>
      <c r="H194" s="571">
        <v>17240</v>
      </c>
      <c r="I194" s="571">
        <v>15526</v>
      </c>
      <c r="J194" s="571">
        <v>32766</v>
      </c>
      <c r="K194" s="571">
        <v>1074844</v>
      </c>
      <c r="L194" s="571">
        <v>1070143</v>
      </c>
      <c r="M194" s="571">
        <v>2144987</v>
      </c>
    </row>
    <row r="195" spans="1:13">
      <c r="A195" s="541" t="s">
        <v>831</v>
      </c>
      <c r="B195" s="515">
        <v>1736870</v>
      </c>
      <c r="C195" s="515">
        <v>1677326</v>
      </c>
      <c r="D195" s="515">
        <v>3414196</v>
      </c>
      <c r="E195" s="515">
        <v>313465</v>
      </c>
      <c r="F195" s="515">
        <v>321401</v>
      </c>
      <c r="G195" s="515">
        <v>634866</v>
      </c>
      <c r="H195" s="515">
        <v>16785</v>
      </c>
      <c r="I195" s="515">
        <v>13223</v>
      </c>
      <c r="J195" s="515">
        <v>30008</v>
      </c>
      <c r="K195" s="515">
        <v>1055823</v>
      </c>
      <c r="L195" s="515">
        <v>1065035</v>
      </c>
      <c r="M195" s="515">
        <v>2120858</v>
      </c>
    </row>
    <row r="196" spans="1:13">
      <c r="A196" s="541" t="s">
        <v>830</v>
      </c>
      <c r="B196" s="573">
        <v>1739314.9305518656</v>
      </c>
      <c r="C196" s="573">
        <v>1701630.0150544094</v>
      </c>
      <c r="D196" s="573">
        <v>3440944.945606275</v>
      </c>
      <c r="E196" s="572">
        <v>320758</v>
      </c>
      <c r="F196" s="572">
        <v>333042</v>
      </c>
      <c r="G196" s="572">
        <v>653800</v>
      </c>
      <c r="H196" s="572">
        <v>17983</v>
      </c>
      <c r="I196" s="572">
        <v>14685</v>
      </c>
      <c r="J196" s="572">
        <v>32668</v>
      </c>
      <c r="K196" s="572">
        <v>1028743</v>
      </c>
      <c r="L196" s="572">
        <v>1047790</v>
      </c>
      <c r="M196" s="572">
        <v>2076533</v>
      </c>
    </row>
    <row r="197" spans="1:13">
      <c r="A197" s="570" t="s">
        <v>829</v>
      </c>
      <c r="B197" s="545">
        <v>1735536</v>
      </c>
      <c r="C197" s="545">
        <v>1635815</v>
      </c>
      <c r="D197" s="209">
        <v>3371351</v>
      </c>
      <c r="E197" s="545">
        <v>300930</v>
      </c>
      <c r="F197" s="545">
        <v>302856</v>
      </c>
      <c r="G197" s="209">
        <v>603786</v>
      </c>
      <c r="H197" s="545">
        <v>17870</v>
      </c>
      <c r="I197" s="545">
        <v>11607</v>
      </c>
      <c r="J197" s="209">
        <v>29477</v>
      </c>
      <c r="K197" s="545">
        <v>971613</v>
      </c>
      <c r="L197" s="545">
        <v>968220</v>
      </c>
      <c r="M197" s="209">
        <v>1939833</v>
      </c>
    </row>
    <row r="198" spans="1:13">
      <c r="A198" s="570" t="s">
        <v>828</v>
      </c>
      <c r="B198" s="515">
        <v>1690425</v>
      </c>
      <c r="C198" s="515">
        <v>1544929</v>
      </c>
      <c r="D198" s="515">
        <v>3235354</v>
      </c>
      <c r="E198" s="515">
        <v>274323</v>
      </c>
      <c r="F198" s="515">
        <v>277354</v>
      </c>
      <c r="G198" s="515">
        <v>551677</v>
      </c>
      <c r="H198" s="515">
        <v>14789</v>
      </c>
      <c r="I198" s="515">
        <v>11667</v>
      </c>
      <c r="J198" s="515">
        <v>26456</v>
      </c>
      <c r="K198" s="515">
        <v>937148</v>
      </c>
      <c r="L198" s="515">
        <v>897210</v>
      </c>
      <c r="M198" s="515">
        <v>1834358</v>
      </c>
    </row>
    <row r="199" spans="1:13" ht="15">
      <c r="A199" s="537" t="s">
        <v>134</v>
      </c>
      <c r="B199" s="564"/>
      <c r="C199" s="512"/>
      <c r="D199" s="512"/>
      <c r="E199" s="512"/>
      <c r="F199" s="512"/>
      <c r="G199" s="513"/>
      <c r="H199" s="564"/>
      <c r="I199" s="512"/>
      <c r="J199" s="512"/>
      <c r="K199" s="512"/>
      <c r="L199" s="512"/>
      <c r="M199" s="512"/>
    </row>
    <row r="200" spans="1:13">
      <c r="A200" s="541" t="s">
        <v>832</v>
      </c>
      <c r="B200" s="571">
        <v>672768</v>
      </c>
      <c r="C200" s="571">
        <v>716840</v>
      </c>
      <c r="D200" s="571">
        <v>1389608</v>
      </c>
      <c r="E200" s="571">
        <v>93804</v>
      </c>
      <c r="F200" s="571">
        <v>115713</v>
      </c>
      <c r="G200" s="571">
        <v>209517</v>
      </c>
      <c r="H200" s="571">
        <v>55494</v>
      </c>
      <c r="I200" s="571">
        <v>53143</v>
      </c>
      <c r="J200" s="571">
        <v>108637</v>
      </c>
      <c r="K200" s="571">
        <v>301585</v>
      </c>
      <c r="L200" s="571">
        <v>325657</v>
      </c>
      <c r="M200" s="571">
        <v>627242</v>
      </c>
    </row>
    <row r="201" spans="1:13">
      <c r="A201" s="541" t="s">
        <v>831</v>
      </c>
      <c r="B201" s="515">
        <v>701229</v>
      </c>
      <c r="C201" s="515">
        <v>725232</v>
      </c>
      <c r="D201" s="515">
        <v>1426461</v>
      </c>
      <c r="E201" s="515">
        <v>98325</v>
      </c>
      <c r="F201" s="515">
        <v>117289</v>
      </c>
      <c r="G201" s="515">
        <v>215614</v>
      </c>
      <c r="H201" s="515">
        <v>57323</v>
      </c>
      <c r="I201" s="515">
        <v>52326</v>
      </c>
      <c r="J201" s="515">
        <v>109649</v>
      </c>
      <c r="K201" s="515">
        <v>315118</v>
      </c>
      <c r="L201" s="515">
        <v>325599</v>
      </c>
      <c r="M201" s="515">
        <v>640717</v>
      </c>
    </row>
    <row r="202" spans="1:13">
      <c r="A202" s="541" t="s">
        <v>830</v>
      </c>
      <c r="B202" s="573">
        <v>735332.64192842308</v>
      </c>
      <c r="C202" s="573">
        <v>683974.35791417153</v>
      </c>
      <c r="D202" s="572">
        <v>1419306.9998425946</v>
      </c>
      <c r="E202" s="572">
        <v>98460</v>
      </c>
      <c r="F202" s="572">
        <v>105291</v>
      </c>
      <c r="G202" s="572">
        <v>203751</v>
      </c>
      <c r="H202" s="572">
        <v>57272</v>
      </c>
      <c r="I202" s="572">
        <v>48788</v>
      </c>
      <c r="J202" s="572">
        <v>106060</v>
      </c>
      <c r="K202" s="572">
        <v>303989</v>
      </c>
      <c r="L202" s="572">
        <v>292255</v>
      </c>
      <c r="M202" s="572">
        <v>596244</v>
      </c>
    </row>
    <row r="203" spans="1:13">
      <c r="A203" s="570" t="s">
        <v>829</v>
      </c>
      <c r="B203" s="545">
        <v>761253</v>
      </c>
      <c r="C203" s="545">
        <v>677484</v>
      </c>
      <c r="D203" s="209">
        <v>1438737</v>
      </c>
      <c r="E203" s="545">
        <v>113639</v>
      </c>
      <c r="F203" s="545">
        <v>108816</v>
      </c>
      <c r="G203" s="209">
        <v>222455</v>
      </c>
      <c r="H203" s="545">
        <v>66739</v>
      </c>
      <c r="I203" s="545">
        <v>52284</v>
      </c>
      <c r="J203" s="209">
        <v>119023</v>
      </c>
      <c r="K203" s="545">
        <v>344121</v>
      </c>
      <c r="L203" s="545">
        <v>298693</v>
      </c>
      <c r="M203" s="209">
        <v>642814</v>
      </c>
    </row>
    <row r="204" spans="1:13">
      <c r="A204" s="570" t="s">
        <v>828</v>
      </c>
      <c r="B204" s="515">
        <v>795790</v>
      </c>
      <c r="C204" s="515">
        <v>678445</v>
      </c>
      <c r="D204" s="515">
        <v>1474235</v>
      </c>
      <c r="E204" s="515">
        <v>125580</v>
      </c>
      <c r="F204" s="515">
        <v>112655</v>
      </c>
      <c r="G204" s="515">
        <v>238235</v>
      </c>
      <c r="H204" s="515">
        <v>71184</v>
      </c>
      <c r="I204" s="515">
        <v>53411</v>
      </c>
      <c r="J204" s="515">
        <v>124595</v>
      </c>
      <c r="K204" s="515">
        <v>355291</v>
      </c>
      <c r="L204" s="515">
        <v>301130</v>
      </c>
      <c r="M204" s="515">
        <v>656421</v>
      </c>
    </row>
    <row r="205" spans="1:13" ht="15">
      <c r="A205" s="537" t="s">
        <v>45</v>
      </c>
      <c r="B205" s="564"/>
      <c r="C205" s="512"/>
      <c r="D205" s="512"/>
      <c r="E205" s="512"/>
      <c r="F205" s="512"/>
      <c r="G205" s="513"/>
      <c r="H205" s="564"/>
      <c r="I205" s="512"/>
      <c r="J205" s="512"/>
      <c r="K205" s="512"/>
      <c r="L205" s="512"/>
      <c r="M205" s="512"/>
    </row>
    <row r="206" spans="1:13">
      <c r="A206" s="541" t="s">
        <v>832</v>
      </c>
      <c r="B206" s="571">
        <v>47031</v>
      </c>
      <c r="C206" s="571">
        <v>39216</v>
      </c>
      <c r="D206" s="571">
        <v>86247</v>
      </c>
      <c r="E206" s="571">
        <v>8074</v>
      </c>
      <c r="F206" s="571">
        <v>6042</v>
      </c>
      <c r="G206" s="571">
        <v>14116</v>
      </c>
      <c r="H206" s="571">
        <v>10290</v>
      </c>
      <c r="I206" s="571">
        <v>7996</v>
      </c>
      <c r="J206" s="571">
        <v>18286</v>
      </c>
      <c r="K206" s="571">
        <v>8592</v>
      </c>
      <c r="L206" s="571">
        <v>6700</v>
      </c>
      <c r="M206" s="571">
        <v>15292</v>
      </c>
    </row>
    <row r="207" spans="1:13">
      <c r="A207" s="541" t="s">
        <v>831</v>
      </c>
      <c r="B207" s="515">
        <v>44456</v>
      </c>
      <c r="C207" s="515">
        <v>38247</v>
      </c>
      <c r="D207" s="515">
        <v>82703</v>
      </c>
      <c r="E207" s="515">
        <v>7857</v>
      </c>
      <c r="F207" s="515">
        <v>6325</v>
      </c>
      <c r="G207" s="515">
        <v>14182</v>
      </c>
      <c r="H207" s="515">
        <v>10469</v>
      </c>
      <c r="I207" s="515">
        <v>9157</v>
      </c>
      <c r="J207" s="515">
        <v>19626</v>
      </c>
      <c r="K207" s="515">
        <v>8158</v>
      </c>
      <c r="L207" s="515">
        <v>6228</v>
      </c>
      <c r="M207" s="515">
        <v>14386</v>
      </c>
    </row>
    <row r="208" spans="1:13">
      <c r="A208" s="541" t="s">
        <v>830</v>
      </c>
      <c r="B208" s="573">
        <v>50246.622023635464</v>
      </c>
      <c r="C208" s="573">
        <v>41434.769670053822</v>
      </c>
      <c r="D208" s="573">
        <v>91681.391693689278</v>
      </c>
      <c r="E208" s="572">
        <v>8319</v>
      </c>
      <c r="F208" s="572">
        <v>6627</v>
      </c>
      <c r="G208" s="572">
        <v>14946</v>
      </c>
      <c r="H208" s="572">
        <v>10813</v>
      </c>
      <c r="I208" s="572">
        <v>8741</v>
      </c>
      <c r="J208" s="572">
        <v>19554</v>
      </c>
      <c r="K208" s="572">
        <v>8375</v>
      </c>
      <c r="L208" s="572">
        <v>6190</v>
      </c>
      <c r="M208" s="572">
        <v>14565</v>
      </c>
    </row>
    <row r="209" spans="1:13">
      <c r="A209" s="570" t="s">
        <v>829</v>
      </c>
      <c r="B209" s="545">
        <v>45848</v>
      </c>
      <c r="C209" s="545">
        <v>37396</v>
      </c>
      <c r="D209" s="209">
        <v>83244</v>
      </c>
      <c r="E209" s="545">
        <v>8492</v>
      </c>
      <c r="F209" s="545">
        <v>6301</v>
      </c>
      <c r="G209" s="209">
        <v>14793</v>
      </c>
      <c r="H209" s="545">
        <v>10136</v>
      </c>
      <c r="I209" s="545">
        <v>9246</v>
      </c>
      <c r="J209" s="209">
        <v>19382</v>
      </c>
      <c r="K209" s="545">
        <v>7912</v>
      </c>
      <c r="L209" s="545">
        <v>6203</v>
      </c>
      <c r="M209" s="209">
        <v>14115</v>
      </c>
    </row>
    <row r="210" spans="1:13">
      <c r="A210" s="570" t="s">
        <v>828</v>
      </c>
      <c r="B210" s="515">
        <v>42743</v>
      </c>
      <c r="C210" s="515">
        <v>31292</v>
      </c>
      <c r="D210" s="515">
        <v>74035</v>
      </c>
      <c r="E210" s="515">
        <v>7503</v>
      </c>
      <c r="F210" s="515">
        <v>4682</v>
      </c>
      <c r="G210" s="515">
        <v>12185</v>
      </c>
      <c r="H210" s="515">
        <v>8650</v>
      </c>
      <c r="I210" s="515">
        <v>6870</v>
      </c>
      <c r="J210" s="515">
        <v>15520</v>
      </c>
      <c r="K210" s="515">
        <v>7485</v>
      </c>
      <c r="L210" s="515">
        <v>4570</v>
      </c>
      <c r="M210" s="515">
        <v>12055</v>
      </c>
    </row>
    <row r="211" spans="1:13" ht="15">
      <c r="A211" s="537" t="s">
        <v>47</v>
      </c>
      <c r="B211" s="564"/>
      <c r="C211" s="512"/>
      <c r="D211" s="512"/>
      <c r="E211" s="512"/>
      <c r="F211" s="512"/>
      <c r="G211" s="513"/>
      <c r="H211" s="564"/>
      <c r="I211" s="512"/>
      <c r="J211" s="512"/>
      <c r="K211" s="512"/>
      <c r="L211" s="512"/>
      <c r="M211" s="512"/>
    </row>
    <row r="212" spans="1:13">
      <c r="A212" s="541" t="s">
        <v>832</v>
      </c>
      <c r="B212" s="571">
        <v>3136650</v>
      </c>
      <c r="C212" s="571">
        <v>3251564</v>
      </c>
      <c r="D212" s="571">
        <v>6388214</v>
      </c>
      <c r="E212" s="571">
        <v>574191</v>
      </c>
      <c r="F212" s="571">
        <v>604607</v>
      </c>
      <c r="G212" s="571">
        <v>1178798</v>
      </c>
      <c r="H212" s="571">
        <v>24177</v>
      </c>
      <c r="I212" s="571">
        <v>25358</v>
      </c>
      <c r="J212" s="571">
        <v>49535</v>
      </c>
      <c r="K212" s="571">
        <v>1235540</v>
      </c>
      <c r="L212" s="571">
        <v>1353980</v>
      </c>
      <c r="M212" s="571">
        <v>2589520</v>
      </c>
    </row>
    <row r="213" spans="1:13">
      <c r="A213" s="541" t="s">
        <v>831</v>
      </c>
      <c r="B213" s="515">
        <v>3189520</v>
      </c>
      <c r="C213" s="515">
        <v>3279847</v>
      </c>
      <c r="D213" s="515">
        <v>6469367</v>
      </c>
      <c r="E213" s="515">
        <v>588721</v>
      </c>
      <c r="F213" s="515">
        <v>620749</v>
      </c>
      <c r="G213" s="515">
        <v>1209470</v>
      </c>
      <c r="H213" s="515">
        <v>27600</v>
      </c>
      <c r="I213" s="515">
        <v>27093</v>
      </c>
      <c r="J213" s="515">
        <v>54693</v>
      </c>
      <c r="K213" s="515">
        <v>1218268</v>
      </c>
      <c r="L213" s="515">
        <v>1343327</v>
      </c>
      <c r="M213" s="515">
        <v>2561595</v>
      </c>
    </row>
    <row r="214" spans="1:13">
      <c r="A214" s="541" t="s">
        <v>830</v>
      </c>
      <c r="B214" s="573">
        <v>3308314.4568722048</v>
      </c>
      <c r="C214" s="573">
        <v>3147060.9357756707</v>
      </c>
      <c r="D214" s="573">
        <v>6455375.3926478755</v>
      </c>
      <c r="E214" s="572">
        <v>564918</v>
      </c>
      <c r="F214" s="572">
        <v>521644</v>
      </c>
      <c r="G214" s="572">
        <v>1086562</v>
      </c>
      <c r="H214" s="572">
        <v>24251</v>
      </c>
      <c r="I214" s="572">
        <v>21085</v>
      </c>
      <c r="J214" s="572">
        <v>45336</v>
      </c>
      <c r="K214" s="572">
        <v>1206321</v>
      </c>
      <c r="L214" s="572">
        <v>1158172</v>
      </c>
      <c r="M214" s="572">
        <v>2364493</v>
      </c>
    </row>
    <row r="215" spans="1:13">
      <c r="A215" s="570" t="s">
        <v>829</v>
      </c>
      <c r="B215" s="545">
        <v>3220457</v>
      </c>
      <c r="C215" s="545">
        <v>2937514</v>
      </c>
      <c r="D215" s="209">
        <v>6157971</v>
      </c>
      <c r="E215" s="545">
        <v>556471</v>
      </c>
      <c r="F215" s="545">
        <v>488689</v>
      </c>
      <c r="G215" s="209">
        <v>1045160</v>
      </c>
      <c r="H215" s="545">
        <v>23985</v>
      </c>
      <c r="I215" s="545">
        <v>18069</v>
      </c>
      <c r="J215" s="209">
        <v>42054</v>
      </c>
      <c r="K215" s="545">
        <v>1186310</v>
      </c>
      <c r="L215" s="545">
        <v>1101681</v>
      </c>
      <c r="M215" s="209">
        <v>2287991</v>
      </c>
    </row>
    <row r="216" spans="1:13">
      <c r="A216" s="570" t="s">
        <v>828</v>
      </c>
      <c r="B216" s="515">
        <v>3149002</v>
      </c>
      <c r="C216" s="515">
        <v>2854074</v>
      </c>
      <c r="D216" s="515">
        <v>6003076</v>
      </c>
      <c r="E216" s="515">
        <v>538426</v>
      </c>
      <c r="F216" s="515">
        <v>469129</v>
      </c>
      <c r="G216" s="515">
        <v>1007555</v>
      </c>
      <c r="H216" s="515">
        <v>21116</v>
      </c>
      <c r="I216" s="515">
        <v>17225</v>
      </c>
      <c r="J216" s="515">
        <v>38341</v>
      </c>
      <c r="K216" s="515">
        <v>1135612</v>
      </c>
      <c r="L216" s="515">
        <v>1068729</v>
      </c>
      <c r="M216" s="515">
        <v>2204341</v>
      </c>
    </row>
    <row r="217" spans="1:13" ht="15">
      <c r="A217" s="537" t="s">
        <v>46</v>
      </c>
      <c r="B217" s="564"/>
      <c r="C217" s="512"/>
      <c r="D217" s="512"/>
      <c r="E217" s="512"/>
      <c r="F217" s="512"/>
      <c r="G217" s="513"/>
      <c r="H217" s="564"/>
      <c r="I217" s="512"/>
      <c r="J217" s="512"/>
      <c r="K217" s="512"/>
      <c r="L217" s="512"/>
      <c r="M217" s="512"/>
    </row>
    <row r="218" spans="1:13">
      <c r="A218" s="541" t="s">
        <v>832</v>
      </c>
      <c r="B218" s="571">
        <v>248893</v>
      </c>
      <c r="C218" s="571">
        <v>244386</v>
      </c>
      <c r="D218" s="571">
        <v>493279</v>
      </c>
      <c r="E218" s="571">
        <v>34825</v>
      </c>
      <c r="F218" s="571">
        <v>35946</v>
      </c>
      <c r="G218" s="571">
        <v>70771</v>
      </c>
      <c r="H218" s="571">
        <v>8678</v>
      </c>
      <c r="I218" s="571">
        <v>8758</v>
      </c>
      <c r="J218" s="571">
        <v>17436</v>
      </c>
      <c r="K218" s="571">
        <v>45352</v>
      </c>
      <c r="L218" s="571">
        <v>39825</v>
      </c>
      <c r="M218" s="571">
        <v>85177</v>
      </c>
    </row>
    <row r="219" spans="1:13">
      <c r="A219" s="541" t="s">
        <v>831</v>
      </c>
      <c r="B219" s="515">
        <v>241083</v>
      </c>
      <c r="C219" s="515">
        <v>227172</v>
      </c>
      <c r="D219" s="515">
        <v>468255</v>
      </c>
      <c r="E219" s="515">
        <v>34145</v>
      </c>
      <c r="F219" s="515">
        <v>33699</v>
      </c>
      <c r="G219" s="515">
        <v>67844</v>
      </c>
      <c r="H219" s="515">
        <v>8957</v>
      </c>
      <c r="I219" s="515">
        <v>9168</v>
      </c>
      <c r="J219" s="515">
        <v>18125</v>
      </c>
      <c r="K219" s="515">
        <v>44665</v>
      </c>
      <c r="L219" s="515">
        <v>37465</v>
      </c>
      <c r="M219" s="515">
        <v>82130</v>
      </c>
    </row>
    <row r="220" spans="1:13">
      <c r="A220" s="541" t="s">
        <v>830</v>
      </c>
      <c r="B220" s="573">
        <v>224607.8734250805</v>
      </c>
      <c r="C220" s="573">
        <v>212542.52165228475</v>
      </c>
      <c r="D220" s="573">
        <v>437150.39507736522</v>
      </c>
      <c r="E220" s="572">
        <v>30944</v>
      </c>
      <c r="F220" s="572">
        <v>29558</v>
      </c>
      <c r="G220" s="572">
        <v>60502</v>
      </c>
      <c r="H220" s="572">
        <v>8008</v>
      </c>
      <c r="I220" s="572">
        <v>8139</v>
      </c>
      <c r="J220" s="572">
        <v>16147</v>
      </c>
      <c r="K220" s="572">
        <v>41279</v>
      </c>
      <c r="L220" s="572">
        <v>34375</v>
      </c>
      <c r="M220" s="572">
        <v>75654</v>
      </c>
    </row>
    <row r="221" spans="1:13">
      <c r="A221" s="570" t="s">
        <v>829</v>
      </c>
      <c r="B221" s="545">
        <v>210094</v>
      </c>
      <c r="C221" s="545">
        <v>194592</v>
      </c>
      <c r="D221" s="209">
        <v>404686</v>
      </c>
      <c r="E221" s="545">
        <v>28421</v>
      </c>
      <c r="F221" s="545">
        <v>26407</v>
      </c>
      <c r="G221" s="209">
        <v>54828</v>
      </c>
      <c r="H221" s="545">
        <v>7628</v>
      </c>
      <c r="I221" s="545">
        <v>7788</v>
      </c>
      <c r="J221" s="209">
        <v>15416</v>
      </c>
      <c r="K221" s="545">
        <v>32872</v>
      </c>
      <c r="L221" s="545">
        <v>27679</v>
      </c>
      <c r="M221" s="209">
        <v>60551</v>
      </c>
    </row>
    <row r="222" spans="1:13">
      <c r="A222" s="570" t="s">
        <v>828</v>
      </c>
      <c r="B222" s="515">
        <v>209965</v>
      </c>
      <c r="C222" s="515">
        <v>195421</v>
      </c>
      <c r="D222" s="515">
        <v>405386</v>
      </c>
      <c r="E222" s="515">
        <v>28147</v>
      </c>
      <c r="F222" s="515">
        <v>25980</v>
      </c>
      <c r="G222" s="515">
        <v>54127</v>
      </c>
      <c r="H222" s="515">
        <v>7753</v>
      </c>
      <c r="I222" s="515">
        <v>7142</v>
      </c>
      <c r="J222" s="515">
        <v>14895</v>
      </c>
      <c r="K222" s="515">
        <v>32676</v>
      </c>
      <c r="L222" s="515">
        <v>28970</v>
      </c>
      <c r="M222" s="515">
        <v>61646</v>
      </c>
    </row>
    <row r="223" spans="1:13" ht="15">
      <c r="A223" s="537" t="s">
        <v>48</v>
      </c>
      <c r="B223" s="564"/>
      <c r="C223" s="512"/>
      <c r="D223" s="512"/>
      <c r="E223" s="512"/>
      <c r="F223" s="512"/>
      <c r="G223" s="513"/>
      <c r="H223" s="564"/>
      <c r="I223" s="512"/>
      <c r="J223" s="512"/>
      <c r="K223" s="512"/>
      <c r="L223" s="512"/>
      <c r="M223" s="512"/>
    </row>
    <row r="224" spans="1:13">
      <c r="A224" s="541" t="s">
        <v>832</v>
      </c>
      <c r="B224" s="571">
        <v>1069629</v>
      </c>
      <c r="C224" s="571">
        <v>1091264</v>
      </c>
      <c r="D224" s="571">
        <v>2160893</v>
      </c>
      <c r="E224" s="571">
        <v>198506</v>
      </c>
      <c r="F224" s="571">
        <v>198374</v>
      </c>
      <c r="G224" s="571">
        <v>396880</v>
      </c>
      <c r="H224" s="571">
        <v>35684</v>
      </c>
      <c r="I224" s="571">
        <v>36549</v>
      </c>
      <c r="J224" s="571">
        <v>72233</v>
      </c>
      <c r="K224" s="571">
        <v>169795</v>
      </c>
      <c r="L224" s="571">
        <v>168978</v>
      </c>
      <c r="M224" s="571">
        <v>338773</v>
      </c>
    </row>
    <row r="225" spans="1:13">
      <c r="A225" s="541" t="s">
        <v>831</v>
      </c>
      <c r="B225" s="515">
        <v>1056511</v>
      </c>
      <c r="C225" s="515">
        <v>1040899</v>
      </c>
      <c r="D225" s="515">
        <v>2097410</v>
      </c>
      <c r="E225" s="515">
        <v>191847</v>
      </c>
      <c r="F225" s="515">
        <v>183008</v>
      </c>
      <c r="G225" s="515">
        <v>374855</v>
      </c>
      <c r="H225" s="515">
        <v>34002</v>
      </c>
      <c r="I225" s="515">
        <v>33168</v>
      </c>
      <c r="J225" s="515">
        <v>67170</v>
      </c>
      <c r="K225" s="515">
        <v>164367</v>
      </c>
      <c r="L225" s="515">
        <v>152598</v>
      </c>
      <c r="M225" s="515">
        <v>316965</v>
      </c>
    </row>
    <row r="226" spans="1:13">
      <c r="A226" s="541" t="s">
        <v>830</v>
      </c>
      <c r="B226" s="572">
        <v>1061520</v>
      </c>
      <c r="C226" s="572">
        <v>974461</v>
      </c>
      <c r="D226" s="572">
        <v>2035981</v>
      </c>
      <c r="E226" s="572">
        <v>194424</v>
      </c>
      <c r="F226" s="572">
        <v>172389</v>
      </c>
      <c r="G226" s="572">
        <v>366813</v>
      </c>
      <c r="H226" s="572">
        <v>34232</v>
      </c>
      <c r="I226" s="572">
        <v>30728</v>
      </c>
      <c r="J226" s="572">
        <v>64960</v>
      </c>
      <c r="K226" s="572">
        <v>161568</v>
      </c>
      <c r="L226" s="572">
        <v>138892</v>
      </c>
      <c r="M226" s="572">
        <v>300460</v>
      </c>
    </row>
    <row r="227" spans="1:13">
      <c r="A227" s="570" t="s">
        <v>829</v>
      </c>
      <c r="B227" s="545">
        <v>1063188</v>
      </c>
      <c r="C227" s="545">
        <v>952808</v>
      </c>
      <c r="D227" s="209">
        <v>2015996</v>
      </c>
      <c r="E227" s="545">
        <v>196552</v>
      </c>
      <c r="F227" s="545">
        <v>163423</v>
      </c>
      <c r="G227" s="209">
        <v>359975</v>
      </c>
      <c r="H227" s="545">
        <v>36158</v>
      </c>
      <c r="I227" s="545">
        <v>30609</v>
      </c>
      <c r="J227" s="209">
        <v>66767</v>
      </c>
      <c r="K227" s="545">
        <v>141174</v>
      </c>
      <c r="L227" s="545">
        <v>114980</v>
      </c>
      <c r="M227" s="209">
        <v>256154</v>
      </c>
    </row>
    <row r="228" spans="1:13">
      <c r="A228" s="570" t="s">
        <v>828</v>
      </c>
      <c r="B228" s="515">
        <v>1034114</v>
      </c>
      <c r="C228" s="515">
        <v>892386</v>
      </c>
      <c r="D228" s="515">
        <v>1926500</v>
      </c>
      <c r="E228" s="515">
        <v>189672</v>
      </c>
      <c r="F228" s="515">
        <v>152953</v>
      </c>
      <c r="G228" s="515">
        <v>342625</v>
      </c>
      <c r="H228" s="515">
        <v>33674</v>
      </c>
      <c r="I228" s="515">
        <v>28729</v>
      </c>
      <c r="J228" s="515">
        <v>62403</v>
      </c>
      <c r="K228" s="515">
        <v>118564</v>
      </c>
      <c r="L228" s="515">
        <v>95035</v>
      </c>
      <c r="M228" s="515">
        <v>213599</v>
      </c>
    </row>
  </sheetData>
  <mergeCells count="5">
    <mergeCell ref="A2:A3"/>
    <mergeCell ref="B2:D2"/>
    <mergeCell ref="E2:G2"/>
    <mergeCell ref="H2:J2"/>
    <mergeCell ref="K2:M2"/>
  </mergeCells>
  <printOptions horizontalCentered="1"/>
  <pageMargins left="0.39370078740157483" right="0.39370078740157483" top="0.31496062992125984" bottom="0.31496062992125984" header="0.27559055118110237" footer="0.15748031496062992"/>
  <pageSetup paperSize="9" scale="68" firstPageNumber="2" pageOrder="overThenDown" orientation="portrait" useFirstPageNumber="1" r:id="rId1"/>
  <headerFooter alignWithMargins="0">
    <oddFooter>&amp;L     AISHE 2019-20&amp;CT-45</oddFooter>
  </headerFooter>
  <rowBreaks count="2" manualBreakCount="2">
    <brk id="76" max="12" man="1"/>
    <brk id="150" max="12" man="1"/>
  </rowBreaks>
  <colBreaks count="1" manualBreakCount="1">
    <brk id="7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7030A0"/>
  </sheetPr>
  <dimension ref="A1:J228"/>
  <sheetViews>
    <sheetView view="pageBreakPreview" zoomScaleSheetLayoutView="100" workbookViewId="0">
      <pane xSplit="1" ySplit="3" topLeftCell="B208" activePane="bottomRight" state="frozen"/>
      <selection activeCell="A20" sqref="A20"/>
      <selection pane="topRight" activeCell="A20" sqref="A20"/>
      <selection pane="bottomLeft" activeCell="A20" sqref="A20"/>
      <selection pane="bottomRight" activeCell="A20" sqref="A20"/>
    </sheetView>
  </sheetViews>
  <sheetFormatPr defaultColWidth="9.140625" defaultRowHeight="14.25"/>
  <cols>
    <col min="1" max="1" width="36.42578125" style="497" bestFit="1" customWidth="1"/>
    <col min="2" max="10" width="11.28515625" style="497" customWidth="1"/>
    <col min="11" max="22" width="9.85546875" style="497" customWidth="1"/>
    <col min="23" max="24" width="9" style="497" customWidth="1"/>
    <col min="25" max="25" width="21.7109375" style="497" customWidth="1"/>
    <col min="26" max="26" width="18.28515625" style="497" customWidth="1"/>
    <col min="27" max="27" width="8" style="497" customWidth="1"/>
    <col min="28" max="28" width="9" style="497" customWidth="1"/>
    <col min="29" max="29" width="21.140625" style="497" customWidth="1"/>
    <col min="30" max="30" width="10.7109375" style="497" customWidth="1"/>
    <col min="31" max="31" width="11.7109375" style="497" customWidth="1"/>
    <col min="32" max="32" width="11" style="497" customWidth="1"/>
    <col min="33" max="16384" width="9.140625" style="497"/>
  </cols>
  <sheetData>
    <row r="1" spans="1:10" ht="28.5" customHeight="1">
      <c r="A1" s="528" t="s">
        <v>842</v>
      </c>
      <c r="B1" s="506" t="s">
        <v>880</v>
      </c>
      <c r="C1" s="575"/>
      <c r="D1" s="575"/>
      <c r="E1" s="575"/>
      <c r="F1" s="575"/>
      <c r="G1" s="575"/>
      <c r="H1" s="575"/>
      <c r="I1" s="576"/>
      <c r="J1" s="576"/>
    </row>
    <row r="2" spans="1:10" ht="17.25" customHeight="1">
      <c r="A2" s="990" t="s">
        <v>713</v>
      </c>
      <c r="B2" s="986" t="s">
        <v>108</v>
      </c>
      <c r="C2" s="987"/>
      <c r="D2" s="992"/>
      <c r="E2" s="986" t="s">
        <v>109</v>
      </c>
      <c r="F2" s="987"/>
      <c r="G2" s="992"/>
      <c r="H2" s="986" t="s">
        <v>107</v>
      </c>
      <c r="I2" s="987"/>
      <c r="J2" s="992"/>
    </row>
    <row r="3" spans="1:10" ht="17.25" customHeight="1">
      <c r="A3" s="991"/>
      <c r="B3" s="533" t="s">
        <v>87</v>
      </c>
      <c r="C3" s="533" t="s">
        <v>88</v>
      </c>
      <c r="D3" s="533" t="s">
        <v>714</v>
      </c>
      <c r="E3" s="533" t="s">
        <v>87</v>
      </c>
      <c r="F3" s="533" t="s">
        <v>88</v>
      </c>
      <c r="G3" s="533" t="s">
        <v>714</v>
      </c>
      <c r="H3" s="533" t="s">
        <v>87</v>
      </c>
      <c r="I3" s="533" t="s">
        <v>88</v>
      </c>
      <c r="J3" s="533" t="s">
        <v>714</v>
      </c>
    </row>
    <row r="4" spans="1:10">
      <c r="A4" s="577">
        <v>1</v>
      </c>
      <c r="B4" s="578">
        <v>2</v>
      </c>
      <c r="C4" s="578">
        <v>3</v>
      </c>
      <c r="D4" s="577">
        <v>4</v>
      </c>
      <c r="E4" s="578">
        <v>5</v>
      </c>
      <c r="F4" s="578">
        <v>6</v>
      </c>
      <c r="G4" s="577">
        <v>7</v>
      </c>
      <c r="H4" s="578">
        <v>8</v>
      </c>
      <c r="I4" s="578">
        <v>9</v>
      </c>
      <c r="J4" s="577">
        <v>10</v>
      </c>
    </row>
    <row r="5" spans="1:10" ht="15">
      <c r="A5" s="579" t="s">
        <v>833</v>
      </c>
      <c r="B5" s="548"/>
      <c r="C5" s="548"/>
      <c r="D5" s="548"/>
      <c r="E5" s="548"/>
      <c r="F5" s="548"/>
      <c r="G5" s="548"/>
      <c r="H5" s="548"/>
      <c r="I5" s="548"/>
      <c r="J5" s="549"/>
    </row>
    <row r="6" spans="1:10">
      <c r="A6" s="541" t="s">
        <v>832</v>
      </c>
      <c r="B6" s="515">
        <v>1046374</v>
      </c>
      <c r="C6" s="515">
        <v>1054486</v>
      </c>
      <c r="D6" s="515">
        <v>2100860</v>
      </c>
      <c r="E6" s="515">
        <v>404748</v>
      </c>
      <c r="F6" s="515">
        <v>483002</v>
      </c>
      <c r="G6" s="515">
        <v>887750</v>
      </c>
      <c r="H6" s="515">
        <v>47830</v>
      </c>
      <c r="I6" s="515">
        <v>45001</v>
      </c>
      <c r="J6" s="515">
        <v>92831</v>
      </c>
    </row>
    <row r="7" spans="1:10">
      <c r="A7" s="541" t="s">
        <v>831</v>
      </c>
      <c r="B7" s="568">
        <v>993396</v>
      </c>
      <c r="C7" s="568">
        <v>965608</v>
      </c>
      <c r="D7" s="568">
        <v>1959004</v>
      </c>
      <c r="E7" s="568">
        <v>397146</v>
      </c>
      <c r="F7" s="568">
        <v>470954</v>
      </c>
      <c r="G7" s="568">
        <v>868100</v>
      </c>
      <c r="H7" s="515">
        <v>48212</v>
      </c>
      <c r="I7" s="515">
        <v>37665</v>
      </c>
      <c r="J7" s="515">
        <v>85877</v>
      </c>
    </row>
    <row r="8" spans="1:10">
      <c r="A8" s="541" t="s">
        <v>830</v>
      </c>
      <c r="B8" s="568">
        <v>939488</v>
      </c>
      <c r="C8" s="568">
        <v>898121</v>
      </c>
      <c r="D8" s="568">
        <v>1837609</v>
      </c>
      <c r="E8" s="568">
        <v>359110</v>
      </c>
      <c r="F8" s="568">
        <v>448517</v>
      </c>
      <c r="G8" s="568">
        <v>807627</v>
      </c>
      <c r="H8" s="515">
        <v>42630</v>
      </c>
      <c r="I8" s="515">
        <v>31687</v>
      </c>
      <c r="J8" s="515">
        <v>74317</v>
      </c>
    </row>
    <row r="9" spans="1:10">
      <c r="A9" s="541" t="s">
        <v>829</v>
      </c>
      <c r="B9" s="515">
        <v>916388</v>
      </c>
      <c r="C9" s="515">
        <v>822830</v>
      </c>
      <c r="D9" s="515">
        <v>1739218</v>
      </c>
      <c r="E9" s="515">
        <v>362663</v>
      </c>
      <c r="F9" s="515">
        <v>428866</v>
      </c>
      <c r="G9" s="515">
        <v>791529</v>
      </c>
      <c r="H9" s="545">
        <v>40894</v>
      </c>
      <c r="I9" s="545">
        <v>30073</v>
      </c>
      <c r="J9" s="209">
        <v>70967</v>
      </c>
    </row>
    <row r="10" spans="1:10">
      <c r="A10" s="541" t="s">
        <v>828</v>
      </c>
      <c r="B10" s="515">
        <v>858090</v>
      </c>
      <c r="C10" s="515">
        <v>755620</v>
      </c>
      <c r="D10" s="515">
        <v>1613710</v>
      </c>
      <c r="E10" s="515">
        <v>317515</v>
      </c>
      <c r="F10" s="515">
        <v>365446</v>
      </c>
      <c r="G10" s="515">
        <v>682961</v>
      </c>
      <c r="H10" s="515">
        <v>39718</v>
      </c>
      <c r="I10" s="515">
        <v>34717</v>
      </c>
      <c r="J10" s="515">
        <v>74435</v>
      </c>
    </row>
    <row r="11" spans="1:10" ht="15">
      <c r="A11" s="579" t="s">
        <v>154</v>
      </c>
      <c r="B11" s="548"/>
      <c r="C11" s="548"/>
      <c r="D11" s="548"/>
      <c r="E11" s="548"/>
      <c r="F11" s="548"/>
      <c r="G11" s="548"/>
      <c r="H11" s="548"/>
      <c r="I11" s="548"/>
      <c r="J11" s="549"/>
    </row>
    <row r="12" spans="1:10">
      <c r="A12" s="541" t="s">
        <v>832</v>
      </c>
      <c r="B12" s="571">
        <v>166</v>
      </c>
      <c r="C12" s="571">
        <v>304</v>
      </c>
      <c r="D12" s="571">
        <v>470</v>
      </c>
      <c r="E12" s="571">
        <v>293</v>
      </c>
      <c r="F12" s="571">
        <v>645</v>
      </c>
      <c r="G12" s="571">
        <v>938</v>
      </c>
      <c r="H12" s="571">
        <v>18</v>
      </c>
      <c r="I12" s="571">
        <v>44</v>
      </c>
      <c r="J12" s="571">
        <v>62</v>
      </c>
    </row>
    <row r="13" spans="1:10">
      <c r="A13" s="541" t="s">
        <v>831</v>
      </c>
      <c r="B13" s="515">
        <v>263</v>
      </c>
      <c r="C13" s="515">
        <v>376</v>
      </c>
      <c r="D13" s="515">
        <v>639</v>
      </c>
      <c r="E13" s="515">
        <v>339</v>
      </c>
      <c r="F13" s="515">
        <v>670</v>
      </c>
      <c r="G13" s="515">
        <v>1009</v>
      </c>
      <c r="H13" s="515">
        <v>20</v>
      </c>
      <c r="I13" s="515">
        <v>17</v>
      </c>
      <c r="J13" s="515">
        <v>37</v>
      </c>
    </row>
    <row r="14" spans="1:10">
      <c r="A14" s="541" t="s">
        <v>830</v>
      </c>
      <c r="B14" s="572">
        <v>207</v>
      </c>
      <c r="C14" s="572">
        <v>323</v>
      </c>
      <c r="D14" s="573">
        <f>B14+C14</f>
        <v>530</v>
      </c>
      <c r="E14" s="572">
        <v>416</v>
      </c>
      <c r="F14" s="572">
        <v>678</v>
      </c>
      <c r="G14" s="573">
        <f>E14+F14</f>
        <v>1094</v>
      </c>
      <c r="H14" s="572">
        <v>15</v>
      </c>
      <c r="I14" s="572">
        <v>10</v>
      </c>
      <c r="J14" s="573">
        <f>H14+I14</f>
        <v>25</v>
      </c>
    </row>
    <row r="15" spans="1:10">
      <c r="A15" s="541" t="s">
        <v>829</v>
      </c>
      <c r="B15" s="545">
        <v>197</v>
      </c>
      <c r="C15" s="545">
        <v>291</v>
      </c>
      <c r="D15" s="209">
        <v>488</v>
      </c>
      <c r="E15" s="545">
        <v>420</v>
      </c>
      <c r="F15" s="545">
        <v>670</v>
      </c>
      <c r="G15" s="209">
        <v>1090</v>
      </c>
      <c r="H15" s="545">
        <v>14</v>
      </c>
      <c r="I15" s="545">
        <v>6</v>
      </c>
      <c r="J15" s="209">
        <v>20</v>
      </c>
    </row>
    <row r="16" spans="1:10">
      <c r="A16" s="541" t="s">
        <v>828</v>
      </c>
      <c r="B16" s="515">
        <v>202</v>
      </c>
      <c r="C16" s="515">
        <v>290</v>
      </c>
      <c r="D16" s="515">
        <v>492</v>
      </c>
      <c r="E16" s="515">
        <v>404</v>
      </c>
      <c r="F16" s="515">
        <v>581</v>
      </c>
      <c r="G16" s="515">
        <v>985</v>
      </c>
      <c r="H16" s="515">
        <v>13</v>
      </c>
      <c r="I16" s="515">
        <v>7</v>
      </c>
      <c r="J16" s="515">
        <v>20</v>
      </c>
    </row>
    <row r="17" spans="1:10" ht="15">
      <c r="A17" s="579" t="s">
        <v>15</v>
      </c>
      <c r="B17" s="548"/>
      <c r="C17" s="548"/>
      <c r="D17" s="548"/>
      <c r="E17" s="548"/>
      <c r="F17" s="548"/>
      <c r="G17" s="548"/>
      <c r="H17" s="548"/>
      <c r="I17" s="548"/>
      <c r="J17" s="549"/>
    </row>
    <row r="18" spans="1:10">
      <c r="A18" s="541" t="s">
        <v>832</v>
      </c>
      <c r="B18" s="571">
        <v>34050</v>
      </c>
      <c r="C18" s="571">
        <v>27245</v>
      </c>
      <c r="D18" s="571">
        <v>61295</v>
      </c>
      <c r="E18" s="571">
        <v>3884</v>
      </c>
      <c r="F18" s="571">
        <v>3745</v>
      </c>
      <c r="G18" s="571">
        <v>7629</v>
      </c>
      <c r="H18" s="571">
        <v>1683</v>
      </c>
      <c r="I18" s="571">
        <v>982</v>
      </c>
      <c r="J18" s="571">
        <v>2665</v>
      </c>
    </row>
    <row r="19" spans="1:10">
      <c r="A19" s="541" t="s">
        <v>831</v>
      </c>
      <c r="B19" s="515">
        <v>33309</v>
      </c>
      <c r="C19" s="515">
        <v>25470</v>
      </c>
      <c r="D19" s="515">
        <v>58779</v>
      </c>
      <c r="E19" s="515">
        <v>4428</v>
      </c>
      <c r="F19" s="515">
        <v>4406</v>
      </c>
      <c r="G19" s="515">
        <v>8834</v>
      </c>
      <c r="H19" s="515">
        <v>1597</v>
      </c>
      <c r="I19" s="515">
        <v>928</v>
      </c>
      <c r="J19" s="515">
        <v>2525</v>
      </c>
    </row>
    <row r="20" spans="1:10">
      <c r="A20" s="541" t="s">
        <v>830</v>
      </c>
      <c r="B20" s="572">
        <v>32307</v>
      </c>
      <c r="C20" s="572">
        <v>23793</v>
      </c>
      <c r="D20" s="573">
        <f t="shared" ref="D20" si="0">B20+C20</f>
        <v>56100</v>
      </c>
      <c r="E20" s="572">
        <v>2939</v>
      </c>
      <c r="F20" s="572">
        <v>3530</v>
      </c>
      <c r="G20" s="573">
        <f t="shared" ref="G20" si="1">E20+F20</f>
        <v>6469</v>
      </c>
      <c r="H20" s="572">
        <v>1832</v>
      </c>
      <c r="I20" s="572">
        <v>1374</v>
      </c>
      <c r="J20" s="573">
        <f t="shared" ref="J20" si="2">H20+I20</f>
        <v>3206</v>
      </c>
    </row>
    <row r="21" spans="1:10">
      <c r="A21" s="570" t="s">
        <v>829</v>
      </c>
      <c r="B21" s="545">
        <v>31219</v>
      </c>
      <c r="C21" s="545">
        <v>21766</v>
      </c>
      <c r="D21" s="209">
        <v>52985</v>
      </c>
      <c r="E21" s="545">
        <v>3444</v>
      </c>
      <c r="F21" s="545">
        <v>3375</v>
      </c>
      <c r="G21" s="209">
        <v>6819</v>
      </c>
      <c r="H21" s="545">
        <v>1276</v>
      </c>
      <c r="I21" s="545">
        <v>884</v>
      </c>
      <c r="J21" s="209">
        <v>2160</v>
      </c>
    </row>
    <row r="22" spans="1:10">
      <c r="A22" s="580" t="s">
        <v>828</v>
      </c>
      <c r="B22" s="515">
        <v>26985</v>
      </c>
      <c r="C22" s="515">
        <v>19749</v>
      </c>
      <c r="D22" s="515">
        <v>46734</v>
      </c>
      <c r="E22" s="515">
        <v>2393</v>
      </c>
      <c r="F22" s="515">
        <v>3294</v>
      </c>
      <c r="G22" s="515">
        <v>5687</v>
      </c>
      <c r="H22" s="515">
        <v>1185</v>
      </c>
      <c r="I22" s="515">
        <v>765</v>
      </c>
      <c r="J22" s="515">
        <v>1950</v>
      </c>
    </row>
    <row r="23" spans="1:10" ht="15">
      <c r="A23" s="579" t="s">
        <v>16</v>
      </c>
      <c r="B23" s="548"/>
      <c r="C23" s="548"/>
      <c r="D23" s="548"/>
      <c r="E23" s="548"/>
      <c r="F23" s="548"/>
      <c r="G23" s="548"/>
      <c r="H23" s="548"/>
      <c r="I23" s="548"/>
      <c r="J23" s="549"/>
    </row>
    <row r="24" spans="1:10">
      <c r="A24" s="541" t="s">
        <v>832</v>
      </c>
      <c r="B24" s="571">
        <v>91</v>
      </c>
      <c r="C24" s="571">
        <v>59</v>
      </c>
      <c r="D24" s="571">
        <v>150</v>
      </c>
      <c r="E24" s="571">
        <v>2519</v>
      </c>
      <c r="F24" s="571">
        <v>2250</v>
      </c>
      <c r="G24" s="571">
        <v>4769</v>
      </c>
      <c r="H24" s="571">
        <v>9</v>
      </c>
      <c r="I24" s="571">
        <v>5</v>
      </c>
      <c r="J24" s="571">
        <v>14</v>
      </c>
    </row>
    <row r="25" spans="1:10">
      <c r="A25" s="541" t="s">
        <v>831</v>
      </c>
      <c r="B25" s="515">
        <v>94</v>
      </c>
      <c r="C25" s="515">
        <v>42</v>
      </c>
      <c r="D25" s="515">
        <v>136</v>
      </c>
      <c r="E25" s="515">
        <v>1688</v>
      </c>
      <c r="F25" s="515">
        <v>1199</v>
      </c>
      <c r="G25" s="515">
        <v>2887</v>
      </c>
      <c r="H25" s="515">
        <v>19</v>
      </c>
      <c r="I25" s="515">
        <v>9</v>
      </c>
      <c r="J25" s="515">
        <v>28</v>
      </c>
    </row>
    <row r="26" spans="1:10">
      <c r="A26" s="541" t="s">
        <v>830</v>
      </c>
      <c r="B26" s="572">
        <v>70</v>
      </c>
      <c r="C26" s="572">
        <v>50</v>
      </c>
      <c r="D26" s="573">
        <f t="shared" ref="D26" si="3">B26+C26</f>
        <v>120</v>
      </c>
      <c r="E26" s="572">
        <v>1409</v>
      </c>
      <c r="F26" s="572">
        <v>1358</v>
      </c>
      <c r="G26" s="573">
        <f t="shared" ref="G26" si="4">E26+F26</f>
        <v>2767</v>
      </c>
      <c r="H26" s="572">
        <v>26</v>
      </c>
      <c r="I26" s="572">
        <v>13</v>
      </c>
      <c r="J26" s="573">
        <f t="shared" ref="J26" si="5">H26+I26</f>
        <v>39</v>
      </c>
    </row>
    <row r="27" spans="1:10">
      <c r="A27" s="570" t="s">
        <v>829</v>
      </c>
      <c r="B27" s="545">
        <v>113</v>
      </c>
      <c r="C27" s="545">
        <v>80</v>
      </c>
      <c r="D27" s="209">
        <v>193</v>
      </c>
      <c r="E27" s="545">
        <v>1627</v>
      </c>
      <c r="F27" s="545">
        <v>1401</v>
      </c>
      <c r="G27" s="209">
        <v>3028</v>
      </c>
      <c r="H27" s="545">
        <v>32</v>
      </c>
      <c r="I27" s="545">
        <v>7</v>
      </c>
      <c r="J27" s="209">
        <v>39</v>
      </c>
    </row>
    <row r="28" spans="1:10">
      <c r="A28" s="580" t="s">
        <v>828</v>
      </c>
      <c r="B28" s="515">
        <v>71</v>
      </c>
      <c r="C28" s="515">
        <v>39</v>
      </c>
      <c r="D28" s="515">
        <v>110</v>
      </c>
      <c r="E28" s="515">
        <v>1239</v>
      </c>
      <c r="F28" s="515">
        <v>1072</v>
      </c>
      <c r="G28" s="515">
        <v>2311</v>
      </c>
      <c r="H28" s="515">
        <v>48</v>
      </c>
      <c r="I28" s="515">
        <v>24</v>
      </c>
      <c r="J28" s="515">
        <v>72</v>
      </c>
    </row>
    <row r="29" spans="1:10" ht="15">
      <c r="A29" s="579" t="s">
        <v>17</v>
      </c>
      <c r="B29" s="548"/>
      <c r="C29" s="548"/>
      <c r="D29" s="548"/>
      <c r="E29" s="548"/>
      <c r="F29" s="548"/>
      <c r="G29" s="548"/>
      <c r="H29" s="548"/>
      <c r="I29" s="548"/>
      <c r="J29" s="549"/>
    </row>
    <row r="30" spans="1:10">
      <c r="A30" s="541" t="s">
        <v>832</v>
      </c>
      <c r="B30" s="571">
        <v>47608</v>
      </c>
      <c r="C30" s="571">
        <v>45745</v>
      </c>
      <c r="D30" s="571">
        <v>93353</v>
      </c>
      <c r="E30" s="571">
        <v>6796</v>
      </c>
      <c r="F30" s="571">
        <v>7109</v>
      </c>
      <c r="G30" s="571">
        <v>13905</v>
      </c>
      <c r="H30" s="571">
        <v>511</v>
      </c>
      <c r="I30" s="571">
        <v>301</v>
      </c>
      <c r="J30" s="571">
        <v>812</v>
      </c>
    </row>
    <row r="31" spans="1:10">
      <c r="A31" s="541" t="s">
        <v>831</v>
      </c>
      <c r="B31" s="515">
        <v>49869</v>
      </c>
      <c r="C31" s="515">
        <v>47596</v>
      </c>
      <c r="D31" s="515">
        <v>97465</v>
      </c>
      <c r="E31" s="515">
        <v>6586</v>
      </c>
      <c r="F31" s="515">
        <v>6696</v>
      </c>
      <c r="G31" s="515">
        <v>13282</v>
      </c>
      <c r="H31" s="515">
        <v>599</v>
      </c>
      <c r="I31" s="515">
        <v>364</v>
      </c>
      <c r="J31" s="515">
        <v>963</v>
      </c>
    </row>
    <row r="32" spans="1:10">
      <c r="A32" s="541" t="s">
        <v>830</v>
      </c>
      <c r="B32" s="572">
        <v>45324</v>
      </c>
      <c r="C32" s="572">
        <v>42480</v>
      </c>
      <c r="D32" s="573">
        <f t="shared" ref="D32" si="6">B32+C32</f>
        <v>87804</v>
      </c>
      <c r="E32" s="572">
        <v>4268</v>
      </c>
      <c r="F32" s="572">
        <v>4394</v>
      </c>
      <c r="G32" s="573">
        <f t="shared" ref="G32" si="7">E32+F32</f>
        <v>8662</v>
      </c>
      <c r="H32" s="572">
        <v>528</v>
      </c>
      <c r="I32" s="572">
        <v>354</v>
      </c>
      <c r="J32" s="573">
        <f>H32+I32</f>
        <v>882</v>
      </c>
    </row>
    <row r="33" spans="1:10">
      <c r="A33" s="570" t="s">
        <v>829</v>
      </c>
      <c r="B33" s="545">
        <v>43547</v>
      </c>
      <c r="C33" s="545">
        <v>38998</v>
      </c>
      <c r="D33" s="209">
        <v>82545</v>
      </c>
      <c r="E33" s="545">
        <v>3669</v>
      </c>
      <c r="F33" s="545">
        <v>4017</v>
      </c>
      <c r="G33" s="209">
        <v>7686</v>
      </c>
      <c r="H33" s="545">
        <v>388</v>
      </c>
      <c r="I33" s="545">
        <v>244</v>
      </c>
      <c r="J33" s="209">
        <v>632</v>
      </c>
    </row>
    <row r="34" spans="1:10">
      <c r="A34" s="580" t="s">
        <v>828</v>
      </c>
      <c r="B34" s="515">
        <v>41093</v>
      </c>
      <c r="C34" s="515">
        <v>35008</v>
      </c>
      <c r="D34" s="515">
        <v>76101</v>
      </c>
      <c r="E34" s="515">
        <v>3017</v>
      </c>
      <c r="F34" s="515">
        <v>3536</v>
      </c>
      <c r="G34" s="515">
        <v>6553</v>
      </c>
      <c r="H34" s="515">
        <v>458</v>
      </c>
      <c r="I34" s="515">
        <v>282</v>
      </c>
      <c r="J34" s="515">
        <v>740</v>
      </c>
    </row>
    <row r="35" spans="1:10" ht="15">
      <c r="A35" s="579" t="s">
        <v>18</v>
      </c>
      <c r="B35" s="548"/>
      <c r="C35" s="548"/>
      <c r="D35" s="548"/>
      <c r="E35" s="548"/>
      <c r="F35" s="548"/>
      <c r="G35" s="548"/>
      <c r="H35" s="548"/>
      <c r="I35" s="548"/>
      <c r="J35" s="549"/>
    </row>
    <row r="36" spans="1:10">
      <c r="A36" s="541" t="s">
        <v>832</v>
      </c>
      <c r="B36" s="571">
        <v>83382</v>
      </c>
      <c r="C36" s="571">
        <v>80567</v>
      </c>
      <c r="D36" s="571">
        <v>163949</v>
      </c>
      <c r="E36" s="571">
        <v>1111</v>
      </c>
      <c r="F36" s="571">
        <v>840</v>
      </c>
      <c r="G36" s="571">
        <v>1951</v>
      </c>
      <c r="H36" s="571">
        <v>1879</v>
      </c>
      <c r="I36" s="571">
        <v>737</v>
      </c>
      <c r="J36" s="571">
        <v>2616</v>
      </c>
    </row>
    <row r="37" spans="1:10">
      <c r="A37" s="541" t="s">
        <v>831</v>
      </c>
      <c r="B37" s="515">
        <v>80401</v>
      </c>
      <c r="C37" s="515">
        <v>71171</v>
      </c>
      <c r="D37" s="515">
        <v>151572</v>
      </c>
      <c r="E37" s="515">
        <v>1167</v>
      </c>
      <c r="F37" s="515">
        <v>1448</v>
      </c>
      <c r="G37" s="515">
        <v>2615</v>
      </c>
      <c r="H37" s="515">
        <v>3433</v>
      </c>
      <c r="I37" s="515">
        <v>1987</v>
      </c>
      <c r="J37" s="515">
        <v>5420</v>
      </c>
    </row>
    <row r="38" spans="1:10">
      <c r="A38" s="541" t="s">
        <v>830</v>
      </c>
      <c r="B38" s="572">
        <v>74955</v>
      </c>
      <c r="C38" s="572">
        <v>67841</v>
      </c>
      <c r="D38" s="573">
        <f t="shared" ref="D38" si="8">B38+C38</f>
        <v>142796</v>
      </c>
      <c r="E38" s="572">
        <v>908</v>
      </c>
      <c r="F38" s="572">
        <v>847</v>
      </c>
      <c r="G38" s="573">
        <f t="shared" ref="G38" si="9">E38+F38</f>
        <v>1755</v>
      </c>
      <c r="H38" s="572">
        <v>1596</v>
      </c>
      <c r="I38" s="572">
        <v>589</v>
      </c>
      <c r="J38" s="573">
        <f>H38+I38</f>
        <v>2185</v>
      </c>
    </row>
    <row r="39" spans="1:10">
      <c r="A39" s="570" t="s">
        <v>829</v>
      </c>
      <c r="B39" s="545">
        <v>79187</v>
      </c>
      <c r="C39" s="545">
        <v>64585</v>
      </c>
      <c r="D39" s="209">
        <v>143772</v>
      </c>
      <c r="E39" s="545">
        <v>861</v>
      </c>
      <c r="F39" s="545">
        <v>893</v>
      </c>
      <c r="G39" s="209">
        <v>1754</v>
      </c>
      <c r="H39" s="545">
        <v>1688</v>
      </c>
      <c r="I39" s="545">
        <v>717</v>
      </c>
      <c r="J39" s="209">
        <v>2405</v>
      </c>
    </row>
    <row r="40" spans="1:10">
      <c r="A40" s="580" t="s">
        <v>828</v>
      </c>
      <c r="B40" s="515">
        <v>79478</v>
      </c>
      <c r="C40" s="515">
        <v>58037</v>
      </c>
      <c r="D40" s="515">
        <v>137515</v>
      </c>
      <c r="E40" s="515">
        <v>636</v>
      </c>
      <c r="F40" s="515">
        <v>665</v>
      </c>
      <c r="G40" s="515">
        <v>1301</v>
      </c>
      <c r="H40" s="515">
        <v>1663</v>
      </c>
      <c r="I40" s="515">
        <v>799</v>
      </c>
      <c r="J40" s="515">
        <v>2462</v>
      </c>
    </row>
    <row r="41" spans="1:10" ht="15">
      <c r="A41" s="579" t="s">
        <v>19</v>
      </c>
      <c r="B41" s="548"/>
      <c r="C41" s="548"/>
      <c r="D41" s="548"/>
      <c r="E41" s="548"/>
      <c r="F41" s="548"/>
      <c r="G41" s="548"/>
      <c r="H41" s="548"/>
      <c r="I41" s="548"/>
      <c r="J41" s="549"/>
    </row>
    <row r="42" spans="1:10">
      <c r="A42" s="541" t="s">
        <v>832</v>
      </c>
      <c r="B42" s="571">
        <v>414</v>
      </c>
      <c r="C42" s="571">
        <v>273</v>
      </c>
      <c r="D42" s="571">
        <v>687</v>
      </c>
      <c r="E42" s="571">
        <v>2140</v>
      </c>
      <c r="F42" s="571">
        <v>2582</v>
      </c>
      <c r="G42" s="571">
        <v>4722</v>
      </c>
      <c r="H42" s="571">
        <v>245</v>
      </c>
      <c r="I42" s="571">
        <v>86</v>
      </c>
      <c r="J42" s="571">
        <v>331</v>
      </c>
    </row>
    <row r="43" spans="1:10">
      <c r="A43" s="541" t="s">
        <v>831</v>
      </c>
      <c r="B43" s="515">
        <v>324</v>
      </c>
      <c r="C43" s="515">
        <v>228</v>
      </c>
      <c r="D43" s="515">
        <v>552</v>
      </c>
      <c r="E43" s="515">
        <v>1876</v>
      </c>
      <c r="F43" s="515">
        <v>2310</v>
      </c>
      <c r="G43" s="515">
        <v>4186</v>
      </c>
      <c r="H43" s="515">
        <v>163</v>
      </c>
      <c r="I43" s="515">
        <v>73</v>
      </c>
      <c r="J43" s="515">
        <v>236</v>
      </c>
    </row>
    <row r="44" spans="1:10">
      <c r="A44" s="541" t="s">
        <v>830</v>
      </c>
      <c r="B44" s="572">
        <v>270</v>
      </c>
      <c r="C44" s="572">
        <v>214</v>
      </c>
      <c r="D44" s="573">
        <f t="shared" ref="D44" si="10">B44+C44</f>
        <v>484</v>
      </c>
      <c r="E44" s="572">
        <v>2448</v>
      </c>
      <c r="F44" s="572">
        <v>2503</v>
      </c>
      <c r="G44" s="573">
        <f t="shared" ref="G44" si="11">E44+F44</f>
        <v>4951</v>
      </c>
      <c r="H44" s="572">
        <v>78</v>
      </c>
      <c r="I44" s="572">
        <v>49</v>
      </c>
      <c r="J44" s="573">
        <f>H44+I44</f>
        <v>127</v>
      </c>
    </row>
    <row r="45" spans="1:10">
      <c r="A45" s="570" t="s">
        <v>829</v>
      </c>
      <c r="B45" s="545">
        <v>77</v>
      </c>
      <c r="C45" s="545">
        <v>228</v>
      </c>
      <c r="D45" s="209">
        <v>305</v>
      </c>
      <c r="E45" s="545">
        <v>2615</v>
      </c>
      <c r="F45" s="545">
        <v>2781</v>
      </c>
      <c r="G45" s="209">
        <v>5396</v>
      </c>
      <c r="H45" s="545">
        <v>173</v>
      </c>
      <c r="I45" s="545">
        <v>102</v>
      </c>
      <c r="J45" s="209">
        <v>275</v>
      </c>
    </row>
    <row r="46" spans="1:10">
      <c r="A46" s="580" t="s">
        <v>828</v>
      </c>
      <c r="B46" s="515">
        <v>51</v>
      </c>
      <c r="C46" s="515">
        <v>148</v>
      </c>
      <c r="D46" s="515">
        <v>199</v>
      </c>
      <c r="E46" s="515">
        <v>1864</v>
      </c>
      <c r="F46" s="515">
        <v>2600</v>
      </c>
      <c r="G46" s="515">
        <v>4464</v>
      </c>
      <c r="H46" s="515">
        <v>195</v>
      </c>
      <c r="I46" s="515">
        <v>70</v>
      </c>
      <c r="J46" s="515">
        <v>265</v>
      </c>
    </row>
    <row r="47" spans="1:10" ht="15">
      <c r="A47" s="579" t="s">
        <v>20</v>
      </c>
      <c r="B47" s="548"/>
      <c r="C47" s="548"/>
      <c r="D47" s="548"/>
      <c r="E47" s="548"/>
      <c r="F47" s="548"/>
      <c r="G47" s="548"/>
      <c r="H47" s="548"/>
      <c r="I47" s="548"/>
      <c r="J47" s="549"/>
    </row>
    <row r="48" spans="1:10">
      <c r="A48" s="541" t="s">
        <v>832</v>
      </c>
      <c r="B48" s="571">
        <v>2427</v>
      </c>
      <c r="C48" s="571">
        <v>2957</v>
      </c>
      <c r="D48" s="571">
        <v>5384</v>
      </c>
      <c r="E48" s="571">
        <v>2134</v>
      </c>
      <c r="F48" s="571">
        <v>3465</v>
      </c>
      <c r="G48" s="571">
        <v>5599</v>
      </c>
      <c r="H48" s="571">
        <v>353</v>
      </c>
      <c r="I48" s="571">
        <v>171</v>
      </c>
      <c r="J48" s="571">
        <v>524</v>
      </c>
    </row>
    <row r="49" spans="1:10">
      <c r="A49" s="541" t="s">
        <v>831</v>
      </c>
      <c r="B49" s="515">
        <v>2406</v>
      </c>
      <c r="C49" s="515">
        <v>2716</v>
      </c>
      <c r="D49" s="515">
        <v>5122</v>
      </c>
      <c r="E49" s="515">
        <v>1766</v>
      </c>
      <c r="F49" s="515">
        <v>3141</v>
      </c>
      <c r="G49" s="515">
        <v>4907</v>
      </c>
      <c r="H49" s="515">
        <v>350</v>
      </c>
      <c r="I49" s="515">
        <v>360</v>
      </c>
      <c r="J49" s="515">
        <v>710</v>
      </c>
    </row>
    <row r="50" spans="1:10">
      <c r="A50" s="541" t="s">
        <v>830</v>
      </c>
      <c r="B50" s="572">
        <v>2233</v>
      </c>
      <c r="C50" s="572">
        <v>2849</v>
      </c>
      <c r="D50" s="573">
        <f t="shared" ref="D50" si="12">B50+C50</f>
        <v>5082</v>
      </c>
      <c r="E50" s="572">
        <v>1800</v>
      </c>
      <c r="F50" s="572">
        <v>3011</v>
      </c>
      <c r="G50" s="573">
        <f t="shared" ref="G50" si="13">E50+F50</f>
        <v>4811</v>
      </c>
      <c r="H50" s="572">
        <v>284</v>
      </c>
      <c r="I50" s="572">
        <v>171</v>
      </c>
      <c r="J50" s="573">
        <f>H50+I50</f>
        <v>455</v>
      </c>
    </row>
    <row r="51" spans="1:10">
      <c r="A51" s="570" t="s">
        <v>829</v>
      </c>
      <c r="B51" s="545">
        <v>2296</v>
      </c>
      <c r="C51" s="545">
        <v>2552</v>
      </c>
      <c r="D51" s="209">
        <v>4848</v>
      </c>
      <c r="E51" s="545">
        <v>1597</v>
      </c>
      <c r="F51" s="545">
        <v>2863</v>
      </c>
      <c r="G51" s="209">
        <v>4460</v>
      </c>
      <c r="H51" s="545">
        <v>484</v>
      </c>
      <c r="I51" s="545">
        <v>240</v>
      </c>
      <c r="J51" s="209">
        <v>724</v>
      </c>
    </row>
    <row r="52" spans="1:10">
      <c r="A52" s="580" t="s">
        <v>828</v>
      </c>
      <c r="B52" s="515">
        <v>2048</v>
      </c>
      <c r="C52" s="515">
        <v>2765</v>
      </c>
      <c r="D52" s="515">
        <v>4813</v>
      </c>
      <c r="E52" s="515">
        <v>1496</v>
      </c>
      <c r="F52" s="515">
        <v>2533</v>
      </c>
      <c r="G52" s="515">
        <v>4029</v>
      </c>
      <c r="H52" s="515">
        <v>343</v>
      </c>
      <c r="I52" s="515">
        <v>158</v>
      </c>
      <c r="J52" s="515">
        <v>501</v>
      </c>
    </row>
    <row r="53" spans="1:10" ht="15">
      <c r="A53" s="579" t="s">
        <v>155</v>
      </c>
      <c r="B53" s="548"/>
      <c r="C53" s="548"/>
      <c r="D53" s="548"/>
      <c r="E53" s="548"/>
      <c r="F53" s="548"/>
      <c r="G53" s="548"/>
      <c r="H53" s="548"/>
      <c r="I53" s="548"/>
      <c r="J53" s="549"/>
    </row>
    <row r="54" spans="1:10">
      <c r="A54" s="541" t="s">
        <v>832</v>
      </c>
      <c r="B54" s="571">
        <v>38</v>
      </c>
      <c r="C54" s="571">
        <v>39</v>
      </c>
      <c r="D54" s="571">
        <v>77</v>
      </c>
      <c r="E54" s="571">
        <v>7</v>
      </c>
      <c r="F54" s="571">
        <v>275</v>
      </c>
      <c r="G54" s="571">
        <v>282</v>
      </c>
      <c r="H54" s="571">
        <v>13</v>
      </c>
      <c r="I54" s="571">
        <v>9</v>
      </c>
      <c r="J54" s="571">
        <v>22</v>
      </c>
    </row>
    <row r="55" spans="1:10">
      <c r="A55" s="541" t="s">
        <v>831</v>
      </c>
      <c r="B55" s="515">
        <v>48</v>
      </c>
      <c r="C55" s="515">
        <v>44</v>
      </c>
      <c r="D55" s="515">
        <v>92</v>
      </c>
      <c r="E55" s="515">
        <v>8</v>
      </c>
      <c r="F55" s="515">
        <v>248</v>
      </c>
      <c r="G55" s="515">
        <v>256</v>
      </c>
      <c r="H55" s="515">
        <v>8</v>
      </c>
      <c r="I55" s="515">
        <v>6</v>
      </c>
      <c r="J55" s="515">
        <v>14</v>
      </c>
    </row>
    <row r="56" spans="1:10">
      <c r="A56" s="541" t="s">
        <v>830</v>
      </c>
      <c r="B56" s="572">
        <v>27</v>
      </c>
      <c r="C56" s="572">
        <v>31</v>
      </c>
      <c r="D56" s="573">
        <f t="shared" ref="D56" si="14">B56+C56</f>
        <v>58</v>
      </c>
      <c r="E56" s="572">
        <v>21</v>
      </c>
      <c r="F56" s="572">
        <v>45</v>
      </c>
      <c r="G56" s="573">
        <f t="shared" ref="G56" si="15">E56+F56</f>
        <v>66</v>
      </c>
      <c r="H56" s="572">
        <v>4</v>
      </c>
      <c r="I56" s="572">
        <v>5</v>
      </c>
      <c r="J56" s="573">
        <f>H56+I56</f>
        <v>9</v>
      </c>
    </row>
    <row r="57" spans="1:10">
      <c r="A57" s="570" t="s">
        <v>829</v>
      </c>
      <c r="B57" s="545">
        <v>31</v>
      </c>
      <c r="C57" s="545">
        <v>29</v>
      </c>
      <c r="D57" s="209">
        <v>60</v>
      </c>
      <c r="E57" s="545">
        <v>15</v>
      </c>
      <c r="F57" s="545">
        <v>38</v>
      </c>
      <c r="G57" s="209">
        <v>53</v>
      </c>
      <c r="H57" s="545">
        <v>10</v>
      </c>
      <c r="I57" s="545">
        <v>7</v>
      </c>
      <c r="J57" s="209">
        <v>17</v>
      </c>
    </row>
    <row r="58" spans="1:10">
      <c r="A58" s="580" t="s">
        <v>828</v>
      </c>
      <c r="B58" s="515">
        <v>40</v>
      </c>
      <c r="C58" s="515">
        <v>52</v>
      </c>
      <c r="D58" s="515">
        <v>92</v>
      </c>
      <c r="E58" s="515">
        <v>13</v>
      </c>
      <c r="F58" s="515">
        <v>42</v>
      </c>
      <c r="G58" s="515">
        <v>55</v>
      </c>
      <c r="H58" s="515">
        <v>9</v>
      </c>
      <c r="I58" s="515">
        <v>10</v>
      </c>
      <c r="J58" s="515">
        <v>19</v>
      </c>
    </row>
    <row r="59" spans="1:10" ht="15">
      <c r="A59" s="579" t="s">
        <v>156</v>
      </c>
      <c r="B59" s="548"/>
      <c r="C59" s="548"/>
      <c r="D59" s="548"/>
      <c r="E59" s="548"/>
      <c r="F59" s="548"/>
      <c r="G59" s="548"/>
      <c r="H59" s="548"/>
      <c r="I59" s="548"/>
      <c r="J59" s="549"/>
    </row>
    <row r="60" spans="1:10">
      <c r="A60" s="541" t="s">
        <v>832</v>
      </c>
      <c r="B60" s="571">
        <v>91</v>
      </c>
      <c r="C60" s="571">
        <v>63</v>
      </c>
      <c r="D60" s="571">
        <v>154</v>
      </c>
      <c r="E60" s="571">
        <v>5</v>
      </c>
      <c r="F60" s="571">
        <v>27</v>
      </c>
      <c r="G60" s="571">
        <v>32</v>
      </c>
      <c r="H60" s="571">
        <v>2</v>
      </c>
      <c r="I60" s="571">
        <v>1</v>
      </c>
      <c r="J60" s="571">
        <v>3</v>
      </c>
    </row>
    <row r="61" spans="1:10">
      <c r="A61" s="541" t="s">
        <v>831</v>
      </c>
      <c r="B61" s="515">
        <v>79</v>
      </c>
      <c r="C61" s="515">
        <v>69</v>
      </c>
      <c r="D61" s="515">
        <v>148</v>
      </c>
      <c r="E61" s="515">
        <v>9</v>
      </c>
      <c r="F61" s="515">
        <v>28</v>
      </c>
      <c r="G61" s="515">
        <v>37</v>
      </c>
      <c r="H61" s="515">
        <v>0</v>
      </c>
      <c r="I61" s="515">
        <v>1</v>
      </c>
      <c r="J61" s="515">
        <v>1</v>
      </c>
    </row>
    <row r="62" spans="1:10">
      <c r="A62" s="541" t="s">
        <v>830</v>
      </c>
      <c r="B62" s="572">
        <v>89</v>
      </c>
      <c r="C62" s="572">
        <v>73</v>
      </c>
      <c r="D62" s="573">
        <f t="shared" ref="D62" si="16">B62+C62</f>
        <v>162</v>
      </c>
      <c r="E62" s="572">
        <v>10</v>
      </c>
      <c r="F62" s="572">
        <v>10</v>
      </c>
      <c r="G62" s="573">
        <f t="shared" ref="G62" si="17">E62+F62</f>
        <v>20</v>
      </c>
      <c r="H62" s="572">
        <v>0</v>
      </c>
      <c r="I62" s="572">
        <v>1</v>
      </c>
      <c r="J62" s="573">
        <f>H62+I62</f>
        <v>1</v>
      </c>
    </row>
    <row r="63" spans="1:10">
      <c r="A63" s="570" t="s">
        <v>829</v>
      </c>
      <c r="B63" s="545">
        <v>77</v>
      </c>
      <c r="C63" s="545">
        <v>56</v>
      </c>
      <c r="D63" s="209">
        <v>133</v>
      </c>
      <c r="E63" s="545">
        <v>11</v>
      </c>
      <c r="F63" s="545">
        <v>14</v>
      </c>
      <c r="G63" s="209">
        <v>25</v>
      </c>
      <c r="H63" s="545">
        <v>0</v>
      </c>
      <c r="I63" s="545">
        <v>1</v>
      </c>
      <c r="J63" s="209">
        <v>1</v>
      </c>
    </row>
    <row r="64" spans="1:10">
      <c r="A64" s="580" t="s">
        <v>828</v>
      </c>
      <c r="B64" s="515">
        <v>55</v>
      </c>
      <c r="C64" s="515">
        <v>47</v>
      </c>
      <c r="D64" s="515">
        <v>102</v>
      </c>
      <c r="E64" s="515">
        <v>10</v>
      </c>
      <c r="F64" s="515">
        <v>9</v>
      </c>
      <c r="G64" s="515">
        <v>19</v>
      </c>
      <c r="H64" s="515">
        <v>0</v>
      </c>
      <c r="I64" s="515">
        <v>1</v>
      </c>
      <c r="J64" s="515">
        <v>1</v>
      </c>
    </row>
    <row r="65" spans="1:10" ht="15">
      <c r="A65" s="579" t="s">
        <v>23</v>
      </c>
      <c r="B65" s="548"/>
      <c r="C65" s="548"/>
      <c r="D65" s="548"/>
      <c r="E65" s="548"/>
      <c r="F65" s="548"/>
      <c r="G65" s="548"/>
      <c r="H65" s="548"/>
      <c r="I65" s="548"/>
      <c r="J65" s="549"/>
    </row>
    <row r="66" spans="1:10">
      <c r="A66" s="541" t="s">
        <v>832</v>
      </c>
      <c r="B66" s="571">
        <v>16168</v>
      </c>
      <c r="C66" s="571">
        <v>10307</v>
      </c>
      <c r="D66" s="571">
        <v>26475</v>
      </c>
      <c r="E66" s="571">
        <v>6191</v>
      </c>
      <c r="F66" s="571">
        <v>7797</v>
      </c>
      <c r="G66" s="571">
        <v>13988</v>
      </c>
      <c r="H66" s="571">
        <v>4850</v>
      </c>
      <c r="I66" s="571">
        <v>3412</v>
      </c>
      <c r="J66" s="571">
        <v>8262</v>
      </c>
    </row>
    <row r="67" spans="1:10">
      <c r="A67" s="541" t="s">
        <v>831</v>
      </c>
      <c r="B67" s="515">
        <v>15715</v>
      </c>
      <c r="C67" s="515">
        <v>8632</v>
      </c>
      <c r="D67" s="515">
        <v>24347</v>
      </c>
      <c r="E67" s="515">
        <v>6164</v>
      </c>
      <c r="F67" s="515">
        <v>7775</v>
      </c>
      <c r="G67" s="515">
        <v>13939</v>
      </c>
      <c r="H67" s="515">
        <v>4998</v>
      </c>
      <c r="I67" s="515">
        <v>3348</v>
      </c>
      <c r="J67" s="515">
        <v>8346</v>
      </c>
    </row>
    <row r="68" spans="1:10">
      <c r="A68" s="541" t="s">
        <v>830</v>
      </c>
      <c r="B68" s="572">
        <v>15982</v>
      </c>
      <c r="C68" s="572">
        <v>7600</v>
      </c>
      <c r="D68" s="573">
        <f t="shared" ref="D68" si="18">B68+C68</f>
        <v>23582</v>
      </c>
      <c r="E68" s="572">
        <v>4869</v>
      </c>
      <c r="F68" s="572">
        <v>5595</v>
      </c>
      <c r="G68" s="573">
        <f t="shared" ref="G68" si="19">E68+F68</f>
        <v>10464</v>
      </c>
      <c r="H68" s="572">
        <v>4714</v>
      </c>
      <c r="I68" s="572">
        <v>3255</v>
      </c>
      <c r="J68" s="573">
        <f>H68+I68</f>
        <v>7969</v>
      </c>
    </row>
    <row r="69" spans="1:10">
      <c r="A69" s="570" t="s">
        <v>829</v>
      </c>
      <c r="B69" s="545">
        <v>14002</v>
      </c>
      <c r="C69" s="545">
        <v>7793</v>
      </c>
      <c r="D69" s="209">
        <v>21795</v>
      </c>
      <c r="E69" s="545">
        <v>4050</v>
      </c>
      <c r="F69" s="545">
        <v>4490</v>
      </c>
      <c r="G69" s="209">
        <v>8540</v>
      </c>
      <c r="H69" s="545">
        <v>2799</v>
      </c>
      <c r="I69" s="545">
        <v>1365</v>
      </c>
      <c r="J69" s="209">
        <v>4164</v>
      </c>
    </row>
    <row r="70" spans="1:10">
      <c r="A70" s="580" t="s">
        <v>828</v>
      </c>
      <c r="B70" s="515">
        <v>12647</v>
      </c>
      <c r="C70" s="515">
        <v>7115</v>
      </c>
      <c r="D70" s="515">
        <v>19762</v>
      </c>
      <c r="E70" s="515">
        <v>3930</v>
      </c>
      <c r="F70" s="515">
        <v>4283</v>
      </c>
      <c r="G70" s="515">
        <v>8213</v>
      </c>
      <c r="H70" s="515">
        <v>2470</v>
      </c>
      <c r="I70" s="515">
        <v>1301</v>
      </c>
      <c r="J70" s="515">
        <v>3771</v>
      </c>
    </row>
    <row r="71" spans="1:10" ht="15">
      <c r="A71" s="579" t="s">
        <v>24</v>
      </c>
      <c r="B71" s="548"/>
      <c r="C71" s="548"/>
      <c r="D71" s="548"/>
      <c r="E71" s="548"/>
      <c r="F71" s="548"/>
      <c r="G71" s="548"/>
      <c r="H71" s="548"/>
      <c r="I71" s="548"/>
      <c r="J71" s="549"/>
    </row>
    <row r="72" spans="1:10">
      <c r="A72" s="541" t="s">
        <v>832</v>
      </c>
      <c r="B72" s="571">
        <v>1291</v>
      </c>
      <c r="C72" s="571">
        <v>1443</v>
      </c>
      <c r="D72" s="571">
        <v>2734</v>
      </c>
      <c r="E72" s="571">
        <v>3412</v>
      </c>
      <c r="F72" s="571">
        <v>5446</v>
      </c>
      <c r="G72" s="571">
        <v>8858</v>
      </c>
      <c r="H72" s="571">
        <v>33</v>
      </c>
      <c r="I72" s="571">
        <v>26</v>
      </c>
      <c r="J72" s="571">
        <v>59</v>
      </c>
    </row>
    <row r="73" spans="1:10">
      <c r="A73" s="541" t="s">
        <v>831</v>
      </c>
      <c r="B73" s="515">
        <v>1274</v>
      </c>
      <c r="C73" s="515">
        <v>1351</v>
      </c>
      <c r="D73" s="515">
        <v>2625</v>
      </c>
      <c r="E73" s="515">
        <v>3843</v>
      </c>
      <c r="F73" s="515">
        <v>5699</v>
      </c>
      <c r="G73" s="515">
        <v>9542</v>
      </c>
      <c r="H73" s="515">
        <v>46</v>
      </c>
      <c r="I73" s="515">
        <v>23</v>
      </c>
      <c r="J73" s="515">
        <v>69</v>
      </c>
    </row>
    <row r="74" spans="1:10">
      <c r="A74" s="541" t="s">
        <v>830</v>
      </c>
      <c r="B74" s="572">
        <v>1038</v>
      </c>
      <c r="C74" s="572">
        <v>1118</v>
      </c>
      <c r="D74" s="573">
        <f t="shared" ref="D74" si="20">B74+C74</f>
        <v>2156</v>
      </c>
      <c r="E74" s="572">
        <v>3169</v>
      </c>
      <c r="F74" s="572">
        <v>4891</v>
      </c>
      <c r="G74" s="573">
        <f t="shared" ref="G74" si="21">E74+F74</f>
        <v>8060</v>
      </c>
      <c r="H74" s="572">
        <v>35</v>
      </c>
      <c r="I74" s="572">
        <v>25</v>
      </c>
      <c r="J74" s="573">
        <f>H74+I74</f>
        <v>60</v>
      </c>
    </row>
    <row r="75" spans="1:10">
      <c r="A75" s="570" t="s">
        <v>829</v>
      </c>
      <c r="B75" s="545">
        <v>1010</v>
      </c>
      <c r="C75" s="545">
        <v>1041</v>
      </c>
      <c r="D75" s="209">
        <v>2051</v>
      </c>
      <c r="E75" s="545">
        <v>3148</v>
      </c>
      <c r="F75" s="545">
        <v>4809</v>
      </c>
      <c r="G75" s="209">
        <v>7957</v>
      </c>
      <c r="H75" s="545">
        <v>30</v>
      </c>
      <c r="I75" s="545">
        <v>26</v>
      </c>
      <c r="J75" s="209">
        <v>56</v>
      </c>
    </row>
    <row r="76" spans="1:10">
      <c r="A76" s="580" t="s">
        <v>828</v>
      </c>
      <c r="B76" s="515">
        <v>989</v>
      </c>
      <c r="C76" s="515">
        <v>971</v>
      </c>
      <c r="D76" s="515">
        <v>1960</v>
      </c>
      <c r="E76" s="515">
        <v>3083</v>
      </c>
      <c r="F76" s="515">
        <v>4501</v>
      </c>
      <c r="G76" s="515">
        <v>7584</v>
      </c>
      <c r="H76" s="515">
        <v>31</v>
      </c>
      <c r="I76" s="515">
        <v>15</v>
      </c>
      <c r="J76" s="515">
        <v>46</v>
      </c>
    </row>
    <row r="77" spans="1:10" ht="15">
      <c r="A77" s="579" t="s">
        <v>25</v>
      </c>
      <c r="B77" s="548"/>
      <c r="C77" s="548"/>
      <c r="D77" s="548"/>
      <c r="E77" s="548"/>
      <c r="F77" s="548"/>
      <c r="G77" s="548"/>
      <c r="H77" s="548"/>
      <c r="I77" s="548"/>
      <c r="J77" s="549"/>
    </row>
    <row r="78" spans="1:10">
      <c r="A78" s="541" t="s">
        <v>832</v>
      </c>
      <c r="B78" s="571">
        <v>24664</v>
      </c>
      <c r="C78" s="571">
        <v>19350</v>
      </c>
      <c r="D78" s="571">
        <v>44014</v>
      </c>
      <c r="E78" s="571">
        <v>6049</v>
      </c>
      <c r="F78" s="571">
        <v>5647</v>
      </c>
      <c r="G78" s="571">
        <v>11696</v>
      </c>
      <c r="H78" s="571">
        <v>1207</v>
      </c>
      <c r="I78" s="571">
        <v>1130</v>
      </c>
      <c r="J78" s="571">
        <v>2337</v>
      </c>
    </row>
    <row r="79" spans="1:10">
      <c r="A79" s="541" t="s">
        <v>831</v>
      </c>
      <c r="B79" s="515">
        <v>20279</v>
      </c>
      <c r="C79" s="515">
        <v>15773</v>
      </c>
      <c r="D79" s="515">
        <v>36052</v>
      </c>
      <c r="E79" s="515">
        <v>5221</v>
      </c>
      <c r="F79" s="515">
        <v>4455</v>
      </c>
      <c r="G79" s="515">
        <v>9676</v>
      </c>
      <c r="H79" s="515">
        <v>1127</v>
      </c>
      <c r="I79" s="515">
        <v>613</v>
      </c>
      <c r="J79" s="515">
        <v>1740</v>
      </c>
    </row>
    <row r="80" spans="1:10">
      <c r="A80" s="541" t="s">
        <v>830</v>
      </c>
      <c r="B80" s="572">
        <v>19839</v>
      </c>
      <c r="C80" s="572">
        <v>15556</v>
      </c>
      <c r="D80" s="573">
        <f t="shared" ref="D80" si="22">B80+C80</f>
        <v>35395</v>
      </c>
      <c r="E80" s="572">
        <v>5550</v>
      </c>
      <c r="F80" s="572">
        <v>4544</v>
      </c>
      <c r="G80" s="573">
        <f t="shared" ref="G80" si="23">E80+F80</f>
        <v>10094</v>
      </c>
      <c r="H80" s="572">
        <v>1081</v>
      </c>
      <c r="I80" s="572">
        <v>744</v>
      </c>
      <c r="J80" s="573">
        <f>H80+I80</f>
        <v>1825</v>
      </c>
    </row>
    <row r="81" spans="1:10">
      <c r="A81" s="570" t="s">
        <v>829</v>
      </c>
      <c r="B81" s="545">
        <v>19694</v>
      </c>
      <c r="C81" s="545">
        <v>14185</v>
      </c>
      <c r="D81" s="209">
        <v>33879</v>
      </c>
      <c r="E81" s="545">
        <v>4199</v>
      </c>
      <c r="F81" s="545">
        <v>3553</v>
      </c>
      <c r="G81" s="209">
        <v>7752</v>
      </c>
      <c r="H81" s="545">
        <v>1892</v>
      </c>
      <c r="I81" s="545">
        <v>947</v>
      </c>
      <c r="J81" s="209">
        <v>2839</v>
      </c>
    </row>
    <row r="82" spans="1:10">
      <c r="A82" s="580" t="s">
        <v>828</v>
      </c>
      <c r="B82" s="515">
        <v>20183</v>
      </c>
      <c r="C82" s="515">
        <v>12854</v>
      </c>
      <c r="D82" s="515">
        <v>33037</v>
      </c>
      <c r="E82" s="515">
        <v>3623</v>
      </c>
      <c r="F82" s="515">
        <v>2830</v>
      </c>
      <c r="G82" s="515">
        <v>6453</v>
      </c>
      <c r="H82" s="515">
        <v>1042</v>
      </c>
      <c r="I82" s="515">
        <v>555</v>
      </c>
      <c r="J82" s="515">
        <v>1597</v>
      </c>
    </row>
    <row r="83" spans="1:10" ht="15">
      <c r="A83" s="579" t="s">
        <v>26</v>
      </c>
      <c r="B83" s="548"/>
      <c r="C83" s="548"/>
      <c r="D83" s="548"/>
      <c r="E83" s="548"/>
      <c r="F83" s="548"/>
      <c r="G83" s="548"/>
      <c r="H83" s="548"/>
      <c r="I83" s="548"/>
      <c r="J83" s="549"/>
    </row>
    <row r="84" spans="1:10">
      <c r="A84" s="541" t="s">
        <v>832</v>
      </c>
      <c r="B84" s="571">
        <v>9317</v>
      </c>
      <c r="C84" s="571">
        <v>3560</v>
      </c>
      <c r="D84" s="571">
        <v>12877</v>
      </c>
      <c r="E84" s="571">
        <v>5012</v>
      </c>
      <c r="F84" s="571">
        <v>6921</v>
      </c>
      <c r="G84" s="571">
        <v>11933</v>
      </c>
      <c r="H84" s="571">
        <v>499</v>
      </c>
      <c r="I84" s="571">
        <v>215</v>
      </c>
      <c r="J84" s="571">
        <v>714</v>
      </c>
    </row>
    <row r="85" spans="1:10">
      <c r="A85" s="541" t="s">
        <v>831</v>
      </c>
      <c r="B85" s="515">
        <v>7297</v>
      </c>
      <c r="C85" s="515">
        <v>2787</v>
      </c>
      <c r="D85" s="515">
        <v>10084</v>
      </c>
      <c r="E85" s="515">
        <v>6152</v>
      </c>
      <c r="F85" s="515">
        <v>6933</v>
      </c>
      <c r="G85" s="515">
        <v>13085</v>
      </c>
      <c r="H85" s="515">
        <v>505</v>
      </c>
      <c r="I85" s="515">
        <v>829</v>
      </c>
      <c r="J85" s="515">
        <v>1334</v>
      </c>
    </row>
    <row r="86" spans="1:10">
      <c r="A86" s="541" t="s">
        <v>830</v>
      </c>
      <c r="B86" s="572">
        <v>5702</v>
      </c>
      <c r="C86" s="572">
        <v>1905</v>
      </c>
      <c r="D86" s="573">
        <f t="shared" ref="D86" si="24">B86+C86</f>
        <v>7607</v>
      </c>
      <c r="E86" s="572">
        <v>5967</v>
      </c>
      <c r="F86" s="572">
        <v>6437</v>
      </c>
      <c r="G86" s="573">
        <f t="shared" ref="G86" si="25">E86+F86</f>
        <v>12404</v>
      </c>
      <c r="H86" s="572">
        <v>419</v>
      </c>
      <c r="I86" s="572">
        <v>350</v>
      </c>
      <c r="J86" s="573">
        <f>H86+I86</f>
        <v>769</v>
      </c>
    </row>
    <row r="87" spans="1:10">
      <c r="A87" s="570" t="s">
        <v>829</v>
      </c>
      <c r="B87" s="545">
        <v>6441</v>
      </c>
      <c r="C87" s="545">
        <v>2006</v>
      </c>
      <c r="D87" s="209">
        <v>8447</v>
      </c>
      <c r="E87" s="545">
        <v>5908</v>
      </c>
      <c r="F87" s="545">
        <v>5628</v>
      </c>
      <c r="G87" s="209">
        <v>11536</v>
      </c>
      <c r="H87" s="545">
        <v>640</v>
      </c>
      <c r="I87" s="545">
        <v>576</v>
      </c>
      <c r="J87" s="209">
        <v>1216</v>
      </c>
    </row>
    <row r="88" spans="1:10">
      <c r="A88" s="580" t="s">
        <v>828</v>
      </c>
      <c r="B88" s="515">
        <v>6524</v>
      </c>
      <c r="C88" s="515">
        <v>1583</v>
      </c>
      <c r="D88" s="515">
        <v>8107</v>
      </c>
      <c r="E88" s="515">
        <v>6661</v>
      </c>
      <c r="F88" s="515">
        <v>6512</v>
      </c>
      <c r="G88" s="515">
        <v>13173</v>
      </c>
      <c r="H88" s="515">
        <v>344</v>
      </c>
      <c r="I88" s="515">
        <v>240</v>
      </c>
      <c r="J88" s="515">
        <v>584</v>
      </c>
    </row>
    <row r="89" spans="1:10" ht="15">
      <c r="A89" s="579" t="s">
        <v>27</v>
      </c>
      <c r="B89" s="548"/>
      <c r="C89" s="548"/>
      <c r="D89" s="548"/>
      <c r="E89" s="548"/>
      <c r="F89" s="548"/>
      <c r="G89" s="548"/>
      <c r="H89" s="548"/>
      <c r="I89" s="548"/>
      <c r="J89" s="549"/>
    </row>
    <row r="90" spans="1:10">
      <c r="A90" s="541" t="s">
        <v>832</v>
      </c>
      <c r="B90" s="571">
        <v>1103</v>
      </c>
      <c r="C90" s="571">
        <v>661</v>
      </c>
      <c r="D90" s="571">
        <v>1764</v>
      </c>
      <c r="E90" s="571">
        <v>1753</v>
      </c>
      <c r="F90" s="571">
        <v>1531</v>
      </c>
      <c r="G90" s="571">
        <v>3284</v>
      </c>
      <c r="H90" s="571">
        <v>246</v>
      </c>
      <c r="I90" s="571">
        <v>123</v>
      </c>
      <c r="J90" s="571">
        <v>369</v>
      </c>
    </row>
    <row r="91" spans="1:10">
      <c r="A91" s="541" t="s">
        <v>831</v>
      </c>
      <c r="B91" s="515">
        <v>1189</v>
      </c>
      <c r="C91" s="515">
        <v>608</v>
      </c>
      <c r="D91" s="515">
        <v>1797</v>
      </c>
      <c r="E91" s="515">
        <v>1048</v>
      </c>
      <c r="F91" s="515">
        <v>1404</v>
      </c>
      <c r="G91" s="515">
        <v>2452</v>
      </c>
      <c r="H91" s="515">
        <v>226</v>
      </c>
      <c r="I91" s="515">
        <v>83</v>
      </c>
      <c r="J91" s="515">
        <v>309</v>
      </c>
    </row>
    <row r="92" spans="1:10">
      <c r="A92" s="541" t="s">
        <v>830</v>
      </c>
      <c r="B92" s="572">
        <v>913</v>
      </c>
      <c r="C92" s="572">
        <v>489</v>
      </c>
      <c r="D92" s="573">
        <f t="shared" ref="D92" si="26">B92+C92</f>
        <v>1402</v>
      </c>
      <c r="E92" s="572">
        <v>553</v>
      </c>
      <c r="F92" s="572">
        <v>1190</v>
      </c>
      <c r="G92" s="573">
        <f t="shared" ref="G92" si="27">E92+F92</f>
        <v>1743</v>
      </c>
      <c r="H92" s="572">
        <v>213</v>
      </c>
      <c r="I92" s="572">
        <v>77</v>
      </c>
      <c r="J92" s="573">
        <f>H92+I92</f>
        <v>290</v>
      </c>
    </row>
    <row r="93" spans="1:10">
      <c r="A93" s="570" t="s">
        <v>829</v>
      </c>
      <c r="B93" s="545">
        <v>858</v>
      </c>
      <c r="C93" s="545">
        <v>479</v>
      </c>
      <c r="D93" s="209">
        <v>1337</v>
      </c>
      <c r="E93" s="545">
        <v>554</v>
      </c>
      <c r="F93" s="545">
        <v>1370</v>
      </c>
      <c r="G93" s="209">
        <v>1924</v>
      </c>
      <c r="H93" s="545">
        <v>438</v>
      </c>
      <c r="I93" s="545">
        <v>140</v>
      </c>
      <c r="J93" s="209">
        <v>578</v>
      </c>
    </row>
    <row r="94" spans="1:10">
      <c r="A94" s="580" t="s">
        <v>828</v>
      </c>
      <c r="B94" s="515">
        <v>718</v>
      </c>
      <c r="C94" s="515">
        <v>372</v>
      </c>
      <c r="D94" s="515">
        <v>1090</v>
      </c>
      <c r="E94" s="515">
        <v>392</v>
      </c>
      <c r="F94" s="515">
        <v>1092</v>
      </c>
      <c r="G94" s="515">
        <v>1484</v>
      </c>
      <c r="H94" s="515">
        <v>280</v>
      </c>
      <c r="I94" s="515">
        <v>323</v>
      </c>
      <c r="J94" s="515">
        <v>603</v>
      </c>
    </row>
    <row r="95" spans="1:10" ht="15">
      <c r="A95" s="579" t="s">
        <v>57</v>
      </c>
      <c r="B95" s="548"/>
      <c r="C95" s="548"/>
      <c r="D95" s="548"/>
      <c r="E95" s="548"/>
      <c r="F95" s="548"/>
      <c r="G95" s="548"/>
      <c r="H95" s="548"/>
      <c r="I95" s="548"/>
      <c r="J95" s="549"/>
    </row>
    <row r="96" spans="1:10">
      <c r="A96" s="541" t="s">
        <v>832</v>
      </c>
      <c r="B96" s="571">
        <v>89608</v>
      </c>
      <c r="C96" s="571">
        <v>89068</v>
      </c>
      <c r="D96" s="571">
        <v>178676</v>
      </c>
      <c r="E96" s="571">
        <v>2447</v>
      </c>
      <c r="F96" s="571">
        <v>3229</v>
      </c>
      <c r="G96" s="571">
        <v>5676</v>
      </c>
      <c r="H96" s="571">
        <v>334</v>
      </c>
      <c r="I96" s="571">
        <v>262</v>
      </c>
      <c r="J96" s="571">
        <v>596</v>
      </c>
    </row>
    <row r="97" spans="1:10">
      <c r="A97" s="541" t="s">
        <v>831</v>
      </c>
      <c r="B97" s="515">
        <v>81908</v>
      </c>
      <c r="C97" s="515">
        <v>75806</v>
      </c>
      <c r="D97" s="515">
        <v>157714</v>
      </c>
      <c r="E97" s="515">
        <v>2675</v>
      </c>
      <c r="F97" s="515">
        <v>3986</v>
      </c>
      <c r="G97" s="515">
        <v>6661</v>
      </c>
      <c r="H97" s="515">
        <v>660</v>
      </c>
      <c r="I97" s="515">
        <v>1675</v>
      </c>
      <c r="J97" s="515">
        <v>2335</v>
      </c>
    </row>
    <row r="98" spans="1:10">
      <c r="A98" s="541" t="s">
        <v>830</v>
      </c>
      <c r="B98" s="572">
        <v>72401</v>
      </c>
      <c r="C98" s="572">
        <v>69561</v>
      </c>
      <c r="D98" s="573">
        <f t="shared" ref="D98" si="28">B98+C98</f>
        <v>141962</v>
      </c>
      <c r="E98" s="572">
        <v>2325</v>
      </c>
      <c r="F98" s="572">
        <v>3568</v>
      </c>
      <c r="G98" s="573">
        <f t="shared" ref="G98" si="29">E98+F98</f>
        <v>5893</v>
      </c>
      <c r="H98" s="572">
        <v>286</v>
      </c>
      <c r="I98" s="572">
        <v>180</v>
      </c>
      <c r="J98" s="573">
        <f>H98+I98</f>
        <v>466</v>
      </c>
    </row>
    <row r="99" spans="1:10">
      <c r="A99" s="570" t="s">
        <v>829</v>
      </c>
      <c r="B99" s="545">
        <v>63899</v>
      </c>
      <c r="C99" s="545">
        <v>57200</v>
      </c>
      <c r="D99" s="209">
        <v>121099</v>
      </c>
      <c r="E99" s="545">
        <v>2131</v>
      </c>
      <c r="F99" s="545">
        <v>3282</v>
      </c>
      <c r="G99" s="209">
        <v>5413</v>
      </c>
      <c r="H99" s="545">
        <v>358</v>
      </c>
      <c r="I99" s="545">
        <v>531</v>
      </c>
      <c r="J99" s="209">
        <v>889</v>
      </c>
    </row>
    <row r="100" spans="1:10">
      <c r="A100" s="580" t="s">
        <v>828</v>
      </c>
      <c r="B100" s="515">
        <v>67932</v>
      </c>
      <c r="C100" s="515">
        <v>59893</v>
      </c>
      <c r="D100" s="515">
        <v>127825</v>
      </c>
      <c r="E100" s="515">
        <v>2928</v>
      </c>
      <c r="F100" s="515">
        <v>3532</v>
      </c>
      <c r="G100" s="515">
        <v>6460</v>
      </c>
      <c r="H100" s="515">
        <v>349</v>
      </c>
      <c r="I100" s="515">
        <v>223</v>
      </c>
      <c r="J100" s="515">
        <v>572</v>
      </c>
    </row>
    <row r="101" spans="1:10" ht="15">
      <c r="A101" s="579" t="s">
        <v>29</v>
      </c>
      <c r="B101" s="548"/>
      <c r="C101" s="548"/>
      <c r="D101" s="548"/>
      <c r="E101" s="548"/>
      <c r="F101" s="548"/>
      <c r="G101" s="548"/>
      <c r="H101" s="548"/>
      <c r="I101" s="548"/>
      <c r="J101" s="549"/>
    </row>
    <row r="102" spans="1:10">
      <c r="A102" s="541" t="s">
        <v>832</v>
      </c>
      <c r="B102" s="571">
        <v>21742</v>
      </c>
      <c r="C102" s="571">
        <v>21834</v>
      </c>
      <c r="D102" s="571">
        <v>43576</v>
      </c>
      <c r="E102" s="571">
        <v>6150</v>
      </c>
      <c r="F102" s="571">
        <v>6989</v>
      </c>
      <c r="G102" s="571">
        <v>13139</v>
      </c>
      <c r="H102" s="571">
        <v>773</v>
      </c>
      <c r="I102" s="571">
        <v>384</v>
      </c>
      <c r="J102" s="571">
        <v>1157</v>
      </c>
    </row>
    <row r="103" spans="1:10">
      <c r="A103" s="541" t="s">
        <v>831</v>
      </c>
      <c r="B103" s="515">
        <v>20388</v>
      </c>
      <c r="C103" s="515">
        <v>20122</v>
      </c>
      <c r="D103" s="515">
        <v>40510</v>
      </c>
      <c r="E103" s="515">
        <v>5602</v>
      </c>
      <c r="F103" s="515">
        <v>7056</v>
      </c>
      <c r="G103" s="515">
        <v>12658</v>
      </c>
      <c r="H103" s="515">
        <v>459</v>
      </c>
      <c r="I103" s="515">
        <v>180</v>
      </c>
      <c r="J103" s="515">
        <v>639</v>
      </c>
    </row>
    <row r="104" spans="1:10">
      <c r="A104" s="541" t="s">
        <v>830</v>
      </c>
      <c r="B104" s="572">
        <v>18085</v>
      </c>
      <c r="C104" s="572">
        <v>18702</v>
      </c>
      <c r="D104" s="573">
        <f t="shared" ref="D104" si="30">B104+C104</f>
        <v>36787</v>
      </c>
      <c r="E104" s="572">
        <v>5050</v>
      </c>
      <c r="F104" s="572">
        <v>7315</v>
      </c>
      <c r="G104" s="573">
        <f t="shared" ref="G104" si="31">E104+F104</f>
        <v>12365</v>
      </c>
      <c r="H104" s="572">
        <v>500</v>
      </c>
      <c r="I104" s="572">
        <v>252</v>
      </c>
      <c r="J104" s="573">
        <f>H104+I104</f>
        <v>752</v>
      </c>
    </row>
    <row r="105" spans="1:10">
      <c r="A105" s="570" t="s">
        <v>829</v>
      </c>
      <c r="B105" s="545">
        <v>18826</v>
      </c>
      <c r="C105" s="545">
        <v>18369</v>
      </c>
      <c r="D105" s="209">
        <v>37195</v>
      </c>
      <c r="E105" s="545">
        <v>5737</v>
      </c>
      <c r="F105" s="545">
        <v>8420</v>
      </c>
      <c r="G105" s="209">
        <v>14157</v>
      </c>
      <c r="H105" s="545">
        <v>368</v>
      </c>
      <c r="I105" s="545">
        <v>200</v>
      </c>
      <c r="J105" s="209">
        <v>568</v>
      </c>
    </row>
    <row r="106" spans="1:10">
      <c r="A106" s="580" t="s">
        <v>828</v>
      </c>
      <c r="B106" s="515">
        <v>17422</v>
      </c>
      <c r="C106" s="515">
        <v>15711</v>
      </c>
      <c r="D106" s="515">
        <v>33133</v>
      </c>
      <c r="E106" s="515">
        <v>3869</v>
      </c>
      <c r="F106" s="515">
        <v>5114</v>
      </c>
      <c r="G106" s="515">
        <v>8983</v>
      </c>
      <c r="H106" s="515">
        <v>416</v>
      </c>
      <c r="I106" s="515">
        <v>187</v>
      </c>
      <c r="J106" s="515">
        <v>603</v>
      </c>
    </row>
    <row r="107" spans="1:10" ht="15">
      <c r="A107" s="579" t="s">
        <v>30</v>
      </c>
      <c r="B107" s="548"/>
      <c r="C107" s="548"/>
      <c r="D107" s="548"/>
      <c r="E107" s="548"/>
      <c r="F107" s="548"/>
      <c r="G107" s="548"/>
      <c r="H107" s="548"/>
      <c r="I107" s="548"/>
      <c r="J107" s="549"/>
    </row>
    <row r="108" spans="1:10">
      <c r="A108" s="541" t="s">
        <v>832</v>
      </c>
      <c r="B108" s="571">
        <v>75198</v>
      </c>
      <c r="C108" s="571">
        <v>69313</v>
      </c>
      <c r="D108" s="571">
        <v>144511</v>
      </c>
      <c r="E108" s="571">
        <v>38600</v>
      </c>
      <c r="F108" s="571">
        <v>49170</v>
      </c>
      <c r="G108" s="571">
        <v>87770</v>
      </c>
      <c r="H108" s="571">
        <v>2398</v>
      </c>
      <c r="I108" s="571">
        <v>2204</v>
      </c>
      <c r="J108" s="571">
        <v>4602</v>
      </c>
    </row>
    <row r="109" spans="1:10">
      <c r="A109" s="541" t="s">
        <v>831</v>
      </c>
      <c r="B109" s="515">
        <v>65642</v>
      </c>
      <c r="C109" s="515">
        <v>59894</v>
      </c>
      <c r="D109" s="515">
        <v>125536</v>
      </c>
      <c r="E109" s="515">
        <v>36255</v>
      </c>
      <c r="F109" s="515">
        <v>45244</v>
      </c>
      <c r="G109" s="515">
        <v>81499</v>
      </c>
      <c r="H109" s="515">
        <v>2310</v>
      </c>
      <c r="I109" s="515">
        <v>1986</v>
      </c>
      <c r="J109" s="515">
        <v>4296</v>
      </c>
    </row>
    <row r="110" spans="1:10">
      <c r="A110" s="541" t="s">
        <v>830</v>
      </c>
      <c r="B110" s="572">
        <v>61778</v>
      </c>
      <c r="C110" s="572">
        <v>57689</v>
      </c>
      <c r="D110" s="573">
        <f t="shared" ref="D110" si="32">B110+C110</f>
        <v>119467</v>
      </c>
      <c r="E110" s="572">
        <v>30409</v>
      </c>
      <c r="F110" s="572">
        <v>40700</v>
      </c>
      <c r="G110" s="573">
        <f t="shared" ref="G110" si="33">E110+F110</f>
        <v>71109</v>
      </c>
      <c r="H110" s="572">
        <v>2098</v>
      </c>
      <c r="I110" s="572">
        <v>1510</v>
      </c>
      <c r="J110" s="573">
        <f>H110+I110</f>
        <v>3608</v>
      </c>
    </row>
    <row r="111" spans="1:10">
      <c r="A111" s="570" t="s">
        <v>829</v>
      </c>
      <c r="B111" s="545">
        <v>59521</v>
      </c>
      <c r="C111" s="545">
        <v>53157</v>
      </c>
      <c r="D111" s="209">
        <v>112678</v>
      </c>
      <c r="E111" s="545">
        <v>30745</v>
      </c>
      <c r="F111" s="545">
        <v>39132</v>
      </c>
      <c r="G111" s="209">
        <v>69877</v>
      </c>
      <c r="H111" s="545">
        <v>2304</v>
      </c>
      <c r="I111" s="545">
        <v>1404</v>
      </c>
      <c r="J111" s="209">
        <v>3708</v>
      </c>
    </row>
    <row r="112" spans="1:10">
      <c r="A112" s="580" t="s">
        <v>828</v>
      </c>
      <c r="B112" s="515">
        <v>51796</v>
      </c>
      <c r="C112" s="515">
        <v>46523</v>
      </c>
      <c r="D112" s="515">
        <v>98319</v>
      </c>
      <c r="E112" s="515">
        <v>25939</v>
      </c>
      <c r="F112" s="515">
        <v>33950</v>
      </c>
      <c r="G112" s="515">
        <v>59889</v>
      </c>
      <c r="H112" s="515">
        <v>2314</v>
      </c>
      <c r="I112" s="515">
        <v>1856</v>
      </c>
      <c r="J112" s="515">
        <v>4170</v>
      </c>
    </row>
    <row r="113" spans="1:10" ht="15">
      <c r="A113" s="579" t="s">
        <v>31</v>
      </c>
      <c r="B113" s="548"/>
      <c r="C113" s="548"/>
      <c r="D113" s="548"/>
      <c r="E113" s="548"/>
      <c r="F113" s="548"/>
      <c r="G113" s="548"/>
      <c r="H113" s="548"/>
      <c r="I113" s="548"/>
      <c r="J113" s="549"/>
    </row>
    <row r="114" spans="1:10">
      <c r="A114" s="541" t="s">
        <v>832</v>
      </c>
      <c r="B114" s="571">
        <v>68848</v>
      </c>
      <c r="C114" s="571">
        <v>97179</v>
      </c>
      <c r="D114" s="571">
        <v>166027</v>
      </c>
      <c r="E114" s="571">
        <v>51070</v>
      </c>
      <c r="F114" s="571">
        <v>66907</v>
      </c>
      <c r="G114" s="571">
        <v>117977</v>
      </c>
      <c r="H114" s="571">
        <v>1975</v>
      </c>
      <c r="I114" s="571">
        <v>1735</v>
      </c>
      <c r="J114" s="571">
        <v>3710</v>
      </c>
    </row>
    <row r="115" spans="1:10">
      <c r="A115" s="541" t="s">
        <v>831</v>
      </c>
      <c r="B115" s="515">
        <v>67175</v>
      </c>
      <c r="C115" s="515">
        <v>92073</v>
      </c>
      <c r="D115" s="515">
        <v>159248</v>
      </c>
      <c r="E115" s="515">
        <v>48761</v>
      </c>
      <c r="F115" s="515">
        <v>68145</v>
      </c>
      <c r="G115" s="515">
        <v>116906</v>
      </c>
      <c r="H115" s="515">
        <v>1807</v>
      </c>
      <c r="I115" s="515">
        <v>1704</v>
      </c>
      <c r="J115" s="515">
        <v>3511</v>
      </c>
    </row>
    <row r="116" spans="1:10">
      <c r="A116" s="541" t="s">
        <v>830</v>
      </c>
      <c r="B116" s="572">
        <v>63875</v>
      </c>
      <c r="C116" s="572">
        <v>85316</v>
      </c>
      <c r="D116" s="573">
        <f t="shared" ref="D116" si="34">B116+C116</f>
        <v>149191</v>
      </c>
      <c r="E116" s="572">
        <v>48606</v>
      </c>
      <c r="F116" s="572">
        <v>68548</v>
      </c>
      <c r="G116" s="573">
        <f t="shared" ref="G116" si="35">E116+F116</f>
        <v>117154</v>
      </c>
      <c r="H116" s="572">
        <v>1388</v>
      </c>
      <c r="I116" s="572">
        <v>1356</v>
      </c>
      <c r="J116" s="573">
        <f>H116+I116</f>
        <v>2744</v>
      </c>
    </row>
    <row r="117" spans="1:10">
      <c r="A117" s="570" t="s">
        <v>829</v>
      </c>
      <c r="B117" s="545">
        <v>55375</v>
      </c>
      <c r="C117" s="545">
        <v>65947</v>
      </c>
      <c r="D117" s="209">
        <v>121322</v>
      </c>
      <c r="E117" s="545">
        <v>44565</v>
      </c>
      <c r="F117" s="545">
        <v>62620</v>
      </c>
      <c r="G117" s="209">
        <v>107185</v>
      </c>
      <c r="H117" s="545">
        <v>1285</v>
      </c>
      <c r="I117" s="545">
        <v>1233</v>
      </c>
      <c r="J117" s="209">
        <v>2518</v>
      </c>
    </row>
    <row r="118" spans="1:10">
      <c r="A118" s="580" t="s">
        <v>828</v>
      </c>
      <c r="B118" s="515">
        <v>49636</v>
      </c>
      <c r="C118" s="515">
        <v>56702</v>
      </c>
      <c r="D118" s="515">
        <v>106338</v>
      </c>
      <c r="E118" s="515">
        <v>40912</v>
      </c>
      <c r="F118" s="515">
        <v>54474</v>
      </c>
      <c r="G118" s="515">
        <v>95386</v>
      </c>
      <c r="H118" s="515">
        <v>1415</v>
      </c>
      <c r="I118" s="515">
        <v>1807</v>
      </c>
      <c r="J118" s="515">
        <v>3222</v>
      </c>
    </row>
    <row r="119" spans="1:10" ht="15">
      <c r="A119" s="579" t="s">
        <v>761</v>
      </c>
      <c r="B119" s="548"/>
      <c r="C119" s="548"/>
      <c r="D119" s="548"/>
      <c r="E119" s="548"/>
      <c r="F119" s="548"/>
      <c r="G119" s="548"/>
      <c r="H119" s="548"/>
      <c r="I119" s="548"/>
      <c r="J119" s="549"/>
    </row>
    <row r="120" spans="1:10">
      <c r="A120" s="541" t="s">
        <v>832</v>
      </c>
      <c r="B120" s="571">
        <v>652</v>
      </c>
      <c r="C120" s="571">
        <v>1302</v>
      </c>
      <c r="D120" s="571">
        <v>1954</v>
      </c>
      <c r="E120" s="571">
        <v>307</v>
      </c>
      <c r="F120" s="571">
        <v>583</v>
      </c>
      <c r="G120" s="571">
        <v>890</v>
      </c>
      <c r="H120" s="571">
        <v>0</v>
      </c>
      <c r="I120" s="571">
        <v>0</v>
      </c>
      <c r="J120" s="571">
        <v>0</v>
      </c>
    </row>
    <row r="121" spans="1:10" ht="15">
      <c r="A121" s="579" t="s">
        <v>32</v>
      </c>
      <c r="B121" s="548"/>
      <c r="C121" s="548"/>
      <c r="D121" s="548"/>
      <c r="E121" s="548"/>
      <c r="F121" s="548"/>
      <c r="G121" s="548"/>
      <c r="H121" s="548"/>
      <c r="I121" s="548"/>
      <c r="J121" s="549"/>
    </row>
    <row r="122" spans="1:10">
      <c r="A122" s="541" t="s">
        <v>832</v>
      </c>
      <c r="B122" s="571">
        <v>70</v>
      </c>
      <c r="C122" s="571">
        <v>256</v>
      </c>
      <c r="D122" s="571">
        <v>326</v>
      </c>
      <c r="E122" s="571">
        <v>0</v>
      </c>
      <c r="F122" s="571">
        <v>0</v>
      </c>
      <c r="G122" s="571">
        <v>0</v>
      </c>
      <c r="H122" s="571">
        <v>0</v>
      </c>
      <c r="I122" s="571">
        <v>0</v>
      </c>
      <c r="J122" s="571">
        <v>0</v>
      </c>
    </row>
    <row r="123" spans="1:10">
      <c r="A123" s="541" t="s">
        <v>831</v>
      </c>
      <c r="B123" s="515">
        <v>64</v>
      </c>
      <c r="C123" s="515">
        <v>246</v>
      </c>
      <c r="D123" s="515">
        <v>310</v>
      </c>
      <c r="E123" s="515">
        <v>0</v>
      </c>
      <c r="F123" s="515">
        <v>0</v>
      </c>
      <c r="G123" s="515">
        <v>0</v>
      </c>
      <c r="H123" s="515">
        <v>0</v>
      </c>
      <c r="I123" s="515">
        <v>0</v>
      </c>
      <c r="J123" s="515">
        <v>0</v>
      </c>
    </row>
    <row r="124" spans="1:10">
      <c r="A124" s="541" t="s">
        <v>830</v>
      </c>
      <c r="B124" s="572">
        <v>56</v>
      </c>
      <c r="C124" s="572">
        <v>182</v>
      </c>
      <c r="D124" s="573">
        <f t="shared" ref="D124" si="36">B124+C124</f>
        <v>238</v>
      </c>
      <c r="E124" s="572">
        <v>0</v>
      </c>
      <c r="F124" s="572">
        <v>0</v>
      </c>
      <c r="G124" s="573">
        <f t="shared" ref="G124" si="37">E124+F124</f>
        <v>0</v>
      </c>
      <c r="H124" s="572">
        <v>0</v>
      </c>
      <c r="I124" s="572">
        <v>0</v>
      </c>
      <c r="J124" s="573">
        <f>H124+I124</f>
        <v>0</v>
      </c>
    </row>
    <row r="125" spans="1:10">
      <c r="A125" s="570" t="s">
        <v>829</v>
      </c>
      <c r="B125" s="545">
        <v>61</v>
      </c>
      <c r="C125" s="545">
        <v>137</v>
      </c>
      <c r="D125" s="209">
        <v>198</v>
      </c>
      <c r="E125" s="545">
        <v>0</v>
      </c>
      <c r="F125" s="545">
        <v>0</v>
      </c>
      <c r="G125" s="209">
        <v>0</v>
      </c>
      <c r="H125" s="545">
        <v>0</v>
      </c>
      <c r="I125" s="545">
        <v>0</v>
      </c>
      <c r="J125" s="209">
        <v>0</v>
      </c>
    </row>
    <row r="126" spans="1:10">
      <c r="A126" s="580" t="s">
        <v>828</v>
      </c>
      <c r="B126" s="515">
        <v>68</v>
      </c>
      <c r="C126" s="515">
        <v>137</v>
      </c>
      <c r="D126" s="515">
        <v>205</v>
      </c>
      <c r="E126" s="515">
        <v>0</v>
      </c>
      <c r="F126" s="515">
        <v>0</v>
      </c>
      <c r="G126" s="515">
        <v>0</v>
      </c>
      <c r="H126" s="515">
        <v>0</v>
      </c>
      <c r="I126" s="515">
        <v>0</v>
      </c>
      <c r="J126" s="515">
        <v>0</v>
      </c>
    </row>
    <row r="127" spans="1:10" ht="15">
      <c r="A127" s="579" t="s">
        <v>33</v>
      </c>
      <c r="B127" s="548"/>
      <c r="C127" s="548"/>
      <c r="D127" s="548"/>
      <c r="E127" s="548"/>
      <c r="F127" s="548"/>
      <c r="G127" s="548"/>
      <c r="H127" s="548"/>
      <c r="I127" s="548"/>
      <c r="J127" s="549"/>
    </row>
    <row r="128" spans="1:10">
      <c r="A128" s="541" t="s">
        <v>832</v>
      </c>
      <c r="B128" s="571">
        <v>24366</v>
      </c>
      <c r="C128" s="571">
        <v>19923</v>
      </c>
      <c r="D128" s="571">
        <v>44289</v>
      </c>
      <c r="E128" s="571">
        <v>12788</v>
      </c>
      <c r="F128" s="571">
        <v>12749</v>
      </c>
      <c r="G128" s="571">
        <v>25537</v>
      </c>
      <c r="H128" s="571">
        <v>1403</v>
      </c>
      <c r="I128" s="571">
        <v>1039</v>
      </c>
      <c r="J128" s="571">
        <v>2442</v>
      </c>
    </row>
    <row r="129" spans="1:10">
      <c r="A129" s="541" t="s">
        <v>831</v>
      </c>
      <c r="B129" s="571">
        <v>20195</v>
      </c>
      <c r="C129" s="571">
        <v>16562</v>
      </c>
      <c r="D129" s="571">
        <v>36757</v>
      </c>
      <c r="E129" s="571">
        <v>14070</v>
      </c>
      <c r="F129" s="571">
        <v>11958</v>
      </c>
      <c r="G129" s="571">
        <v>26028</v>
      </c>
      <c r="H129" s="571">
        <v>1763</v>
      </c>
      <c r="I129" s="571">
        <v>1565</v>
      </c>
      <c r="J129" s="571">
        <v>3328</v>
      </c>
    </row>
    <row r="130" spans="1:10">
      <c r="A130" s="541" t="s">
        <v>830</v>
      </c>
      <c r="B130" s="572">
        <v>22406</v>
      </c>
      <c r="C130" s="572">
        <v>17062</v>
      </c>
      <c r="D130" s="573">
        <f t="shared" ref="D130" si="38">B130+C130</f>
        <v>39468</v>
      </c>
      <c r="E130" s="572">
        <v>7038</v>
      </c>
      <c r="F130" s="572">
        <v>8692</v>
      </c>
      <c r="G130" s="573">
        <f t="shared" ref="G130" si="39">E130+F130</f>
        <v>15730</v>
      </c>
      <c r="H130" s="572">
        <v>1781</v>
      </c>
      <c r="I130" s="572">
        <v>1099</v>
      </c>
      <c r="J130" s="573">
        <f>H130+I130</f>
        <v>2880</v>
      </c>
    </row>
    <row r="131" spans="1:10">
      <c r="A131" s="570" t="s">
        <v>829</v>
      </c>
      <c r="B131" s="545">
        <v>19017</v>
      </c>
      <c r="C131" s="545">
        <v>15233</v>
      </c>
      <c r="D131" s="209">
        <v>34250</v>
      </c>
      <c r="E131" s="545">
        <v>7359</v>
      </c>
      <c r="F131" s="545">
        <v>8268</v>
      </c>
      <c r="G131" s="209">
        <v>15627</v>
      </c>
      <c r="H131" s="545">
        <v>1757</v>
      </c>
      <c r="I131" s="545">
        <v>1428</v>
      </c>
      <c r="J131" s="209">
        <v>3185</v>
      </c>
    </row>
    <row r="132" spans="1:10">
      <c r="A132" s="580" t="s">
        <v>828</v>
      </c>
      <c r="B132" s="515">
        <v>19848</v>
      </c>
      <c r="C132" s="515">
        <v>15581</v>
      </c>
      <c r="D132" s="515">
        <v>35429</v>
      </c>
      <c r="E132" s="515">
        <v>8407</v>
      </c>
      <c r="F132" s="515">
        <v>9113</v>
      </c>
      <c r="G132" s="515">
        <v>17520</v>
      </c>
      <c r="H132" s="515">
        <v>1939</v>
      </c>
      <c r="I132" s="515">
        <v>1221</v>
      </c>
      <c r="J132" s="515">
        <v>3160</v>
      </c>
    </row>
    <row r="133" spans="1:10" ht="15">
      <c r="A133" s="579" t="s">
        <v>34</v>
      </c>
      <c r="B133" s="548"/>
      <c r="C133" s="548"/>
      <c r="D133" s="548"/>
      <c r="E133" s="548"/>
      <c r="F133" s="548"/>
      <c r="G133" s="548"/>
      <c r="H133" s="548"/>
      <c r="I133" s="548"/>
      <c r="J133" s="549"/>
    </row>
    <row r="134" spans="1:10">
      <c r="A134" s="541" t="s">
        <v>832</v>
      </c>
      <c r="B134" s="571">
        <v>83037</v>
      </c>
      <c r="C134" s="571">
        <v>83191</v>
      </c>
      <c r="D134" s="571">
        <v>166228</v>
      </c>
      <c r="E134" s="571">
        <v>46074</v>
      </c>
      <c r="F134" s="571">
        <v>49948</v>
      </c>
      <c r="G134" s="571">
        <v>96022</v>
      </c>
      <c r="H134" s="571">
        <v>4714</v>
      </c>
      <c r="I134" s="571">
        <v>3083</v>
      </c>
      <c r="J134" s="571">
        <v>7797</v>
      </c>
    </row>
    <row r="135" spans="1:10">
      <c r="A135" s="541" t="s">
        <v>831</v>
      </c>
      <c r="B135" s="571">
        <v>78777</v>
      </c>
      <c r="C135" s="571">
        <v>73589</v>
      </c>
      <c r="D135" s="571">
        <v>152366</v>
      </c>
      <c r="E135" s="571">
        <v>41535</v>
      </c>
      <c r="F135" s="571">
        <v>43125</v>
      </c>
      <c r="G135" s="571">
        <v>84660</v>
      </c>
      <c r="H135" s="571">
        <v>4400</v>
      </c>
      <c r="I135" s="571">
        <v>3535</v>
      </c>
      <c r="J135" s="571">
        <v>7935</v>
      </c>
    </row>
    <row r="136" spans="1:10">
      <c r="A136" s="541" t="s">
        <v>830</v>
      </c>
      <c r="B136" s="572">
        <v>79997</v>
      </c>
      <c r="C136" s="572">
        <v>71393</v>
      </c>
      <c r="D136" s="573">
        <f t="shared" ref="D136" si="40">B136+C136</f>
        <v>151390</v>
      </c>
      <c r="E136" s="572">
        <v>39357</v>
      </c>
      <c r="F136" s="572">
        <v>42592</v>
      </c>
      <c r="G136" s="573">
        <f t="shared" ref="G136" si="41">E136+F136</f>
        <v>81949</v>
      </c>
      <c r="H136" s="572">
        <v>4935</v>
      </c>
      <c r="I136" s="572">
        <v>2971</v>
      </c>
      <c r="J136" s="573">
        <f>H136+I136</f>
        <v>7906</v>
      </c>
    </row>
    <row r="137" spans="1:10">
      <c r="A137" s="570" t="s">
        <v>829</v>
      </c>
      <c r="B137" s="545">
        <v>73263</v>
      </c>
      <c r="C137" s="545">
        <v>65016</v>
      </c>
      <c r="D137" s="209">
        <v>138279</v>
      </c>
      <c r="E137" s="545">
        <v>35649</v>
      </c>
      <c r="F137" s="545">
        <v>37680</v>
      </c>
      <c r="G137" s="209">
        <v>73329</v>
      </c>
      <c r="H137" s="545">
        <v>4298</v>
      </c>
      <c r="I137" s="545">
        <v>2519</v>
      </c>
      <c r="J137" s="209">
        <v>6817</v>
      </c>
    </row>
    <row r="138" spans="1:10">
      <c r="A138" s="580" t="s">
        <v>828</v>
      </c>
      <c r="B138" s="515">
        <v>65641</v>
      </c>
      <c r="C138" s="515">
        <v>57000</v>
      </c>
      <c r="D138" s="515">
        <v>122641</v>
      </c>
      <c r="E138" s="515">
        <v>35820</v>
      </c>
      <c r="F138" s="515">
        <v>35628</v>
      </c>
      <c r="G138" s="515">
        <v>71448</v>
      </c>
      <c r="H138" s="515">
        <v>3265</v>
      </c>
      <c r="I138" s="515">
        <v>2525</v>
      </c>
      <c r="J138" s="515">
        <v>5790</v>
      </c>
    </row>
    <row r="139" spans="1:10" ht="15">
      <c r="A139" s="579" t="s">
        <v>35</v>
      </c>
      <c r="B139" s="548"/>
      <c r="C139" s="548"/>
      <c r="D139" s="548"/>
      <c r="E139" s="548"/>
      <c r="F139" s="548"/>
      <c r="G139" s="548"/>
      <c r="H139" s="548"/>
      <c r="I139" s="548"/>
      <c r="J139" s="549"/>
    </row>
    <row r="140" spans="1:10">
      <c r="A140" s="541" t="s">
        <v>832</v>
      </c>
      <c r="B140" s="571">
        <v>3380</v>
      </c>
      <c r="C140" s="571">
        <v>3099</v>
      </c>
      <c r="D140" s="571">
        <v>6479</v>
      </c>
      <c r="E140" s="571">
        <v>1977</v>
      </c>
      <c r="F140" s="571">
        <v>2409</v>
      </c>
      <c r="G140" s="571">
        <v>4386</v>
      </c>
      <c r="H140" s="571">
        <v>88</v>
      </c>
      <c r="I140" s="571">
        <v>80</v>
      </c>
      <c r="J140" s="571">
        <v>168</v>
      </c>
    </row>
    <row r="141" spans="1:10">
      <c r="A141" s="541" t="s">
        <v>831</v>
      </c>
      <c r="B141" s="571">
        <v>3047</v>
      </c>
      <c r="C141" s="571">
        <v>2554</v>
      </c>
      <c r="D141" s="571">
        <v>5601</v>
      </c>
      <c r="E141" s="571">
        <v>1496</v>
      </c>
      <c r="F141" s="571">
        <v>1623</v>
      </c>
      <c r="G141" s="571">
        <v>3119</v>
      </c>
      <c r="H141" s="571">
        <v>81</v>
      </c>
      <c r="I141" s="571">
        <v>48</v>
      </c>
      <c r="J141" s="571">
        <v>129</v>
      </c>
    </row>
    <row r="142" spans="1:10">
      <c r="A142" s="541" t="s">
        <v>830</v>
      </c>
      <c r="B142" s="572">
        <v>2548</v>
      </c>
      <c r="C142" s="572">
        <v>2336</v>
      </c>
      <c r="D142" s="573">
        <f t="shared" ref="D142" si="42">B142+C142</f>
        <v>4884</v>
      </c>
      <c r="E142" s="572">
        <v>3046</v>
      </c>
      <c r="F142" s="572">
        <v>3126</v>
      </c>
      <c r="G142" s="573">
        <f t="shared" ref="G142" si="43">E142+F142</f>
        <v>6172</v>
      </c>
      <c r="H142" s="572">
        <v>67</v>
      </c>
      <c r="I142" s="572">
        <v>32</v>
      </c>
      <c r="J142" s="573">
        <f>H142+I142</f>
        <v>99</v>
      </c>
    </row>
    <row r="143" spans="1:10">
      <c r="A143" s="570" t="s">
        <v>829</v>
      </c>
      <c r="B143" s="545">
        <v>1696</v>
      </c>
      <c r="C143" s="545">
        <v>1833</v>
      </c>
      <c r="D143" s="209">
        <v>3529</v>
      </c>
      <c r="E143" s="545">
        <v>2793</v>
      </c>
      <c r="F143" s="545">
        <v>2722</v>
      </c>
      <c r="G143" s="209">
        <v>5515</v>
      </c>
      <c r="H143" s="545">
        <v>79</v>
      </c>
      <c r="I143" s="545">
        <v>41</v>
      </c>
      <c r="J143" s="209">
        <v>120</v>
      </c>
    </row>
    <row r="144" spans="1:10">
      <c r="A144" s="580" t="s">
        <v>828</v>
      </c>
      <c r="B144" s="515">
        <v>1957</v>
      </c>
      <c r="C144" s="515">
        <v>1589</v>
      </c>
      <c r="D144" s="515">
        <v>3546</v>
      </c>
      <c r="E144" s="515">
        <v>2115</v>
      </c>
      <c r="F144" s="515">
        <v>1768</v>
      </c>
      <c r="G144" s="515">
        <v>3883</v>
      </c>
      <c r="H144" s="515">
        <v>35</v>
      </c>
      <c r="I144" s="515">
        <v>51</v>
      </c>
      <c r="J144" s="515">
        <v>86</v>
      </c>
    </row>
    <row r="145" spans="1:10" ht="15">
      <c r="A145" s="579" t="s">
        <v>36</v>
      </c>
      <c r="B145" s="548"/>
      <c r="C145" s="548"/>
      <c r="D145" s="548"/>
      <c r="E145" s="548"/>
      <c r="F145" s="548"/>
      <c r="G145" s="548"/>
      <c r="H145" s="548"/>
      <c r="I145" s="548"/>
      <c r="J145" s="549"/>
    </row>
    <row r="146" spans="1:10">
      <c r="A146" s="541" t="s">
        <v>832</v>
      </c>
      <c r="B146" s="571">
        <v>1177</v>
      </c>
      <c r="C146" s="571">
        <v>901</v>
      </c>
      <c r="D146" s="571">
        <v>2078</v>
      </c>
      <c r="E146" s="571">
        <v>10928</v>
      </c>
      <c r="F146" s="571">
        <v>13402</v>
      </c>
      <c r="G146" s="571">
        <v>24330</v>
      </c>
      <c r="H146" s="571">
        <v>204</v>
      </c>
      <c r="I146" s="571">
        <v>163</v>
      </c>
      <c r="J146" s="571">
        <v>367</v>
      </c>
    </row>
    <row r="147" spans="1:10">
      <c r="A147" s="541" t="s">
        <v>831</v>
      </c>
      <c r="B147" s="571">
        <v>1318</v>
      </c>
      <c r="C147" s="571">
        <v>934</v>
      </c>
      <c r="D147" s="571">
        <v>2252</v>
      </c>
      <c r="E147" s="571">
        <v>10694</v>
      </c>
      <c r="F147" s="571">
        <v>13278</v>
      </c>
      <c r="G147" s="571">
        <v>23972</v>
      </c>
      <c r="H147" s="571">
        <v>110</v>
      </c>
      <c r="I147" s="571">
        <v>182</v>
      </c>
      <c r="J147" s="571">
        <v>292</v>
      </c>
    </row>
    <row r="148" spans="1:10">
      <c r="A148" s="541" t="s">
        <v>830</v>
      </c>
      <c r="B148" s="572">
        <v>891</v>
      </c>
      <c r="C148" s="572">
        <v>588</v>
      </c>
      <c r="D148" s="573">
        <f t="shared" ref="D148" si="44">B148+C148</f>
        <v>1479</v>
      </c>
      <c r="E148" s="572">
        <v>10951</v>
      </c>
      <c r="F148" s="572">
        <v>12522</v>
      </c>
      <c r="G148" s="573">
        <f t="shared" ref="G148" si="45">E148+F148</f>
        <v>23473</v>
      </c>
      <c r="H148" s="572">
        <v>35</v>
      </c>
      <c r="I148" s="572">
        <v>30</v>
      </c>
      <c r="J148" s="573">
        <f>H148+I148</f>
        <v>65</v>
      </c>
    </row>
    <row r="149" spans="1:10">
      <c r="A149" s="570" t="s">
        <v>829</v>
      </c>
      <c r="B149" s="545">
        <v>796</v>
      </c>
      <c r="C149" s="545">
        <v>500</v>
      </c>
      <c r="D149" s="209">
        <v>1296</v>
      </c>
      <c r="E149" s="545">
        <v>12633</v>
      </c>
      <c r="F149" s="545">
        <v>15000</v>
      </c>
      <c r="G149" s="209">
        <v>27633</v>
      </c>
      <c r="H149" s="545">
        <v>35</v>
      </c>
      <c r="I149" s="545">
        <v>16</v>
      </c>
      <c r="J149" s="209">
        <v>51</v>
      </c>
    </row>
    <row r="150" spans="1:10">
      <c r="A150" s="580" t="s">
        <v>828</v>
      </c>
      <c r="B150" s="515">
        <v>738</v>
      </c>
      <c r="C150" s="515">
        <v>354</v>
      </c>
      <c r="D150" s="515">
        <v>1092</v>
      </c>
      <c r="E150" s="515">
        <v>7206</v>
      </c>
      <c r="F150" s="515">
        <v>8411</v>
      </c>
      <c r="G150" s="515">
        <v>15617</v>
      </c>
      <c r="H150" s="515">
        <v>31</v>
      </c>
      <c r="I150" s="515">
        <v>15</v>
      </c>
      <c r="J150" s="515">
        <v>46</v>
      </c>
    </row>
    <row r="151" spans="1:10" ht="15">
      <c r="A151" s="579" t="s">
        <v>37</v>
      </c>
      <c r="B151" s="548"/>
      <c r="C151" s="548"/>
      <c r="D151" s="548"/>
      <c r="E151" s="548"/>
      <c r="F151" s="548"/>
      <c r="G151" s="548"/>
      <c r="H151" s="548"/>
      <c r="I151" s="548"/>
      <c r="J151" s="549"/>
    </row>
    <row r="152" spans="1:10">
      <c r="A152" s="541" t="s">
        <v>832</v>
      </c>
      <c r="B152" s="571">
        <v>48</v>
      </c>
      <c r="C152" s="571">
        <v>22</v>
      </c>
      <c r="D152" s="571">
        <v>70</v>
      </c>
      <c r="E152" s="571">
        <v>8560</v>
      </c>
      <c r="F152" s="571">
        <v>8270</v>
      </c>
      <c r="G152" s="571">
        <v>16830</v>
      </c>
      <c r="H152" s="571">
        <v>15</v>
      </c>
      <c r="I152" s="571">
        <v>8</v>
      </c>
      <c r="J152" s="571">
        <v>23</v>
      </c>
    </row>
    <row r="153" spans="1:10">
      <c r="A153" s="541" t="s">
        <v>831</v>
      </c>
      <c r="B153" s="571">
        <v>54</v>
      </c>
      <c r="C153" s="571">
        <v>29</v>
      </c>
      <c r="D153" s="571">
        <v>83</v>
      </c>
      <c r="E153" s="571">
        <v>9675</v>
      </c>
      <c r="F153" s="571">
        <v>8980</v>
      </c>
      <c r="G153" s="571">
        <v>18655</v>
      </c>
      <c r="H153" s="571">
        <v>12</v>
      </c>
      <c r="I153" s="571">
        <v>14</v>
      </c>
      <c r="J153" s="571">
        <v>26</v>
      </c>
    </row>
    <row r="154" spans="1:10">
      <c r="A154" s="541" t="s">
        <v>830</v>
      </c>
      <c r="B154" s="572">
        <v>58</v>
      </c>
      <c r="C154" s="572">
        <v>10</v>
      </c>
      <c r="D154" s="573">
        <f t="shared" ref="D154" si="46">B154+C154</f>
        <v>68</v>
      </c>
      <c r="E154" s="572">
        <v>11861</v>
      </c>
      <c r="F154" s="572">
        <v>11377</v>
      </c>
      <c r="G154" s="573">
        <f t="shared" ref="G154" si="47">E154+F154</f>
        <v>23238</v>
      </c>
      <c r="H154" s="572">
        <v>14</v>
      </c>
      <c r="I154" s="572">
        <v>14</v>
      </c>
      <c r="J154" s="573">
        <f>H154+I154</f>
        <v>28</v>
      </c>
    </row>
    <row r="155" spans="1:10">
      <c r="A155" s="570" t="s">
        <v>829</v>
      </c>
      <c r="B155" s="545">
        <v>49</v>
      </c>
      <c r="C155" s="545">
        <v>3</v>
      </c>
      <c r="D155" s="209">
        <v>52</v>
      </c>
      <c r="E155" s="545">
        <v>11924</v>
      </c>
      <c r="F155" s="545">
        <v>11110</v>
      </c>
      <c r="G155" s="209">
        <v>23034</v>
      </c>
      <c r="H155" s="545">
        <v>8</v>
      </c>
      <c r="I155" s="545">
        <v>7</v>
      </c>
      <c r="J155" s="209">
        <v>15</v>
      </c>
    </row>
    <row r="156" spans="1:10">
      <c r="A156" s="580" t="s">
        <v>828</v>
      </c>
      <c r="B156" s="515">
        <v>35</v>
      </c>
      <c r="C156" s="515">
        <v>5</v>
      </c>
      <c r="D156" s="515">
        <v>40</v>
      </c>
      <c r="E156" s="515">
        <v>12912</v>
      </c>
      <c r="F156" s="515">
        <v>12042</v>
      </c>
      <c r="G156" s="515">
        <v>24954</v>
      </c>
      <c r="H156" s="515">
        <v>5</v>
      </c>
      <c r="I156" s="515">
        <v>3</v>
      </c>
      <c r="J156" s="515">
        <v>8</v>
      </c>
    </row>
    <row r="157" spans="1:10" ht="15">
      <c r="A157" s="579" t="s">
        <v>38</v>
      </c>
      <c r="B157" s="548"/>
      <c r="C157" s="548"/>
      <c r="D157" s="548"/>
      <c r="E157" s="548"/>
      <c r="F157" s="548"/>
      <c r="G157" s="548"/>
      <c r="H157" s="548"/>
      <c r="I157" s="548"/>
      <c r="J157" s="549"/>
    </row>
    <row r="158" spans="1:10">
      <c r="A158" s="541" t="s">
        <v>832</v>
      </c>
      <c r="B158" s="571">
        <v>100</v>
      </c>
      <c r="C158" s="571">
        <v>112</v>
      </c>
      <c r="D158" s="571">
        <v>212</v>
      </c>
      <c r="E158" s="571">
        <v>7118</v>
      </c>
      <c r="F158" s="571">
        <v>8878</v>
      </c>
      <c r="G158" s="571">
        <v>15996</v>
      </c>
      <c r="H158" s="571">
        <v>17</v>
      </c>
      <c r="I158" s="571">
        <v>19</v>
      </c>
      <c r="J158" s="571">
        <v>36</v>
      </c>
    </row>
    <row r="159" spans="1:10">
      <c r="A159" s="541" t="s">
        <v>831</v>
      </c>
      <c r="B159" s="571">
        <v>89</v>
      </c>
      <c r="C159" s="571">
        <v>115</v>
      </c>
      <c r="D159" s="571">
        <v>204</v>
      </c>
      <c r="E159" s="571">
        <v>8214</v>
      </c>
      <c r="F159" s="571">
        <v>10155</v>
      </c>
      <c r="G159" s="571">
        <v>18369</v>
      </c>
      <c r="H159" s="571">
        <v>9</v>
      </c>
      <c r="I159" s="571">
        <v>15</v>
      </c>
      <c r="J159" s="571">
        <v>24</v>
      </c>
    </row>
    <row r="160" spans="1:10">
      <c r="A160" s="541" t="s">
        <v>830</v>
      </c>
      <c r="B160" s="572">
        <v>103</v>
      </c>
      <c r="C160" s="572">
        <v>112</v>
      </c>
      <c r="D160" s="573">
        <f t="shared" ref="D160" si="48">B160+C160</f>
        <v>215</v>
      </c>
      <c r="E160" s="572">
        <v>6551</v>
      </c>
      <c r="F160" s="572">
        <v>7988</v>
      </c>
      <c r="G160" s="573">
        <f t="shared" ref="G160" si="49">E160+F160</f>
        <v>14539</v>
      </c>
      <c r="H160" s="572">
        <v>7</v>
      </c>
      <c r="I160" s="572">
        <v>6</v>
      </c>
      <c r="J160" s="573">
        <f>H160+I160</f>
        <v>13</v>
      </c>
    </row>
    <row r="161" spans="1:10">
      <c r="A161" s="570" t="s">
        <v>829</v>
      </c>
      <c r="B161" s="545">
        <v>162</v>
      </c>
      <c r="C161" s="545">
        <v>133</v>
      </c>
      <c r="D161" s="209">
        <v>295</v>
      </c>
      <c r="E161" s="545">
        <v>5588</v>
      </c>
      <c r="F161" s="545">
        <v>5790</v>
      </c>
      <c r="G161" s="209">
        <v>11378</v>
      </c>
      <c r="H161" s="545">
        <v>13</v>
      </c>
      <c r="I161" s="545">
        <v>12</v>
      </c>
      <c r="J161" s="209">
        <v>25</v>
      </c>
    </row>
    <row r="162" spans="1:10">
      <c r="A162" s="580" t="s">
        <v>828</v>
      </c>
      <c r="B162" s="515">
        <v>180</v>
      </c>
      <c r="C162" s="515">
        <v>139</v>
      </c>
      <c r="D162" s="515">
        <v>319</v>
      </c>
      <c r="E162" s="515">
        <v>5265</v>
      </c>
      <c r="F162" s="515">
        <v>6022</v>
      </c>
      <c r="G162" s="515">
        <v>11287</v>
      </c>
      <c r="H162" s="515">
        <v>12</v>
      </c>
      <c r="I162" s="515">
        <v>8</v>
      </c>
      <c r="J162" s="515">
        <v>20</v>
      </c>
    </row>
    <row r="163" spans="1:10" ht="15">
      <c r="A163" s="579" t="s">
        <v>39</v>
      </c>
      <c r="B163" s="548"/>
      <c r="C163" s="548"/>
      <c r="D163" s="548"/>
      <c r="E163" s="548"/>
      <c r="F163" s="548"/>
      <c r="G163" s="548"/>
      <c r="H163" s="548"/>
      <c r="I163" s="548"/>
      <c r="J163" s="549"/>
    </row>
    <row r="164" spans="1:10">
      <c r="A164" s="541" t="s">
        <v>832</v>
      </c>
      <c r="B164" s="571">
        <v>5614</v>
      </c>
      <c r="C164" s="571">
        <v>4232</v>
      </c>
      <c r="D164" s="571">
        <v>9846</v>
      </c>
      <c r="E164" s="571">
        <v>1641</v>
      </c>
      <c r="F164" s="571">
        <v>1918</v>
      </c>
      <c r="G164" s="571">
        <v>3559</v>
      </c>
      <c r="H164" s="571">
        <v>1358</v>
      </c>
      <c r="I164" s="571">
        <v>736</v>
      </c>
      <c r="J164" s="571">
        <v>2094</v>
      </c>
    </row>
    <row r="165" spans="1:10">
      <c r="A165" s="541" t="s">
        <v>831</v>
      </c>
      <c r="B165" s="571">
        <v>5741</v>
      </c>
      <c r="C165" s="571">
        <v>4600</v>
      </c>
      <c r="D165" s="571">
        <v>10341</v>
      </c>
      <c r="E165" s="571">
        <v>1779</v>
      </c>
      <c r="F165" s="571">
        <v>1831</v>
      </c>
      <c r="G165" s="571">
        <v>3610</v>
      </c>
      <c r="H165" s="571">
        <v>1158</v>
      </c>
      <c r="I165" s="571">
        <v>803</v>
      </c>
      <c r="J165" s="571">
        <v>1961</v>
      </c>
    </row>
    <row r="166" spans="1:10">
      <c r="A166" s="541" t="s">
        <v>830</v>
      </c>
      <c r="B166" s="572">
        <v>5862</v>
      </c>
      <c r="C166" s="572">
        <v>5236</v>
      </c>
      <c r="D166" s="573">
        <f t="shared" ref="D166" si="50">B166+C166</f>
        <v>11098</v>
      </c>
      <c r="E166" s="572">
        <v>1645</v>
      </c>
      <c r="F166" s="572">
        <v>1786</v>
      </c>
      <c r="G166" s="573">
        <f t="shared" ref="G166" si="51">E166+F166</f>
        <v>3431</v>
      </c>
      <c r="H166" s="572">
        <v>967</v>
      </c>
      <c r="I166" s="572">
        <v>600</v>
      </c>
      <c r="J166" s="573">
        <f>H166+I166</f>
        <v>1567</v>
      </c>
    </row>
    <row r="167" spans="1:10">
      <c r="A167" s="570" t="s">
        <v>829</v>
      </c>
      <c r="B167" s="545">
        <v>5662</v>
      </c>
      <c r="C167" s="545">
        <v>5248</v>
      </c>
      <c r="D167" s="209">
        <v>10910</v>
      </c>
      <c r="E167" s="545">
        <v>1570</v>
      </c>
      <c r="F167" s="545">
        <v>1927</v>
      </c>
      <c r="G167" s="209">
        <v>3497</v>
      </c>
      <c r="H167" s="545">
        <v>961</v>
      </c>
      <c r="I167" s="545">
        <v>520</v>
      </c>
      <c r="J167" s="209">
        <v>1481</v>
      </c>
    </row>
    <row r="168" spans="1:10">
      <c r="A168" s="580" t="s">
        <v>828</v>
      </c>
      <c r="B168" s="515">
        <v>5024</v>
      </c>
      <c r="C168" s="515">
        <v>4782</v>
      </c>
      <c r="D168" s="515">
        <v>9806</v>
      </c>
      <c r="E168" s="515">
        <v>1704</v>
      </c>
      <c r="F168" s="515">
        <v>1847</v>
      </c>
      <c r="G168" s="515">
        <v>3551</v>
      </c>
      <c r="H168" s="515">
        <v>757</v>
      </c>
      <c r="I168" s="515">
        <v>517</v>
      </c>
      <c r="J168" s="515">
        <v>1274</v>
      </c>
    </row>
    <row r="169" spans="1:10" ht="15">
      <c r="A169" s="579" t="s">
        <v>40</v>
      </c>
      <c r="B169" s="548"/>
      <c r="C169" s="548"/>
      <c r="D169" s="548"/>
      <c r="E169" s="548"/>
      <c r="F169" s="548"/>
      <c r="G169" s="548"/>
      <c r="H169" s="548"/>
      <c r="I169" s="548"/>
      <c r="J169" s="549"/>
    </row>
    <row r="170" spans="1:10">
      <c r="A170" s="541" t="s">
        <v>832</v>
      </c>
      <c r="B170" s="571">
        <v>1637</v>
      </c>
      <c r="C170" s="571">
        <v>1489</v>
      </c>
      <c r="D170" s="571">
        <v>3126</v>
      </c>
      <c r="E170" s="571">
        <v>1013</v>
      </c>
      <c r="F170" s="571">
        <v>2025</v>
      </c>
      <c r="G170" s="571">
        <v>3038</v>
      </c>
      <c r="H170" s="571">
        <v>131</v>
      </c>
      <c r="I170" s="571">
        <v>154</v>
      </c>
      <c r="J170" s="571">
        <v>285</v>
      </c>
    </row>
    <row r="171" spans="1:10">
      <c r="A171" s="541" t="s">
        <v>831</v>
      </c>
      <c r="B171" s="571">
        <v>1456</v>
      </c>
      <c r="C171" s="571">
        <v>1197</v>
      </c>
      <c r="D171" s="571">
        <v>2653</v>
      </c>
      <c r="E171" s="571">
        <v>950</v>
      </c>
      <c r="F171" s="571">
        <v>1894</v>
      </c>
      <c r="G171" s="571">
        <v>2844</v>
      </c>
      <c r="H171" s="571">
        <v>158</v>
      </c>
      <c r="I171" s="571">
        <v>99</v>
      </c>
      <c r="J171" s="571">
        <v>257</v>
      </c>
    </row>
    <row r="172" spans="1:10">
      <c r="A172" s="541" t="s">
        <v>830</v>
      </c>
      <c r="B172" s="572">
        <v>1395</v>
      </c>
      <c r="C172" s="572">
        <v>1060</v>
      </c>
      <c r="D172" s="573">
        <f t="shared" ref="D172" si="52">B172+C172</f>
        <v>2455</v>
      </c>
      <c r="E172" s="572">
        <v>904</v>
      </c>
      <c r="F172" s="572">
        <v>1794</v>
      </c>
      <c r="G172" s="573">
        <f t="shared" ref="G172" si="53">E172+F172</f>
        <v>2698</v>
      </c>
      <c r="H172" s="572">
        <v>122</v>
      </c>
      <c r="I172" s="572">
        <v>83</v>
      </c>
      <c r="J172" s="573">
        <f>H172+I172</f>
        <v>205</v>
      </c>
    </row>
    <row r="173" spans="1:10">
      <c r="A173" s="570" t="s">
        <v>829</v>
      </c>
      <c r="B173" s="545">
        <v>1479</v>
      </c>
      <c r="C173" s="545">
        <v>1218</v>
      </c>
      <c r="D173" s="209">
        <v>2697</v>
      </c>
      <c r="E173" s="545">
        <v>807</v>
      </c>
      <c r="F173" s="545">
        <v>1841</v>
      </c>
      <c r="G173" s="209">
        <v>2648</v>
      </c>
      <c r="H173" s="545">
        <v>123</v>
      </c>
      <c r="I173" s="545">
        <v>71</v>
      </c>
      <c r="J173" s="209">
        <v>194</v>
      </c>
    </row>
    <row r="174" spans="1:10">
      <c r="A174" s="580" t="s">
        <v>828</v>
      </c>
      <c r="B174" s="515">
        <v>1359</v>
      </c>
      <c r="C174" s="515">
        <v>1046</v>
      </c>
      <c r="D174" s="515">
        <v>2405</v>
      </c>
      <c r="E174" s="515">
        <v>985</v>
      </c>
      <c r="F174" s="515">
        <v>1852</v>
      </c>
      <c r="G174" s="515">
        <v>2837</v>
      </c>
      <c r="H174" s="515">
        <v>110</v>
      </c>
      <c r="I174" s="515">
        <v>56</v>
      </c>
      <c r="J174" s="515">
        <v>166</v>
      </c>
    </row>
    <row r="175" spans="1:10" ht="15">
      <c r="A175" s="579" t="s">
        <v>41</v>
      </c>
      <c r="B175" s="548"/>
      <c r="C175" s="548"/>
      <c r="D175" s="548"/>
      <c r="E175" s="548"/>
      <c r="F175" s="548"/>
      <c r="G175" s="548"/>
      <c r="H175" s="548"/>
      <c r="I175" s="548"/>
      <c r="J175" s="549"/>
    </row>
    <row r="176" spans="1:10">
      <c r="A176" s="541" t="s">
        <v>832</v>
      </c>
      <c r="B176" s="571">
        <v>9558</v>
      </c>
      <c r="C176" s="571">
        <v>4226</v>
      </c>
      <c r="D176" s="571">
        <v>13784</v>
      </c>
      <c r="E176" s="571">
        <v>65018</v>
      </c>
      <c r="F176" s="571">
        <v>77450</v>
      </c>
      <c r="G176" s="571">
        <v>142468</v>
      </c>
      <c r="H176" s="571">
        <v>427</v>
      </c>
      <c r="I176" s="571">
        <v>311</v>
      </c>
      <c r="J176" s="571">
        <v>738</v>
      </c>
    </row>
    <row r="177" spans="1:10">
      <c r="A177" s="541" t="s">
        <v>831</v>
      </c>
      <c r="B177" s="571">
        <v>7526</v>
      </c>
      <c r="C177" s="571">
        <v>3308</v>
      </c>
      <c r="D177" s="571">
        <v>10834</v>
      </c>
      <c r="E177" s="571">
        <v>68769</v>
      </c>
      <c r="F177" s="571">
        <v>88929</v>
      </c>
      <c r="G177" s="571">
        <v>157698</v>
      </c>
      <c r="H177" s="571">
        <v>559</v>
      </c>
      <c r="I177" s="571">
        <v>523</v>
      </c>
      <c r="J177" s="571">
        <v>1082</v>
      </c>
    </row>
    <row r="178" spans="1:10">
      <c r="A178" s="541" t="s">
        <v>830</v>
      </c>
      <c r="B178" s="572">
        <v>6106</v>
      </c>
      <c r="C178" s="572">
        <v>2324</v>
      </c>
      <c r="D178" s="573">
        <f t="shared" ref="D178" si="54">B178+C178</f>
        <v>8430</v>
      </c>
      <c r="E178" s="572">
        <v>62604</v>
      </c>
      <c r="F178" s="572">
        <v>82694</v>
      </c>
      <c r="G178" s="573">
        <f t="shared" ref="G178" si="55">E178+F178</f>
        <v>145298</v>
      </c>
      <c r="H178" s="572">
        <v>499</v>
      </c>
      <c r="I178" s="572">
        <v>335</v>
      </c>
      <c r="J178" s="573">
        <f>H178+I178</f>
        <v>834</v>
      </c>
    </row>
    <row r="179" spans="1:10">
      <c r="A179" s="570" t="s">
        <v>829</v>
      </c>
      <c r="B179" s="545">
        <v>6205</v>
      </c>
      <c r="C179" s="545">
        <v>2258</v>
      </c>
      <c r="D179" s="209">
        <v>8463</v>
      </c>
      <c r="E179" s="545">
        <v>67548</v>
      </c>
      <c r="F179" s="545">
        <v>82447</v>
      </c>
      <c r="G179" s="209">
        <v>149995</v>
      </c>
      <c r="H179" s="545">
        <v>557</v>
      </c>
      <c r="I179" s="545">
        <v>291</v>
      </c>
      <c r="J179" s="209">
        <v>848</v>
      </c>
    </row>
    <row r="180" spans="1:10">
      <c r="A180" s="580" t="s">
        <v>828</v>
      </c>
      <c r="B180" s="515">
        <v>5466</v>
      </c>
      <c r="C180" s="515">
        <v>1959</v>
      </c>
      <c r="D180" s="515">
        <v>7425</v>
      </c>
      <c r="E180" s="515">
        <v>60109</v>
      </c>
      <c r="F180" s="515">
        <v>71975</v>
      </c>
      <c r="G180" s="515">
        <v>132084</v>
      </c>
      <c r="H180" s="515">
        <v>488</v>
      </c>
      <c r="I180" s="515">
        <v>454</v>
      </c>
      <c r="J180" s="515">
        <v>942</v>
      </c>
    </row>
    <row r="181" spans="1:10" ht="15">
      <c r="A181" s="579" t="s">
        <v>42</v>
      </c>
      <c r="B181" s="548"/>
      <c r="C181" s="548"/>
      <c r="D181" s="548"/>
      <c r="E181" s="548"/>
      <c r="F181" s="548"/>
      <c r="G181" s="548"/>
      <c r="H181" s="548"/>
      <c r="I181" s="548"/>
      <c r="J181" s="549"/>
    </row>
    <row r="182" spans="1:10">
      <c r="A182" s="541" t="s">
        <v>832</v>
      </c>
      <c r="B182" s="571">
        <v>25128</v>
      </c>
      <c r="C182" s="571">
        <v>19055</v>
      </c>
      <c r="D182" s="571">
        <v>44183</v>
      </c>
      <c r="E182" s="571">
        <v>8366</v>
      </c>
      <c r="F182" s="571">
        <v>10998</v>
      </c>
      <c r="G182" s="571">
        <v>19364</v>
      </c>
      <c r="H182" s="571">
        <v>3442</v>
      </c>
      <c r="I182" s="571">
        <v>6519</v>
      </c>
      <c r="J182" s="571">
        <v>9961</v>
      </c>
    </row>
    <row r="183" spans="1:10">
      <c r="A183" s="541" t="s">
        <v>831</v>
      </c>
      <c r="B183" s="571">
        <v>26100</v>
      </c>
      <c r="C183" s="571">
        <v>18258</v>
      </c>
      <c r="D183" s="571">
        <v>44358</v>
      </c>
      <c r="E183" s="571">
        <v>7629</v>
      </c>
      <c r="F183" s="571">
        <v>10011</v>
      </c>
      <c r="G183" s="571">
        <v>17640</v>
      </c>
      <c r="H183" s="571">
        <v>2848</v>
      </c>
      <c r="I183" s="571">
        <v>1864</v>
      </c>
      <c r="J183" s="571">
        <v>4712</v>
      </c>
    </row>
    <row r="184" spans="1:10">
      <c r="A184" s="541" t="s">
        <v>830</v>
      </c>
      <c r="B184" s="572">
        <v>22280</v>
      </c>
      <c r="C184" s="572">
        <v>16276</v>
      </c>
      <c r="D184" s="573">
        <f t="shared" ref="D184" si="56">B184+C184</f>
        <v>38556</v>
      </c>
      <c r="E184" s="572">
        <v>7776</v>
      </c>
      <c r="F184" s="572">
        <v>10198</v>
      </c>
      <c r="G184" s="573">
        <f t="shared" ref="G184" si="57">E184+F184</f>
        <v>17974</v>
      </c>
      <c r="H184" s="572">
        <v>2528</v>
      </c>
      <c r="I184" s="572">
        <v>2496</v>
      </c>
      <c r="J184" s="573">
        <f>H184+I184</f>
        <v>5024</v>
      </c>
    </row>
    <row r="185" spans="1:10">
      <c r="A185" s="570" t="s">
        <v>829</v>
      </c>
      <c r="B185" s="545">
        <v>19885</v>
      </c>
      <c r="C185" s="545">
        <v>13909</v>
      </c>
      <c r="D185" s="209">
        <v>33794</v>
      </c>
      <c r="E185" s="545">
        <v>5919</v>
      </c>
      <c r="F185" s="545">
        <v>8955</v>
      </c>
      <c r="G185" s="209">
        <v>14874</v>
      </c>
      <c r="H185" s="545">
        <v>1943</v>
      </c>
      <c r="I185" s="545">
        <v>983</v>
      </c>
      <c r="J185" s="209">
        <v>2926</v>
      </c>
    </row>
    <row r="186" spans="1:10">
      <c r="A186" s="580" t="s">
        <v>828</v>
      </c>
      <c r="B186" s="515">
        <v>19657</v>
      </c>
      <c r="C186" s="515">
        <v>13301</v>
      </c>
      <c r="D186" s="515">
        <v>32958</v>
      </c>
      <c r="E186" s="515">
        <v>6188</v>
      </c>
      <c r="F186" s="515">
        <v>7253</v>
      </c>
      <c r="G186" s="515">
        <v>13441</v>
      </c>
      <c r="H186" s="515">
        <v>1268</v>
      </c>
      <c r="I186" s="515">
        <v>1175</v>
      </c>
      <c r="J186" s="515">
        <v>2443</v>
      </c>
    </row>
    <row r="187" spans="1:10" ht="15">
      <c r="A187" s="579" t="s">
        <v>43</v>
      </c>
      <c r="B187" s="548"/>
      <c r="C187" s="548"/>
      <c r="D187" s="548"/>
      <c r="E187" s="548"/>
      <c r="F187" s="548"/>
      <c r="G187" s="548"/>
      <c r="H187" s="548"/>
      <c r="I187" s="548"/>
      <c r="J187" s="549"/>
    </row>
    <row r="188" spans="1:10">
      <c r="A188" s="541" t="s">
        <v>832</v>
      </c>
      <c r="B188" s="571">
        <v>96</v>
      </c>
      <c r="C188" s="571">
        <v>50</v>
      </c>
      <c r="D188" s="571">
        <v>146</v>
      </c>
      <c r="E188" s="571">
        <v>223</v>
      </c>
      <c r="F188" s="571">
        <v>502</v>
      </c>
      <c r="G188" s="571">
        <v>725</v>
      </c>
      <c r="H188" s="571">
        <v>8</v>
      </c>
      <c r="I188" s="571">
        <v>4</v>
      </c>
      <c r="J188" s="571">
        <v>12</v>
      </c>
    </row>
    <row r="189" spans="1:10">
      <c r="A189" s="541" t="s">
        <v>831</v>
      </c>
      <c r="B189" s="571">
        <v>136</v>
      </c>
      <c r="C189" s="571">
        <v>60</v>
      </c>
      <c r="D189" s="571">
        <v>196</v>
      </c>
      <c r="E189" s="571">
        <v>781</v>
      </c>
      <c r="F189" s="571">
        <v>1346</v>
      </c>
      <c r="G189" s="571">
        <v>2127</v>
      </c>
      <c r="H189" s="571">
        <v>7</v>
      </c>
      <c r="I189" s="571">
        <v>1</v>
      </c>
      <c r="J189" s="571">
        <v>8</v>
      </c>
    </row>
    <row r="190" spans="1:10">
      <c r="A190" s="541" t="s">
        <v>830</v>
      </c>
      <c r="B190" s="572">
        <v>70</v>
      </c>
      <c r="C190" s="572">
        <v>36</v>
      </c>
      <c r="D190" s="573">
        <f t="shared" ref="D190" si="58">B190+C190</f>
        <v>106</v>
      </c>
      <c r="E190" s="572">
        <v>258</v>
      </c>
      <c r="F190" s="572">
        <v>709</v>
      </c>
      <c r="G190" s="573">
        <f t="shared" ref="G190" si="59">E190+F190</f>
        <v>967</v>
      </c>
      <c r="H190" s="572">
        <v>6</v>
      </c>
      <c r="I190" s="572">
        <v>1</v>
      </c>
      <c r="J190" s="573">
        <f>H190+I190</f>
        <v>7</v>
      </c>
    </row>
    <row r="191" spans="1:10">
      <c r="A191" s="570" t="s">
        <v>829</v>
      </c>
      <c r="B191" s="545">
        <v>117</v>
      </c>
      <c r="C191" s="545">
        <v>31</v>
      </c>
      <c r="D191" s="209">
        <v>148</v>
      </c>
      <c r="E191" s="545">
        <v>364</v>
      </c>
      <c r="F191" s="545">
        <v>737</v>
      </c>
      <c r="G191" s="209">
        <v>1101</v>
      </c>
      <c r="H191" s="545">
        <v>7</v>
      </c>
      <c r="I191" s="545">
        <v>3</v>
      </c>
      <c r="J191" s="209">
        <v>10</v>
      </c>
    </row>
    <row r="192" spans="1:10">
      <c r="A192" s="580" t="s">
        <v>828</v>
      </c>
      <c r="B192" s="515">
        <v>69</v>
      </c>
      <c r="C192" s="515">
        <v>32</v>
      </c>
      <c r="D192" s="515">
        <v>101</v>
      </c>
      <c r="E192" s="515">
        <v>254</v>
      </c>
      <c r="F192" s="515">
        <v>358</v>
      </c>
      <c r="G192" s="515">
        <v>612</v>
      </c>
      <c r="H192" s="515">
        <v>2</v>
      </c>
      <c r="I192" s="515">
        <v>3</v>
      </c>
      <c r="J192" s="515">
        <v>5</v>
      </c>
    </row>
    <row r="193" spans="1:10" ht="15">
      <c r="A193" s="579" t="s">
        <v>44</v>
      </c>
      <c r="B193" s="548"/>
      <c r="C193" s="548"/>
      <c r="D193" s="548"/>
      <c r="E193" s="548"/>
      <c r="F193" s="548"/>
      <c r="G193" s="548"/>
      <c r="H193" s="548"/>
      <c r="I193" s="548"/>
      <c r="J193" s="549"/>
    </row>
    <row r="194" spans="1:10">
      <c r="A194" s="541" t="s">
        <v>832</v>
      </c>
      <c r="B194" s="571">
        <v>72794</v>
      </c>
      <c r="C194" s="571">
        <v>56771</v>
      </c>
      <c r="D194" s="571">
        <v>129565</v>
      </c>
      <c r="E194" s="571">
        <v>76670</v>
      </c>
      <c r="F194" s="571">
        <v>87694</v>
      </c>
      <c r="G194" s="571">
        <v>164364</v>
      </c>
      <c r="H194" s="571">
        <v>3464</v>
      </c>
      <c r="I194" s="571">
        <v>7437</v>
      </c>
      <c r="J194" s="571">
        <v>10901</v>
      </c>
    </row>
    <row r="195" spans="1:10">
      <c r="A195" s="541" t="s">
        <v>831</v>
      </c>
      <c r="B195" s="571">
        <v>71882</v>
      </c>
      <c r="C195" s="571">
        <v>51689</v>
      </c>
      <c r="D195" s="571">
        <v>123571</v>
      </c>
      <c r="E195" s="571">
        <v>72974</v>
      </c>
      <c r="F195" s="571">
        <v>80926</v>
      </c>
      <c r="G195" s="571">
        <v>153900</v>
      </c>
      <c r="H195" s="571">
        <v>5889</v>
      </c>
      <c r="I195" s="571">
        <v>4310</v>
      </c>
      <c r="J195" s="571">
        <v>10199</v>
      </c>
    </row>
    <row r="196" spans="1:10">
      <c r="A196" s="541" t="s">
        <v>830</v>
      </c>
      <c r="B196" s="572">
        <v>68582</v>
      </c>
      <c r="C196" s="572">
        <v>49215</v>
      </c>
      <c r="D196" s="573">
        <f t="shared" ref="D196" si="60">B196+C196</f>
        <v>117797</v>
      </c>
      <c r="E196" s="572">
        <v>64975</v>
      </c>
      <c r="F196" s="572">
        <v>82103</v>
      </c>
      <c r="G196" s="573">
        <f t="shared" ref="G196" si="61">E196+F196</f>
        <v>147078</v>
      </c>
      <c r="H196" s="572">
        <v>3356</v>
      </c>
      <c r="I196" s="572">
        <v>2466</v>
      </c>
      <c r="J196" s="573">
        <f>H196+I196</f>
        <v>5822</v>
      </c>
    </row>
    <row r="197" spans="1:10">
      <c r="A197" s="570" t="s">
        <v>829</v>
      </c>
      <c r="B197" s="545">
        <v>65095</v>
      </c>
      <c r="C197" s="545">
        <v>46088</v>
      </c>
      <c r="D197" s="209">
        <v>111183</v>
      </c>
      <c r="E197" s="545">
        <v>65393</v>
      </c>
      <c r="F197" s="545">
        <v>75445</v>
      </c>
      <c r="G197" s="209">
        <v>140838</v>
      </c>
      <c r="H197" s="545">
        <v>3077</v>
      </c>
      <c r="I197" s="545">
        <v>2279</v>
      </c>
      <c r="J197" s="209">
        <v>5356</v>
      </c>
    </row>
    <row r="198" spans="1:10">
      <c r="A198" s="580" t="s">
        <v>828</v>
      </c>
      <c r="B198" s="515">
        <v>57472</v>
      </c>
      <c r="C198" s="515">
        <v>40142</v>
      </c>
      <c r="D198" s="515">
        <v>97614</v>
      </c>
      <c r="E198" s="515">
        <v>55301</v>
      </c>
      <c r="F198" s="515">
        <v>58569</v>
      </c>
      <c r="G198" s="515">
        <v>113870</v>
      </c>
      <c r="H198" s="515">
        <v>3161</v>
      </c>
      <c r="I198" s="515">
        <v>2112</v>
      </c>
      <c r="J198" s="515">
        <v>5273</v>
      </c>
    </row>
    <row r="199" spans="1:10" ht="15">
      <c r="A199" s="579" t="s">
        <v>134</v>
      </c>
      <c r="B199" s="548"/>
      <c r="C199" s="548"/>
      <c r="D199" s="548"/>
      <c r="E199" s="548"/>
      <c r="F199" s="548"/>
      <c r="G199" s="548"/>
      <c r="H199" s="548"/>
      <c r="I199" s="548"/>
      <c r="J199" s="549"/>
    </row>
    <row r="200" spans="1:10">
      <c r="A200" s="541" t="s">
        <v>832</v>
      </c>
      <c r="B200" s="571">
        <v>62229</v>
      </c>
      <c r="C200" s="571">
        <v>59689</v>
      </c>
      <c r="D200" s="571">
        <v>121918</v>
      </c>
      <c r="E200" s="571">
        <v>3744</v>
      </c>
      <c r="F200" s="571">
        <v>5161</v>
      </c>
      <c r="G200" s="571">
        <v>8905</v>
      </c>
      <c r="H200" s="571">
        <v>1468</v>
      </c>
      <c r="I200" s="571">
        <v>1472</v>
      </c>
      <c r="J200" s="571">
        <v>2940</v>
      </c>
    </row>
    <row r="201" spans="1:10">
      <c r="A201" s="541" t="s">
        <v>831</v>
      </c>
      <c r="B201" s="571">
        <v>67314</v>
      </c>
      <c r="C201" s="571">
        <v>62968</v>
      </c>
      <c r="D201" s="571">
        <v>130282</v>
      </c>
      <c r="E201" s="571">
        <v>5054</v>
      </c>
      <c r="F201" s="571">
        <v>5350</v>
      </c>
      <c r="G201" s="571">
        <v>10404</v>
      </c>
      <c r="H201" s="571">
        <v>1583</v>
      </c>
      <c r="I201" s="571">
        <v>1120</v>
      </c>
      <c r="J201" s="571">
        <v>2703</v>
      </c>
    </row>
    <row r="202" spans="1:10">
      <c r="A202" s="541" t="s">
        <v>830</v>
      </c>
      <c r="B202" s="572">
        <v>58234</v>
      </c>
      <c r="C202" s="572">
        <v>51006</v>
      </c>
      <c r="D202" s="573">
        <f t="shared" ref="D202" si="62">B202+C202</f>
        <v>109240</v>
      </c>
      <c r="E202" s="572">
        <v>4286</v>
      </c>
      <c r="F202" s="572">
        <v>5580</v>
      </c>
      <c r="G202" s="573">
        <f t="shared" ref="G202" si="63">E202+F202</f>
        <v>9866</v>
      </c>
      <c r="H202" s="572">
        <v>1617</v>
      </c>
      <c r="I202" s="572">
        <v>1054</v>
      </c>
      <c r="J202" s="573">
        <f>H202+I202</f>
        <v>2671</v>
      </c>
    </row>
    <row r="203" spans="1:10">
      <c r="A203" s="570" t="s">
        <v>829</v>
      </c>
      <c r="B203" s="545">
        <v>68133</v>
      </c>
      <c r="C203" s="545">
        <v>48670</v>
      </c>
      <c r="D203" s="209">
        <v>116803</v>
      </c>
      <c r="E203" s="545">
        <v>3688</v>
      </c>
      <c r="F203" s="545">
        <v>4330</v>
      </c>
      <c r="G203" s="209">
        <v>8018</v>
      </c>
      <c r="H203" s="545">
        <v>1980</v>
      </c>
      <c r="I203" s="545">
        <v>1101</v>
      </c>
      <c r="J203" s="209">
        <v>3081</v>
      </c>
    </row>
    <row r="204" spans="1:10">
      <c r="A204" s="580" t="s">
        <v>828</v>
      </c>
      <c r="B204" s="515">
        <v>61096</v>
      </c>
      <c r="C204" s="515">
        <v>46535</v>
      </c>
      <c r="D204" s="515">
        <v>107631</v>
      </c>
      <c r="E204" s="515">
        <v>3409</v>
      </c>
      <c r="F204" s="515">
        <v>3962</v>
      </c>
      <c r="G204" s="515">
        <v>7371</v>
      </c>
      <c r="H204" s="515">
        <v>1414</v>
      </c>
      <c r="I204" s="515">
        <v>1022</v>
      </c>
      <c r="J204" s="515">
        <v>2436</v>
      </c>
    </row>
    <row r="205" spans="1:10" ht="15">
      <c r="A205" s="579" t="s">
        <v>45</v>
      </c>
      <c r="B205" s="548"/>
      <c r="C205" s="548"/>
      <c r="D205" s="548"/>
      <c r="E205" s="548"/>
      <c r="F205" s="548"/>
      <c r="G205" s="548"/>
      <c r="H205" s="548"/>
      <c r="I205" s="548"/>
      <c r="J205" s="549"/>
    </row>
    <row r="206" spans="1:10">
      <c r="A206" s="541" t="s">
        <v>832</v>
      </c>
      <c r="B206" s="571">
        <v>1233</v>
      </c>
      <c r="C206" s="571">
        <v>882</v>
      </c>
      <c r="D206" s="571">
        <v>2115</v>
      </c>
      <c r="E206" s="571">
        <v>300</v>
      </c>
      <c r="F206" s="571">
        <v>188</v>
      </c>
      <c r="G206" s="571">
        <v>488</v>
      </c>
      <c r="H206" s="571">
        <v>290</v>
      </c>
      <c r="I206" s="571">
        <v>74</v>
      </c>
      <c r="J206" s="571">
        <v>364</v>
      </c>
    </row>
    <row r="207" spans="1:10">
      <c r="A207" s="541" t="s">
        <v>831</v>
      </c>
      <c r="B207" s="571">
        <v>1346</v>
      </c>
      <c r="C207" s="571">
        <v>1002</v>
      </c>
      <c r="D207" s="571">
        <v>2348</v>
      </c>
      <c r="E207" s="571">
        <v>482</v>
      </c>
      <c r="F207" s="571">
        <v>304</v>
      </c>
      <c r="G207" s="571">
        <v>786</v>
      </c>
      <c r="H207" s="571">
        <v>165</v>
      </c>
      <c r="I207" s="571">
        <v>66</v>
      </c>
      <c r="J207" s="571">
        <v>231</v>
      </c>
    </row>
    <row r="208" spans="1:10">
      <c r="A208" s="541" t="s">
        <v>830</v>
      </c>
      <c r="B208" s="572">
        <v>1052</v>
      </c>
      <c r="C208" s="572">
        <v>840</v>
      </c>
      <c r="D208" s="573">
        <f t="shared" ref="D208" si="64">B208+C208</f>
        <v>1892</v>
      </c>
      <c r="E208" s="572">
        <v>555</v>
      </c>
      <c r="F208" s="572">
        <v>388</v>
      </c>
      <c r="G208" s="573">
        <f t="shared" ref="G208" si="65">E208+F208</f>
        <v>943</v>
      </c>
      <c r="H208" s="572">
        <v>124</v>
      </c>
      <c r="I208" s="572">
        <v>36</v>
      </c>
      <c r="J208" s="573">
        <f>H208+I208</f>
        <v>160</v>
      </c>
    </row>
    <row r="209" spans="1:10">
      <c r="A209" s="570" t="s">
        <v>829</v>
      </c>
      <c r="B209" s="545">
        <v>1350</v>
      </c>
      <c r="C209" s="545">
        <v>975</v>
      </c>
      <c r="D209" s="209">
        <v>2325</v>
      </c>
      <c r="E209" s="545">
        <v>1041</v>
      </c>
      <c r="F209" s="545">
        <v>614</v>
      </c>
      <c r="G209" s="209">
        <v>1655</v>
      </c>
      <c r="H209" s="545">
        <v>169</v>
      </c>
      <c r="I209" s="545">
        <v>38</v>
      </c>
      <c r="J209" s="209">
        <v>207</v>
      </c>
    </row>
    <row r="210" spans="1:10">
      <c r="A210" s="580" t="s">
        <v>828</v>
      </c>
      <c r="B210" s="515">
        <v>1167</v>
      </c>
      <c r="C210" s="515">
        <v>600</v>
      </c>
      <c r="D210" s="515">
        <v>1767</v>
      </c>
      <c r="E210" s="515">
        <v>791</v>
      </c>
      <c r="F210" s="515">
        <v>462</v>
      </c>
      <c r="G210" s="515">
        <v>1253</v>
      </c>
      <c r="H210" s="515">
        <v>109</v>
      </c>
      <c r="I210" s="515">
        <v>18</v>
      </c>
      <c r="J210" s="515">
        <v>127</v>
      </c>
    </row>
    <row r="211" spans="1:10" ht="15">
      <c r="A211" s="579" t="s">
        <v>47</v>
      </c>
      <c r="B211" s="548"/>
      <c r="C211" s="548"/>
      <c r="D211" s="548"/>
      <c r="E211" s="548"/>
      <c r="F211" s="548"/>
      <c r="G211" s="548"/>
      <c r="H211" s="548"/>
      <c r="I211" s="548"/>
      <c r="J211" s="549"/>
    </row>
    <row r="212" spans="1:10">
      <c r="A212" s="541" t="s">
        <v>832</v>
      </c>
      <c r="B212" s="571">
        <v>158790</v>
      </c>
      <c r="C212" s="571">
        <v>198886</v>
      </c>
      <c r="D212" s="571">
        <v>357676</v>
      </c>
      <c r="E212" s="571">
        <v>13009</v>
      </c>
      <c r="F212" s="571">
        <v>14124</v>
      </c>
      <c r="G212" s="571">
        <v>27133</v>
      </c>
      <c r="H212" s="571">
        <v>9356</v>
      </c>
      <c r="I212" s="571">
        <v>8694</v>
      </c>
      <c r="J212" s="571">
        <v>18050</v>
      </c>
    </row>
    <row r="213" spans="1:10">
      <c r="A213" s="541" t="s">
        <v>831</v>
      </c>
      <c r="B213" s="571">
        <v>142299</v>
      </c>
      <c r="C213" s="571">
        <v>177217</v>
      </c>
      <c r="D213" s="571">
        <v>319516</v>
      </c>
      <c r="E213" s="571">
        <v>12012</v>
      </c>
      <c r="F213" s="571">
        <v>11943</v>
      </c>
      <c r="G213" s="571">
        <v>23955</v>
      </c>
      <c r="H213" s="571">
        <v>7790</v>
      </c>
      <c r="I213" s="571">
        <v>7001</v>
      </c>
      <c r="J213" s="571">
        <v>14791</v>
      </c>
    </row>
    <row r="214" spans="1:10">
      <c r="A214" s="541" t="s">
        <v>830</v>
      </c>
      <c r="B214" s="572">
        <v>135983</v>
      </c>
      <c r="C214" s="572">
        <v>162990</v>
      </c>
      <c r="D214" s="573">
        <f t="shared" ref="D214" si="66">B214+C214</f>
        <v>298973</v>
      </c>
      <c r="E214" s="572">
        <v>9186</v>
      </c>
      <c r="F214" s="572">
        <v>9371</v>
      </c>
      <c r="G214" s="573">
        <f t="shared" ref="G214" si="67">E214+F214</f>
        <v>18557</v>
      </c>
      <c r="H214" s="572">
        <v>8531</v>
      </c>
      <c r="I214" s="572">
        <v>8106</v>
      </c>
      <c r="J214" s="573">
        <f>H214+I214</f>
        <v>16637</v>
      </c>
    </row>
    <row r="215" spans="1:10">
      <c r="A215" s="570" t="s">
        <v>829</v>
      </c>
      <c r="B215" s="545">
        <v>136614</v>
      </c>
      <c r="C215" s="545">
        <v>158490</v>
      </c>
      <c r="D215" s="209">
        <v>295104</v>
      </c>
      <c r="E215" s="545">
        <v>16818</v>
      </c>
      <c r="F215" s="545">
        <v>14711</v>
      </c>
      <c r="G215" s="209">
        <v>31529</v>
      </c>
      <c r="H215" s="545">
        <v>8968</v>
      </c>
      <c r="I215" s="545">
        <v>10874</v>
      </c>
      <c r="J215" s="209">
        <v>19842</v>
      </c>
    </row>
    <row r="216" spans="1:10">
      <c r="A216" s="580" t="s">
        <v>828</v>
      </c>
      <c r="B216" s="515">
        <v>127465</v>
      </c>
      <c r="C216" s="515">
        <v>147104</v>
      </c>
      <c r="D216" s="515">
        <v>274569</v>
      </c>
      <c r="E216" s="515">
        <v>9641</v>
      </c>
      <c r="F216" s="515">
        <v>9810</v>
      </c>
      <c r="G216" s="515">
        <v>19451</v>
      </c>
      <c r="H216" s="515">
        <v>12124</v>
      </c>
      <c r="I216" s="515">
        <v>15868</v>
      </c>
      <c r="J216" s="515">
        <v>27992</v>
      </c>
    </row>
    <row r="217" spans="1:10" ht="15">
      <c r="A217" s="579" t="s">
        <v>46</v>
      </c>
      <c r="B217" s="548"/>
      <c r="C217" s="548"/>
      <c r="D217" s="548"/>
      <c r="E217" s="548"/>
      <c r="F217" s="548"/>
      <c r="G217" s="548"/>
      <c r="H217" s="548"/>
      <c r="I217" s="548"/>
      <c r="J217" s="549"/>
    </row>
    <row r="218" spans="1:10">
      <c r="A218" s="541" t="s">
        <v>832</v>
      </c>
      <c r="B218" s="571">
        <v>8380</v>
      </c>
      <c r="C218" s="571">
        <v>6979</v>
      </c>
      <c r="D218" s="571">
        <v>15359</v>
      </c>
      <c r="E218" s="571">
        <v>1864</v>
      </c>
      <c r="F218" s="571">
        <v>1927</v>
      </c>
      <c r="G218" s="571">
        <v>3791</v>
      </c>
      <c r="H218" s="571">
        <v>2009</v>
      </c>
      <c r="I218" s="571">
        <v>2200</v>
      </c>
      <c r="J218" s="571">
        <v>4209</v>
      </c>
    </row>
    <row r="219" spans="1:10">
      <c r="A219" s="541" t="s">
        <v>831</v>
      </c>
      <c r="B219" s="571">
        <v>7135</v>
      </c>
      <c r="C219" s="571">
        <v>5609</v>
      </c>
      <c r="D219" s="571">
        <v>12744</v>
      </c>
      <c r="E219" s="571">
        <v>1686</v>
      </c>
      <c r="F219" s="571">
        <v>1722</v>
      </c>
      <c r="G219" s="571">
        <v>3408</v>
      </c>
      <c r="H219" s="571">
        <v>879</v>
      </c>
      <c r="I219" s="571">
        <v>969</v>
      </c>
      <c r="J219" s="571">
        <v>1848</v>
      </c>
    </row>
    <row r="220" spans="1:10">
      <c r="A220" s="541" t="s">
        <v>830</v>
      </c>
      <c r="B220" s="572">
        <v>5670</v>
      </c>
      <c r="C220" s="572">
        <v>4230</v>
      </c>
      <c r="D220" s="573">
        <f t="shared" ref="D220" si="68">B220+C220</f>
        <v>9900</v>
      </c>
      <c r="E220" s="572">
        <v>1404</v>
      </c>
      <c r="F220" s="572">
        <v>1455</v>
      </c>
      <c r="G220" s="573">
        <f t="shared" ref="G220" si="69">E220+F220</f>
        <v>2859</v>
      </c>
      <c r="H220" s="572">
        <v>304</v>
      </c>
      <c r="I220" s="572">
        <v>96</v>
      </c>
      <c r="J220" s="573">
        <f>H220+I220</f>
        <v>400</v>
      </c>
    </row>
    <row r="221" spans="1:10">
      <c r="A221" s="570" t="s">
        <v>829</v>
      </c>
      <c r="B221" s="545">
        <v>5758</v>
      </c>
      <c r="C221" s="545">
        <v>3645</v>
      </c>
      <c r="D221" s="209">
        <v>9403</v>
      </c>
      <c r="E221" s="545">
        <v>1109</v>
      </c>
      <c r="F221" s="545">
        <v>1294</v>
      </c>
      <c r="G221" s="209">
        <v>2403</v>
      </c>
      <c r="H221" s="545">
        <v>511</v>
      </c>
      <c r="I221" s="545">
        <v>248</v>
      </c>
      <c r="J221" s="209">
        <v>759</v>
      </c>
    </row>
    <row r="222" spans="1:10">
      <c r="A222" s="580" t="s">
        <v>828</v>
      </c>
      <c r="B222" s="515">
        <v>4576</v>
      </c>
      <c r="C222" s="515">
        <v>4134</v>
      </c>
      <c r="D222" s="515">
        <v>8710</v>
      </c>
      <c r="E222" s="515">
        <v>845</v>
      </c>
      <c r="F222" s="515">
        <v>1159</v>
      </c>
      <c r="G222" s="515">
        <v>2004</v>
      </c>
      <c r="H222" s="515">
        <v>308</v>
      </c>
      <c r="I222" s="515">
        <v>85</v>
      </c>
      <c r="J222" s="515">
        <v>393</v>
      </c>
    </row>
    <row r="223" spans="1:10" ht="15">
      <c r="A223" s="579" t="s">
        <v>48</v>
      </c>
      <c r="B223" s="548"/>
      <c r="C223" s="548"/>
      <c r="D223" s="548"/>
      <c r="E223" s="548"/>
      <c r="F223" s="548"/>
      <c r="G223" s="548"/>
      <c r="H223" s="548"/>
      <c r="I223" s="548"/>
      <c r="J223" s="549"/>
    </row>
    <row r="224" spans="1:10">
      <c r="A224" s="541" t="s">
        <v>832</v>
      </c>
      <c r="B224" s="571">
        <v>111879</v>
      </c>
      <c r="C224" s="571">
        <v>123454</v>
      </c>
      <c r="D224" s="571">
        <v>235333</v>
      </c>
      <c r="E224" s="571">
        <v>5575</v>
      </c>
      <c r="F224" s="571">
        <v>10201</v>
      </c>
      <c r="G224" s="571">
        <v>15776</v>
      </c>
      <c r="H224" s="571">
        <v>2408</v>
      </c>
      <c r="I224" s="571">
        <v>1181</v>
      </c>
      <c r="J224" s="571">
        <v>3589</v>
      </c>
    </row>
    <row r="225" spans="1:10">
      <c r="A225" s="541" t="s">
        <v>831</v>
      </c>
      <c r="B225" s="571">
        <v>111257</v>
      </c>
      <c r="C225" s="571">
        <v>120913</v>
      </c>
      <c r="D225" s="571">
        <v>232170</v>
      </c>
      <c r="E225" s="571">
        <v>5758</v>
      </c>
      <c r="F225" s="571">
        <v>6736</v>
      </c>
      <c r="G225" s="571">
        <v>12494</v>
      </c>
      <c r="H225" s="571">
        <v>2474</v>
      </c>
      <c r="I225" s="571">
        <v>1364</v>
      </c>
      <c r="J225" s="571">
        <v>3838</v>
      </c>
    </row>
    <row r="226" spans="1:10">
      <c r="A226" s="541" t="s">
        <v>830</v>
      </c>
      <c r="B226" s="572">
        <v>113100</v>
      </c>
      <c r="C226" s="572">
        <v>117635</v>
      </c>
      <c r="D226" s="573">
        <f t="shared" ref="D226" si="70">B226+C226</f>
        <v>230735</v>
      </c>
      <c r="E226" s="572">
        <v>5996</v>
      </c>
      <c r="F226" s="572">
        <v>6978</v>
      </c>
      <c r="G226" s="573">
        <f t="shared" ref="G226" si="71">E226+F226</f>
        <v>12974</v>
      </c>
      <c r="H226" s="572">
        <v>2640</v>
      </c>
      <c r="I226" s="572">
        <v>1947</v>
      </c>
      <c r="J226" s="573">
        <f>H226+I226</f>
        <v>4587</v>
      </c>
    </row>
    <row r="227" spans="1:10">
      <c r="A227" s="570" t="s">
        <v>829</v>
      </c>
      <c r="B227" s="545">
        <v>114676</v>
      </c>
      <c r="C227" s="545">
        <v>110681</v>
      </c>
      <c r="D227" s="209">
        <v>225357</v>
      </c>
      <c r="E227" s="545">
        <v>7164</v>
      </c>
      <c r="F227" s="545">
        <v>6639</v>
      </c>
      <c r="G227" s="209">
        <v>13803</v>
      </c>
      <c r="H227" s="545">
        <v>2229</v>
      </c>
      <c r="I227" s="545">
        <v>1012</v>
      </c>
      <c r="J227" s="209">
        <v>3241</v>
      </c>
    </row>
    <row r="228" spans="1:10">
      <c r="A228" s="580" t="s">
        <v>828</v>
      </c>
      <c r="B228" s="515">
        <v>108402</v>
      </c>
      <c r="C228" s="515">
        <v>103321</v>
      </c>
      <c r="D228" s="515">
        <v>211723</v>
      </c>
      <c r="E228" s="515">
        <v>4154</v>
      </c>
      <c r="F228" s="515">
        <v>4595</v>
      </c>
      <c r="G228" s="515">
        <v>8749</v>
      </c>
      <c r="H228" s="515">
        <v>2115</v>
      </c>
      <c r="I228" s="515">
        <v>961</v>
      </c>
      <c r="J228" s="515">
        <v>3076</v>
      </c>
    </row>
  </sheetData>
  <mergeCells count="4">
    <mergeCell ref="A2:A3"/>
    <mergeCell ref="B2:D2"/>
    <mergeCell ref="E2:G2"/>
    <mergeCell ref="H2:J2"/>
  </mergeCells>
  <printOptions horizontalCentered="1"/>
  <pageMargins left="0.39370078740157483" right="0.39370078740157483" top="0.39370078740157483" bottom="0.39370078740157483" header="0.27559055118110237" footer="0.23622047244094491"/>
  <pageSetup paperSize="9" scale="67" firstPageNumber="2" pageOrder="overThenDown" orientation="portrait" useFirstPageNumber="1" r:id="rId1"/>
  <headerFooter alignWithMargins="0">
    <oddFooter>&amp;L     AISHE 2019-20&amp;CT-46</oddFooter>
  </headerFooter>
  <rowBreaks count="2" manualBreakCount="2">
    <brk id="76" max="16383" man="1"/>
    <brk id="150" max="9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7030A0"/>
  </sheetPr>
  <dimension ref="A1:J228"/>
  <sheetViews>
    <sheetView showZeros="0" view="pageBreakPreview" zoomScaleSheetLayoutView="100" workbookViewId="0">
      <pane xSplit="1" ySplit="3" topLeftCell="B199" activePane="bottomRight" state="frozen"/>
      <selection activeCell="A20" sqref="A20"/>
      <selection pane="topRight" activeCell="A20" sqref="A20"/>
      <selection pane="bottomLeft" activeCell="A20" sqref="A20"/>
      <selection pane="bottomRight" activeCell="A20" sqref="A20"/>
    </sheetView>
  </sheetViews>
  <sheetFormatPr defaultColWidth="9.140625" defaultRowHeight="14.25"/>
  <cols>
    <col min="1" max="1" width="29.28515625" style="497" customWidth="1"/>
    <col min="2" max="10" width="11.42578125" style="497" customWidth="1"/>
    <col min="11" max="11" width="9" style="497" customWidth="1"/>
    <col min="12" max="13" width="12" style="497" customWidth="1"/>
    <col min="14" max="14" width="9" style="497" customWidth="1"/>
    <col min="15" max="15" width="11.7109375" style="497" customWidth="1"/>
    <col min="16" max="16" width="12" style="497" customWidth="1"/>
    <col min="17" max="16384" width="9.140625" style="497"/>
  </cols>
  <sheetData>
    <row r="1" spans="1:10" ht="26.25" customHeight="1">
      <c r="A1" s="673" t="s">
        <v>881</v>
      </c>
      <c r="B1" s="674" t="s">
        <v>882</v>
      </c>
      <c r="C1" s="675"/>
      <c r="D1" s="675"/>
      <c r="E1" s="675"/>
      <c r="F1" s="675"/>
      <c r="G1" s="675"/>
      <c r="H1" s="675"/>
      <c r="I1" s="675"/>
      <c r="J1" s="676"/>
    </row>
    <row r="2" spans="1:10" ht="16.5" customHeight="1">
      <c r="A2" s="990" t="s">
        <v>713</v>
      </c>
      <c r="B2" s="988" t="s">
        <v>843</v>
      </c>
      <c r="C2" s="993"/>
      <c r="D2" s="993"/>
      <c r="E2" s="988" t="s">
        <v>110</v>
      </c>
      <c r="F2" s="993"/>
      <c r="G2" s="993"/>
      <c r="H2" s="988" t="s">
        <v>111</v>
      </c>
      <c r="I2" s="993"/>
      <c r="J2" s="993"/>
    </row>
    <row r="3" spans="1:10" ht="16.5" customHeight="1">
      <c r="A3" s="990"/>
      <c r="B3" s="533" t="s">
        <v>714</v>
      </c>
      <c r="C3" s="533" t="s">
        <v>87</v>
      </c>
      <c r="D3" s="533" t="s">
        <v>88</v>
      </c>
      <c r="E3" s="533" t="s">
        <v>714</v>
      </c>
      <c r="F3" s="533" t="s">
        <v>87</v>
      </c>
      <c r="G3" s="533" t="s">
        <v>88</v>
      </c>
      <c r="H3" s="533" t="s">
        <v>714</v>
      </c>
      <c r="I3" s="533" t="s">
        <v>87</v>
      </c>
      <c r="J3" s="533" t="s">
        <v>88</v>
      </c>
    </row>
    <row r="4" spans="1:10" ht="12" customHeight="1">
      <c r="A4" s="558">
        <v>1</v>
      </c>
      <c r="B4" s="500">
        <v>2</v>
      </c>
      <c r="C4" s="558">
        <v>3</v>
      </c>
      <c r="D4" s="500">
        <v>4</v>
      </c>
      <c r="E4" s="558">
        <v>5</v>
      </c>
      <c r="F4" s="500">
        <v>6</v>
      </c>
      <c r="G4" s="558">
        <v>7</v>
      </c>
      <c r="H4" s="500">
        <v>8</v>
      </c>
      <c r="I4" s="558">
        <v>9</v>
      </c>
      <c r="J4" s="500">
        <v>10</v>
      </c>
    </row>
    <row r="5" spans="1:10" ht="15">
      <c r="A5" s="511" t="s">
        <v>833</v>
      </c>
      <c r="B5" s="539"/>
      <c r="C5" s="539"/>
      <c r="D5" s="539"/>
      <c r="E5" s="539"/>
      <c r="F5" s="539"/>
      <c r="G5" s="539"/>
      <c r="H5" s="539"/>
      <c r="I5" s="539"/>
      <c r="J5" s="540"/>
    </row>
    <row r="6" spans="1:10">
      <c r="A6" s="541" t="s">
        <v>832</v>
      </c>
      <c r="B6" s="668">
        <v>27.075605915725895</v>
      </c>
      <c r="C6" s="668">
        <v>26.893429865798634</v>
      </c>
      <c r="D6" s="668">
        <v>27.267660773461433</v>
      </c>
      <c r="E6" s="668">
        <v>23.423016246421835</v>
      </c>
      <c r="F6" s="668">
        <v>22.837552501083465</v>
      </c>
      <c r="G6" s="668">
        <v>24.050789284490541</v>
      </c>
      <c r="H6" s="668">
        <v>17.989002581322332</v>
      </c>
      <c r="I6" s="668">
        <v>18.243554032200709</v>
      </c>
      <c r="J6" s="668">
        <v>17.743894623336502</v>
      </c>
    </row>
    <row r="7" spans="1:10">
      <c r="A7" s="514" t="s">
        <v>831</v>
      </c>
      <c r="B7" s="669">
        <v>26.32304517345661</v>
      </c>
      <c r="C7" s="669">
        <v>26.285354846491472</v>
      </c>
      <c r="D7" s="669">
        <v>26.362967369633715</v>
      </c>
      <c r="E7" s="669">
        <v>22.98256412796902</v>
      </c>
      <c r="F7" s="669">
        <v>22.727916115366376</v>
      </c>
      <c r="G7" s="669">
        <v>23.253039249355083</v>
      </c>
      <c r="H7" s="669">
        <v>17.18398167970955</v>
      </c>
      <c r="I7" s="669">
        <v>17.900895231065984</v>
      </c>
      <c r="J7" s="669">
        <v>16.499450899355377</v>
      </c>
    </row>
    <row r="8" spans="1:10">
      <c r="A8" s="514" t="s">
        <v>830</v>
      </c>
      <c r="B8" s="668">
        <v>25.835506963834288</v>
      </c>
      <c r="C8" s="668">
        <v>26.264138327339523</v>
      </c>
      <c r="D8" s="668">
        <v>25.379345185381904</v>
      </c>
      <c r="E8" s="668">
        <v>21.825616975862435</v>
      </c>
      <c r="F8" s="668">
        <v>22.217344518868785</v>
      </c>
      <c r="G8" s="668">
        <v>21.407565448537913</v>
      </c>
      <c r="H8" s="668">
        <v>15.932316972411575</v>
      </c>
      <c r="I8" s="668">
        <v>17.044229410361847</v>
      </c>
      <c r="J8" s="668">
        <v>14.866621441161112</v>
      </c>
    </row>
    <row r="9" spans="1:10">
      <c r="A9" s="514" t="s">
        <v>829</v>
      </c>
      <c r="B9" s="670">
        <v>25.227213680819521</v>
      </c>
      <c r="C9" s="670">
        <v>25.952113616487175</v>
      </c>
      <c r="D9" s="670">
        <v>24.452114298218834</v>
      </c>
      <c r="E9" s="670">
        <v>21.070847832301791</v>
      </c>
      <c r="F9" s="670">
        <v>21.847887479847188</v>
      </c>
      <c r="G9" s="670">
        <v>20.237655620608599</v>
      </c>
      <c r="H9" s="670">
        <v>15.447530350712206</v>
      </c>
      <c r="I9" s="670">
        <v>16.73116876579105</v>
      </c>
      <c r="J9" s="670">
        <v>14.212531254668463</v>
      </c>
    </row>
    <row r="10" spans="1:10">
      <c r="A10" s="514" t="s">
        <v>828</v>
      </c>
      <c r="B10" s="670">
        <v>24.477731539096112</v>
      </c>
      <c r="C10" s="670">
        <v>25.410885239740004</v>
      </c>
      <c r="D10" s="670">
        <v>23.475234715526849</v>
      </c>
      <c r="E10" s="670">
        <v>19.931366820070163</v>
      </c>
      <c r="F10" s="670">
        <v>20.821551495473155</v>
      </c>
      <c r="G10" s="670">
        <v>18.97233858190657</v>
      </c>
      <c r="H10" s="670">
        <v>14.239180940564324</v>
      </c>
      <c r="I10" s="670">
        <v>15.591387061888277</v>
      </c>
      <c r="J10" s="670">
        <v>12.933247806233165</v>
      </c>
    </row>
    <row r="11" spans="1:10" ht="15">
      <c r="A11" s="511" t="s">
        <v>154</v>
      </c>
      <c r="B11" s="584"/>
      <c r="C11" s="584"/>
      <c r="D11" s="584"/>
      <c r="E11" s="584"/>
      <c r="F11" s="584"/>
      <c r="G11" s="584"/>
      <c r="H11" s="584"/>
      <c r="I11" s="584"/>
      <c r="J11" s="585"/>
    </row>
    <row r="12" spans="1:10">
      <c r="A12" s="541" t="s">
        <v>832</v>
      </c>
      <c r="B12" s="670">
        <v>19.985796295200331</v>
      </c>
      <c r="C12" s="670">
        <v>17.726668231244624</v>
      </c>
      <c r="D12" s="670">
        <v>22.284577114427861</v>
      </c>
      <c r="E12" s="670" t="s">
        <v>806</v>
      </c>
      <c r="F12" s="670" t="s">
        <v>806</v>
      </c>
      <c r="G12" s="670" t="s">
        <v>806</v>
      </c>
      <c r="H12" s="670">
        <v>12.591283489729543</v>
      </c>
      <c r="I12" s="670">
        <v>8.6985050109431494</v>
      </c>
      <c r="J12" s="670">
        <v>16.486768371371465</v>
      </c>
    </row>
    <row r="13" spans="1:10">
      <c r="A13" s="514" t="s">
        <v>831</v>
      </c>
      <c r="B13" s="670">
        <v>23.176354521110596</v>
      </c>
      <c r="C13" s="670">
        <v>20.294293100019885</v>
      </c>
      <c r="D13" s="670">
        <v>26.131636897479815</v>
      </c>
      <c r="E13" s="670" t="s">
        <v>806</v>
      </c>
      <c r="F13" s="670" t="s">
        <v>806</v>
      </c>
      <c r="G13" s="670" t="s">
        <v>806</v>
      </c>
      <c r="H13" s="670">
        <v>14.446634750774431</v>
      </c>
      <c r="I13" s="670">
        <v>11.104815864022664</v>
      </c>
      <c r="J13" s="670">
        <v>17.749160134378499</v>
      </c>
    </row>
    <row r="14" spans="1:10">
      <c r="A14" s="514" t="s">
        <v>830</v>
      </c>
      <c r="B14" s="668">
        <v>21.79321120911203</v>
      </c>
      <c r="C14" s="668">
        <v>21.199741121268506</v>
      </c>
      <c r="D14" s="668">
        <v>22.40665635322156</v>
      </c>
      <c r="E14" s="670" t="s">
        <v>806</v>
      </c>
      <c r="F14" s="670" t="s">
        <v>806</v>
      </c>
      <c r="G14" s="670" t="s">
        <v>806</v>
      </c>
      <c r="H14" s="668">
        <v>14.40897325280414</v>
      </c>
      <c r="I14" s="668">
        <v>12.449567723342938</v>
      </c>
      <c r="J14" s="668">
        <v>16.360505166475313</v>
      </c>
    </row>
    <row r="15" spans="1:10">
      <c r="A15" s="514" t="s">
        <v>829</v>
      </c>
      <c r="B15" s="670">
        <v>22.807386089112033</v>
      </c>
      <c r="C15" s="670">
        <v>21.476786302271979</v>
      </c>
      <c r="D15" s="670">
        <v>24.194448019908183</v>
      </c>
      <c r="E15" s="670" t="s">
        <v>806</v>
      </c>
      <c r="F15" s="670" t="s">
        <v>806</v>
      </c>
      <c r="G15" s="670" t="s">
        <v>806</v>
      </c>
      <c r="H15" s="670">
        <v>13.609641387419163</v>
      </c>
      <c r="I15" s="670">
        <v>11.495601173020527</v>
      </c>
      <c r="J15" s="670">
        <v>15.733647613435476</v>
      </c>
    </row>
    <row r="16" spans="1:10">
      <c r="A16" s="514" t="s">
        <v>828</v>
      </c>
      <c r="B16" s="670">
        <v>23.500820738024686</v>
      </c>
      <c r="C16" s="670">
        <v>22.309426400601154</v>
      </c>
      <c r="D16" s="670">
        <v>24.744064473970813</v>
      </c>
      <c r="E16" s="670" t="s">
        <v>806</v>
      </c>
      <c r="F16" s="670" t="s">
        <v>806</v>
      </c>
      <c r="G16" s="670" t="s">
        <v>806</v>
      </c>
      <c r="H16" s="670">
        <v>12.31732776617954</v>
      </c>
      <c r="I16" s="670">
        <v>11.005353955978585</v>
      </c>
      <c r="J16" s="670">
        <v>13.636363636363637</v>
      </c>
    </row>
    <row r="17" spans="1:10" ht="15">
      <c r="A17" s="511" t="s">
        <v>15</v>
      </c>
      <c r="B17" s="584"/>
      <c r="C17" s="584"/>
      <c r="D17" s="584"/>
      <c r="E17" s="584"/>
      <c r="F17" s="584"/>
      <c r="G17" s="584"/>
      <c r="H17" s="584"/>
      <c r="I17" s="584"/>
      <c r="J17" s="585"/>
    </row>
    <row r="18" spans="1:10">
      <c r="A18" s="541" t="s">
        <v>832</v>
      </c>
      <c r="B18" s="670">
        <v>35.210040067994392</v>
      </c>
      <c r="C18" s="670">
        <v>38.314361122138315</v>
      </c>
      <c r="D18" s="670">
        <v>32.171658467883354</v>
      </c>
      <c r="E18" s="670">
        <v>31.189981835288865</v>
      </c>
      <c r="F18" s="670">
        <v>33.445765565064001</v>
      </c>
      <c r="G18" s="670">
        <v>28.996491312445574</v>
      </c>
      <c r="H18" s="670">
        <v>29.377118619901935</v>
      </c>
      <c r="I18" s="670">
        <v>33.646773427189594</v>
      </c>
      <c r="J18" s="670">
        <v>25.621327584807762</v>
      </c>
    </row>
    <row r="19" spans="1:10">
      <c r="A19" s="514" t="s">
        <v>831</v>
      </c>
      <c r="B19" s="670">
        <v>32.358270964294228</v>
      </c>
      <c r="C19" s="670">
        <v>35.778278403560009</v>
      </c>
      <c r="D19" s="670">
        <v>28.998588000775218</v>
      </c>
      <c r="E19" s="670">
        <v>28.878569825478511</v>
      </c>
      <c r="F19" s="670">
        <v>31.477915026359547</v>
      </c>
      <c r="G19" s="670">
        <v>26.372243808810449</v>
      </c>
      <c r="H19" s="670">
        <v>26.402109833474817</v>
      </c>
      <c r="I19" s="670">
        <v>30.363200311129358</v>
      </c>
      <c r="J19" s="670">
        <v>22.947029852246459</v>
      </c>
    </row>
    <row r="20" spans="1:10">
      <c r="A20" s="514" t="s">
        <v>830</v>
      </c>
      <c r="B20" s="668">
        <v>30.886532135479509</v>
      </c>
      <c r="C20" s="668">
        <v>34.703257296574435</v>
      </c>
      <c r="D20" s="668">
        <v>27.123166225331158</v>
      </c>
      <c r="E20" s="668">
        <v>26.916045563211927</v>
      </c>
      <c r="F20" s="668">
        <v>29.50563666974594</v>
      </c>
      <c r="G20" s="668">
        <v>24.409826707046857</v>
      </c>
      <c r="H20" s="668">
        <v>24.475466381332783</v>
      </c>
      <c r="I20" s="668">
        <v>27.925170310153121</v>
      </c>
      <c r="J20" s="668">
        <v>21.455236670717646</v>
      </c>
    </row>
    <row r="21" spans="1:10">
      <c r="A21" s="514" t="s">
        <v>829</v>
      </c>
      <c r="B21" s="670">
        <v>32.430104620042712</v>
      </c>
      <c r="C21" s="670">
        <v>36.499635513057036</v>
      </c>
      <c r="D21" s="670">
        <v>28.401817510916576</v>
      </c>
      <c r="E21" s="670">
        <v>29.2944217612866</v>
      </c>
      <c r="F21" s="670">
        <v>32.808043593843571</v>
      </c>
      <c r="G21" s="670">
        <v>25.878492416576584</v>
      </c>
      <c r="H21" s="670">
        <v>24.909875653092872</v>
      </c>
      <c r="I21" s="670">
        <v>28.963163635084261</v>
      </c>
      <c r="J21" s="670">
        <v>21.335328637771855</v>
      </c>
    </row>
    <row r="22" spans="1:10">
      <c r="A22" s="514" t="s">
        <v>828</v>
      </c>
      <c r="B22" s="670">
        <v>30.784662239271082</v>
      </c>
      <c r="C22" s="670">
        <v>34.715344561973083</v>
      </c>
      <c r="D22" s="670">
        <v>26.879494962794784</v>
      </c>
      <c r="E22" s="670">
        <v>25.482729778409784</v>
      </c>
      <c r="F22" s="670">
        <v>28.618773950103666</v>
      </c>
      <c r="G22" s="670">
        <v>22.424792116033931</v>
      </c>
      <c r="H22" s="670">
        <v>23.382086777870178</v>
      </c>
      <c r="I22" s="670">
        <v>27.425393909025107</v>
      </c>
      <c r="J22" s="670">
        <v>19.816884208717639</v>
      </c>
    </row>
    <row r="23" spans="1:10" ht="15">
      <c r="A23" s="511" t="s">
        <v>16</v>
      </c>
      <c r="B23" s="584"/>
      <c r="C23" s="584"/>
      <c r="D23" s="584"/>
      <c r="E23" s="584"/>
      <c r="F23" s="584"/>
      <c r="G23" s="584"/>
      <c r="H23" s="584"/>
      <c r="I23" s="584"/>
      <c r="J23" s="585"/>
    </row>
    <row r="24" spans="1:10">
      <c r="A24" s="541" t="s">
        <v>832</v>
      </c>
      <c r="B24" s="670">
        <v>35.380548811795208</v>
      </c>
      <c r="C24" s="670">
        <v>36.510572486182241</v>
      </c>
      <c r="D24" s="670">
        <v>34.250396196513471</v>
      </c>
      <c r="E24" s="670" t="s">
        <v>806</v>
      </c>
      <c r="F24" s="670" t="s">
        <v>806</v>
      </c>
      <c r="G24" s="670" t="s">
        <v>806</v>
      </c>
      <c r="H24" s="670">
        <v>35.211869549110759</v>
      </c>
      <c r="I24" s="670">
        <v>36.96737869661375</v>
      </c>
      <c r="J24" s="670">
        <v>33.630253872366133</v>
      </c>
    </row>
    <row r="25" spans="1:10">
      <c r="A25" s="514" t="s">
        <v>831</v>
      </c>
      <c r="B25" s="670">
        <v>29.694356133337529</v>
      </c>
      <c r="C25" s="670">
        <v>29.86442427523005</v>
      </c>
      <c r="D25" s="670">
        <v>29.524217313553134</v>
      </c>
      <c r="E25" s="670" t="s">
        <v>806</v>
      </c>
      <c r="F25" s="670" t="s">
        <v>806</v>
      </c>
      <c r="G25" s="670" t="s">
        <v>806</v>
      </c>
      <c r="H25" s="670">
        <v>32.337036763620254</v>
      </c>
      <c r="I25" s="670">
        <v>32.184760752005936</v>
      </c>
      <c r="J25" s="670">
        <v>32.473532242540905</v>
      </c>
    </row>
    <row r="26" spans="1:10">
      <c r="A26" s="514" t="s">
        <v>830</v>
      </c>
      <c r="B26" s="668">
        <v>29.679387358725922</v>
      </c>
      <c r="C26" s="668">
        <v>31.519544710691701</v>
      </c>
      <c r="D26" s="668">
        <v>27.837802635862843</v>
      </c>
      <c r="E26" s="670" t="s">
        <v>806</v>
      </c>
      <c r="F26" s="670" t="s">
        <v>806</v>
      </c>
      <c r="G26" s="670" t="s">
        <v>806</v>
      </c>
      <c r="H26" s="668">
        <v>33.064471778702497</v>
      </c>
      <c r="I26" s="668">
        <v>36.225281116711905</v>
      </c>
      <c r="J26" s="668">
        <v>30.230172803449115</v>
      </c>
    </row>
    <row r="27" spans="1:10">
      <c r="A27" s="514" t="s">
        <v>829</v>
      </c>
      <c r="B27" s="670">
        <v>28.923894948691824</v>
      </c>
      <c r="C27" s="670">
        <v>29.303087868290685</v>
      </c>
      <c r="D27" s="670">
        <v>28.544258953099554</v>
      </c>
      <c r="E27" s="670" t="s">
        <v>806</v>
      </c>
      <c r="F27" s="670" t="s">
        <v>806</v>
      </c>
      <c r="G27" s="670" t="s">
        <v>806</v>
      </c>
      <c r="H27" s="670">
        <v>31.171468113777909</v>
      </c>
      <c r="I27" s="670">
        <v>31.778796164362458</v>
      </c>
      <c r="J27" s="670">
        <v>30.626662521159357</v>
      </c>
    </row>
    <row r="28" spans="1:10">
      <c r="A28" s="514" t="s">
        <v>828</v>
      </c>
      <c r="B28" s="670">
        <v>28.666995803505305</v>
      </c>
      <c r="C28" s="670">
        <v>28.834817354413833</v>
      </c>
      <c r="D28" s="670">
        <v>28.498900610223092</v>
      </c>
      <c r="E28" s="670" t="s">
        <v>806</v>
      </c>
      <c r="F28" s="670" t="s">
        <v>806</v>
      </c>
      <c r="G28" s="670" t="s">
        <v>806</v>
      </c>
      <c r="H28" s="670">
        <v>33.76664495585468</v>
      </c>
      <c r="I28" s="670">
        <v>34.420962035000478</v>
      </c>
      <c r="J28" s="670">
        <v>33.179422921780322</v>
      </c>
    </row>
    <row r="29" spans="1:10" ht="15">
      <c r="A29" s="511" t="s">
        <v>17</v>
      </c>
      <c r="B29" s="584"/>
      <c r="C29" s="584"/>
      <c r="D29" s="584"/>
      <c r="E29" s="584"/>
      <c r="F29" s="584"/>
      <c r="G29" s="584"/>
      <c r="H29" s="584"/>
      <c r="I29" s="584"/>
      <c r="J29" s="585"/>
    </row>
    <row r="30" spans="1:10">
      <c r="A30" s="541" t="s">
        <v>832</v>
      </c>
      <c r="B30" s="670">
        <v>17.303549429669932</v>
      </c>
      <c r="C30" s="670">
        <v>17.421975543880116</v>
      </c>
      <c r="D30" s="670">
        <v>17.192561240445873</v>
      </c>
      <c r="E30" s="670">
        <v>19.27606179741958</v>
      </c>
      <c r="F30" s="670">
        <v>19.518441976256334</v>
      </c>
      <c r="G30" s="670">
        <v>19.029743201311465</v>
      </c>
      <c r="H30" s="670">
        <v>22.545777117749608</v>
      </c>
      <c r="I30" s="670">
        <v>22.705376054327182</v>
      </c>
      <c r="J30" s="670">
        <v>22.402190502412289</v>
      </c>
    </row>
    <row r="31" spans="1:10">
      <c r="A31" s="514" t="s">
        <v>831</v>
      </c>
      <c r="B31" s="670">
        <v>18.697473998536061</v>
      </c>
      <c r="C31" s="670">
        <v>19.144206310771882</v>
      </c>
      <c r="D31" s="670">
        <v>18.277254527608225</v>
      </c>
      <c r="E31" s="670">
        <v>20.580243419190488</v>
      </c>
      <c r="F31" s="670">
        <v>21.179033144887285</v>
      </c>
      <c r="G31" s="670">
        <v>19.976842972623565</v>
      </c>
      <c r="H31" s="670">
        <v>24.310460331132166</v>
      </c>
      <c r="I31" s="670">
        <v>25.613001587759815</v>
      </c>
      <c r="J31" s="670">
        <v>23.1484573999332</v>
      </c>
    </row>
    <row r="32" spans="1:10">
      <c r="A32" s="514" t="s">
        <v>830</v>
      </c>
      <c r="B32" s="668">
        <v>18.190357434706641</v>
      </c>
      <c r="C32" s="668">
        <v>18.604943312348755</v>
      </c>
      <c r="D32" s="668">
        <v>17.798921194568614</v>
      </c>
      <c r="E32" s="668">
        <v>19.38085290815819</v>
      </c>
      <c r="F32" s="668">
        <v>20.053128355846944</v>
      </c>
      <c r="G32" s="668">
        <v>18.700871802200943</v>
      </c>
      <c r="H32" s="668">
        <v>20.845996296683889</v>
      </c>
      <c r="I32" s="668">
        <v>22.385725071089837</v>
      </c>
      <c r="J32" s="668">
        <v>19.467271181637855</v>
      </c>
    </row>
    <row r="33" spans="1:10">
      <c r="A33" s="514" t="s">
        <v>829</v>
      </c>
      <c r="B33" s="670">
        <v>17.24287442462709</v>
      </c>
      <c r="C33" s="670">
        <v>17.926147967513874</v>
      </c>
      <c r="D33" s="670">
        <v>16.595312104957824</v>
      </c>
      <c r="E33" s="670">
        <v>19.019775029164865</v>
      </c>
      <c r="F33" s="670">
        <v>19.521297312608432</v>
      </c>
      <c r="G33" s="670">
        <v>18.510583227884503</v>
      </c>
      <c r="H33" s="670">
        <v>22.486266888884597</v>
      </c>
      <c r="I33" s="670">
        <v>23.874861793333451</v>
      </c>
      <c r="J33" s="670">
        <v>21.238163119845229</v>
      </c>
    </row>
    <row r="34" spans="1:10">
      <c r="A34" s="514" t="s">
        <v>828</v>
      </c>
      <c r="B34" s="670">
        <v>15.443972102363464</v>
      </c>
      <c r="C34" s="670">
        <v>16.248131655716442</v>
      </c>
      <c r="D34" s="670">
        <v>14.678925716240197</v>
      </c>
      <c r="E34" s="670">
        <v>16.777025332330073</v>
      </c>
      <c r="F34" s="670">
        <v>17.536026123376161</v>
      </c>
      <c r="G34" s="670">
        <v>16.003472724641874</v>
      </c>
      <c r="H34" s="670">
        <v>19.327184313319933</v>
      </c>
      <c r="I34" s="670">
        <v>20.758950878053653</v>
      </c>
      <c r="J34" s="670">
        <v>18.03535347325538</v>
      </c>
    </row>
    <row r="35" spans="1:10" ht="15">
      <c r="A35" s="511" t="s">
        <v>18</v>
      </c>
      <c r="B35" s="584"/>
      <c r="C35" s="584"/>
      <c r="D35" s="584"/>
      <c r="E35" s="584"/>
      <c r="F35" s="584"/>
      <c r="G35" s="584"/>
      <c r="H35" s="584"/>
      <c r="I35" s="584"/>
      <c r="J35" s="585"/>
    </row>
    <row r="36" spans="1:10">
      <c r="A36" s="541" t="s">
        <v>832</v>
      </c>
      <c r="B36" s="670">
        <v>14.458676260361832</v>
      </c>
      <c r="C36" s="670">
        <v>15.762221872276374</v>
      </c>
      <c r="D36" s="670">
        <v>13.09223884558388</v>
      </c>
      <c r="E36" s="670">
        <v>11.375658071748118</v>
      </c>
      <c r="F36" s="670">
        <v>14.210822553315975</v>
      </c>
      <c r="G36" s="670">
        <v>8.5478642166658503</v>
      </c>
      <c r="H36" s="670">
        <v>21.444663103114124</v>
      </c>
      <c r="I36" s="670">
        <v>24.188095013822387</v>
      </c>
      <c r="J36" s="670">
        <v>18.694002243139391</v>
      </c>
    </row>
    <row r="37" spans="1:10">
      <c r="A37" s="514" t="s">
        <v>831</v>
      </c>
      <c r="B37" s="670">
        <v>13.602553644539364</v>
      </c>
      <c r="C37" s="670">
        <v>15.133410462100176</v>
      </c>
      <c r="D37" s="670">
        <v>11.977968255696366</v>
      </c>
      <c r="E37" s="670">
        <v>10.009616569535</v>
      </c>
      <c r="F37" s="670">
        <v>12.710068990600458</v>
      </c>
      <c r="G37" s="670">
        <v>7.3617731199104872</v>
      </c>
      <c r="H37" s="670">
        <v>18.286155181559533</v>
      </c>
      <c r="I37" s="670">
        <v>21.949899382416213</v>
      </c>
      <c r="J37" s="670">
        <v>14.674983585029548</v>
      </c>
    </row>
    <row r="38" spans="1:10">
      <c r="A38" s="514" t="s">
        <v>830</v>
      </c>
      <c r="B38" s="668">
        <v>13.048468682279509</v>
      </c>
      <c r="C38" s="668">
        <v>14.509016009369391</v>
      </c>
      <c r="D38" s="668">
        <v>11.479237828290653</v>
      </c>
      <c r="E38" s="668">
        <v>9.1802380901915122</v>
      </c>
      <c r="F38" s="668">
        <v>11.467599790254178</v>
      </c>
      <c r="G38" s="668">
        <v>6.9095691065356037</v>
      </c>
      <c r="H38" s="668">
        <v>15.1070559440069</v>
      </c>
      <c r="I38" s="668">
        <v>18.317888233642233</v>
      </c>
      <c r="J38" s="668">
        <v>11.902927041152321</v>
      </c>
    </row>
    <row r="39" spans="1:10">
      <c r="A39" s="514" t="s">
        <v>829</v>
      </c>
      <c r="B39" s="670">
        <v>14.429709143915899</v>
      </c>
      <c r="C39" s="670">
        <v>15.967685879823451</v>
      </c>
      <c r="D39" s="670">
        <v>12.756668520686356</v>
      </c>
      <c r="E39" s="670">
        <v>9.6235454129767373</v>
      </c>
      <c r="F39" s="670">
        <v>11.850176389005242</v>
      </c>
      <c r="G39" s="670">
        <v>7.3855822395195005</v>
      </c>
      <c r="H39" s="670">
        <v>13.716138061033602</v>
      </c>
      <c r="I39" s="670">
        <v>16.198783883616525</v>
      </c>
      <c r="J39" s="670">
        <v>11.207762753710563</v>
      </c>
    </row>
    <row r="40" spans="1:10">
      <c r="A40" s="514" t="s">
        <v>828</v>
      </c>
      <c r="B40" s="670">
        <v>14.308114989804913</v>
      </c>
      <c r="C40" s="670">
        <v>15.816078971225425</v>
      </c>
      <c r="D40" s="670">
        <v>12.647183458838716</v>
      </c>
      <c r="E40" s="670">
        <v>9.2525893650896407</v>
      </c>
      <c r="F40" s="670">
        <v>11.366044684738993</v>
      </c>
      <c r="G40" s="670">
        <v>7.1017842528987662</v>
      </c>
      <c r="H40" s="670">
        <v>12.308162063525529</v>
      </c>
      <c r="I40" s="670">
        <v>13.374450099197791</v>
      </c>
      <c r="J40" s="670">
        <v>11.217331195858398</v>
      </c>
    </row>
    <row r="41" spans="1:10" ht="15">
      <c r="A41" s="511" t="s">
        <v>19</v>
      </c>
      <c r="B41" s="584"/>
      <c r="C41" s="584"/>
      <c r="D41" s="584"/>
      <c r="E41" s="584"/>
      <c r="F41" s="584"/>
      <c r="G41" s="584"/>
      <c r="H41" s="584"/>
      <c r="I41" s="584"/>
      <c r="J41" s="585"/>
    </row>
    <row r="42" spans="1:10">
      <c r="A42" s="541" t="s">
        <v>832</v>
      </c>
      <c r="B42" s="670">
        <v>52.146897350782936</v>
      </c>
      <c r="C42" s="670">
        <v>43.210077204388462</v>
      </c>
      <c r="D42" s="670">
        <v>65.639685402633091</v>
      </c>
      <c r="E42" s="670">
        <v>35.495822297392081</v>
      </c>
      <c r="F42" s="670">
        <v>33.331740681243126</v>
      </c>
      <c r="G42" s="670">
        <v>38.308496820818377</v>
      </c>
      <c r="H42" s="670" t="s">
        <v>806</v>
      </c>
      <c r="I42" s="670" t="s">
        <v>806</v>
      </c>
      <c r="J42" s="670" t="s">
        <v>806</v>
      </c>
    </row>
    <row r="43" spans="1:10">
      <c r="A43" s="514" t="s">
        <v>831</v>
      </c>
      <c r="B43" s="670">
        <v>50.552968568102443</v>
      </c>
      <c r="C43" s="670">
        <v>41.550241690550543</v>
      </c>
      <c r="D43" s="670">
        <v>63.878582192561453</v>
      </c>
      <c r="E43" s="670">
        <v>32.739715168969795</v>
      </c>
      <c r="F43" s="670">
        <v>30.571176279221081</v>
      </c>
      <c r="G43" s="670">
        <v>35.597060624617264</v>
      </c>
      <c r="H43" s="670" t="s">
        <v>806</v>
      </c>
      <c r="I43" s="670" t="s">
        <v>806</v>
      </c>
      <c r="J43" s="670" t="s">
        <v>806</v>
      </c>
    </row>
    <row r="44" spans="1:10">
      <c r="A44" s="514" t="s">
        <v>830</v>
      </c>
      <c r="B44" s="668">
        <v>56.37292104349492</v>
      </c>
      <c r="C44" s="668">
        <v>48.610839233290534</v>
      </c>
      <c r="D44" s="668">
        <v>67.653013979925291</v>
      </c>
      <c r="E44" s="668">
        <v>32.898942032179853</v>
      </c>
      <c r="F44" s="668">
        <v>31.752234868838844</v>
      </c>
      <c r="G44" s="668">
        <v>34.382306477093209</v>
      </c>
      <c r="H44" s="670" t="s">
        <v>806</v>
      </c>
      <c r="I44" s="670" t="s">
        <v>806</v>
      </c>
      <c r="J44" s="670" t="s">
        <v>806</v>
      </c>
    </row>
    <row r="45" spans="1:10">
      <c r="A45" s="514" t="s">
        <v>829</v>
      </c>
      <c r="B45" s="670">
        <v>56.125441745276461</v>
      </c>
      <c r="C45" s="670">
        <v>47.278110426894443</v>
      </c>
      <c r="D45" s="670">
        <v>68.770279039584693</v>
      </c>
      <c r="E45" s="670">
        <v>33.504042351181056</v>
      </c>
      <c r="F45" s="670">
        <v>29.654180155182157</v>
      </c>
      <c r="G45" s="670">
        <v>38.402196652719667</v>
      </c>
      <c r="H45" s="670" t="s">
        <v>806</v>
      </c>
      <c r="I45" s="670" t="s">
        <v>806</v>
      </c>
      <c r="J45" s="670" t="s">
        <v>806</v>
      </c>
    </row>
    <row r="46" spans="1:10">
      <c r="A46" s="514" t="s">
        <v>828</v>
      </c>
      <c r="B46" s="670">
        <v>57.587799624497507</v>
      </c>
      <c r="C46" s="670">
        <v>48.436144198154139</v>
      </c>
      <c r="D46" s="670">
        <v>70.439502617076087</v>
      </c>
      <c r="E46" s="670">
        <v>32.696485432848263</v>
      </c>
      <c r="F46" s="670">
        <v>28.619636831110398</v>
      </c>
      <c r="G46" s="670">
        <v>37.792955671621804</v>
      </c>
      <c r="H46" s="670" t="s">
        <v>806</v>
      </c>
      <c r="I46" s="670" t="s">
        <v>806</v>
      </c>
      <c r="J46" s="670" t="s">
        <v>806</v>
      </c>
    </row>
    <row r="47" spans="1:10" ht="15">
      <c r="A47" s="511" t="s">
        <v>20</v>
      </c>
      <c r="B47" s="584"/>
      <c r="C47" s="584"/>
      <c r="D47" s="584"/>
      <c r="E47" s="584"/>
      <c r="F47" s="584"/>
      <c r="G47" s="584"/>
      <c r="H47" s="584"/>
      <c r="I47" s="584"/>
      <c r="J47" s="585"/>
    </row>
    <row r="48" spans="1:10">
      <c r="A48" s="541" t="s">
        <v>832</v>
      </c>
      <c r="B48" s="670">
        <v>18.49772814164384</v>
      </c>
      <c r="C48" s="670">
        <v>17.381218602369415</v>
      </c>
      <c r="D48" s="670">
        <v>19.592666573779432</v>
      </c>
      <c r="E48" s="670">
        <v>18.648408662130933</v>
      </c>
      <c r="F48" s="670">
        <v>17.987594374684356</v>
      </c>
      <c r="G48" s="670">
        <v>19.314020885249864</v>
      </c>
      <c r="H48" s="670">
        <v>11.763713625187238</v>
      </c>
      <c r="I48" s="670">
        <v>10.317781384983382</v>
      </c>
      <c r="J48" s="670">
        <v>13.11206295476758</v>
      </c>
    </row>
    <row r="49" spans="1:10">
      <c r="A49" s="514" t="s">
        <v>831</v>
      </c>
      <c r="B49" s="670">
        <v>18.638288764483459</v>
      </c>
      <c r="C49" s="670">
        <v>18.107441477461187</v>
      </c>
      <c r="D49" s="670">
        <v>19.160570950856066</v>
      </c>
      <c r="E49" s="670">
        <v>18.312421999295015</v>
      </c>
      <c r="F49" s="670">
        <v>18.056925562179238</v>
      </c>
      <c r="G49" s="670">
        <v>18.567721353236674</v>
      </c>
      <c r="H49" s="670">
        <v>11.337894222778171</v>
      </c>
      <c r="I49" s="670">
        <v>10.395410721688085</v>
      </c>
      <c r="J49" s="670">
        <v>12.209765008102458</v>
      </c>
    </row>
    <row r="50" spans="1:10">
      <c r="A50" s="514" t="s">
        <v>830</v>
      </c>
      <c r="B50" s="668">
        <v>18.379260623383434</v>
      </c>
      <c r="C50" s="668">
        <v>18.480822019198897</v>
      </c>
      <c r="D50" s="668">
        <v>18.279009043636258</v>
      </c>
      <c r="E50" s="668">
        <v>18.113130634951084</v>
      </c>
      <c r="F50" s="668">
        <v>18.830167351591612</v>
      </c>
      <c r="G50" s="668">
        <v>17.394289775182706</v>
      </c>
      <c r="H50" s="668">
        <v>11.180769193443513</v>
      </c>
      <c r="I50" s="668">
        <v>10.939344589130547</v>
      </c>
      <c r="J50" s="668">
        <v>11.404840118092228</v>
      </c>
    </row>
    <row r="51" spans="1:10">
      <c r="A51" s="514" t="s">
        <v>829</v>
      </c>
      <c r="B51" s="670">
        <v>16.09768205045</v>
      </c>
      <c r="C51" s="670">
        <v>16.376426320444235</v>
      </c>
      <c r="D51" s="670">
        <v>15.821612789542819</v>
      </c>
      <c r="E51" s="670">
        <v>15.344313907278373</v>
      </c>
      <c r="F51" s="670">
        <v>16.08433357888098</v>
      </c>
      <c r="G51" s="670">
        <v>14.59995060221709</v>
      </c>
      <c r="H51" s="670">
        <v>9.9169255391805056</v>
      </c>
      <c r="I51" s="670">
        <v>9.8896397360000545</v>
      </c>
      <c r="J51" s="670">
        <v>9.9423347103105542</v>
      </c>
    </row>
    <row r="52" spans="1:10">
      <c r="A52" s="514" t="s">
        <v>828</v>
      </c>
      <c r="B52" s="670">
        <v>15.108142699865269</v>
      </c>
      <c r="C52" s="670">
        <v>15.666624389831446</v>
      </c>
      <c r="D52" s="670">
        <v>14.553147317345584</v>
      </c>
      <c r="E52" s="670">
        <v>14.713383694100886</v>
      </c>
      <c r="F52" s="670">
        <v>15.604141355960099</v>
      </c>
      <c r="G52" s="670">
        <v>13.814362481680508</v>
      </c>
      <c r="H52" s="670">
        <v>9.3043091259604971</v>
      </c>
      <c r="I52" s="670">
        <v>9.5391169898967476</v>
      </c>
      <c r="J52" s="670">
        <v>9.0849095316459447</v>
      </c>
    </row>
    <row r="53" spans="1:10" ht="15">
      <c r="A53" s="511" t="s">
        <v>155</v>
      </c>
      <c r="B53" s="584"/>
      <c r="C53" s="584"/>
      <c r="D53" s="584"/>
      <c r="E53" s="584"/>
      <c r="F53" s="584"/>
      <c r="G53" s="584"/>
      <c r="H53" s="584"/>
      <c r="I53" s="584"/>
      <c r="J53" s="585"/>
    </row>
    <row r="54" spans="1:10">
      <c r="A54" s="541" t="s">
        <v>832</v>
      </c>
      <c r="B54" s="670">
        <v>9.440621400513896</v>
      </c>
      <c r="C54" s="670">
        <v>7.3728593974512995</v>
      </c>
      <c r="D54" s="670">
        <v>12.915099940629329</v>
      </c>
      <c r="E54" s="670">
        <v>20.1870055106161</v>
      </c>
      <c r="F54" s="670">
        <v>18.312097010302789</v>
      </c>
      <c r="G54" s="670">
        <v>22.727718061395137</v>
      </c>
      <c r="H54" s="670">
        <v>4.9900035341800093</v>
      </c>
      <c r="I54" s="670">
        <v>4.6213892082819266</v>
      </c>
      <c r="J54" s="670">
        <v>5.3295013650357941</v>
      </c>
    </row>
    <row r="55" spans="1:10">
      <c r="A55" s="514" t="s">
        <v>831</v>
      </c>
      <c r="B55" s="670">
        <v>9.3294193193285029</v>
      </c>
      <c r="C55" s="670">
        <v>7.4028859535610518</v>
      </c>
      <c r="D55" s="670">
        <v>12.556750787353266</v>
      </c>
      <c r="E55" s="670">
        <v>18.441064638783271</v>
      </c>
      <c r="F55" s="670">
        <v>15.231788079470199</v>
      </c>
      <c r="G55" s="670">
        <v>22.767857142857142</v>
      </c>
      <c r="H55" s="670">
        <v>4.9613871484773426</v>
      </c>
      <c r="I55" s="670">
        <v>4.8696844993141291</v>
      </c>
      <c r="J55" s="670">
        <v>5.0453593859036978</v>
      </c>
    </row>
    <row r="56" spans="1:10">
      <c r="A56" s="514" t="s">
        <v>830</v>
      </c>
      <c r="B56" s="668">
        <v>9.1317270600139135</v>
      </c>
      <c r="C56" s="668">
        <v>7.1927920652146478</v>
      </c>
      <c r="D56" s="668">
        <v>12.383088577595329</v>
      </c>
      <c r="E56" s="668">
        <v>21.238938053097346</v>
      </c>
      <c r="F56" s="668">
        <v>15.924657534246576</v>
      </c>
      <c r="G56" s="668">
        <v>28.406466512702078</v>
      </c>
      <c r="H56" s="668">
        <v>5.4249547920433994</v>
      </c>
      <c r="I56" s="668">
        <v>5.4037022449783381</v>
      </c>
      <c r="J56" s="668">
        <v>5.4444364214022674</v>
      </c>
    </row>
    <row r="57" spans="1:10">
      <c r="A57" s="514" t="s">
        <v>829</v>
      </c>
      <c r="B57" s="670">
        <v>9.2093632345719438</v>
      </c>
      <c r="C57" s="670">
        <v>7.6217839885072483</v>
      </c>
      <c r="D57" s="670">
        <v>11.874588905941678</v>
      </c>
      <c r="E57" s="670">
        <v>21.486761710794298</v>
      </c>
      <c r="F57" s="670">
        <v>14.893617021276597</v>
      </c>
      <c r="G57" s="670">
        <v>30.382775119617229</v>
      </c>
      <c r="H57" s="670">
        <v>5.9144818976279652</v>
      </c>
      <c r="I57" s="670">
        <v>6.5465514430132075</v>
      </c>
      <c r="J57" s="670">
        <v>5.3344306449199461</v>
      </c>
    </row>
    <row r="58" spans="1:10">
      <c r="A58" s="514" t="s">
        <v>828</v>
      </c>
      <c r="B58" s="670">
        <v>9.1132387588350294</v>
      </c>
      <c r="C58" s="670">
        <v>7.8031115879828326</v>
      </c>
      <c r="D58" s="670">
        <v>11.277529135463288</v>
      </c>
      <c r="E58" s="670">
        <v>22.925311203319502</v>
      </c>
      <c r="F58" s="670">
        <v>17.272727272727273</v>
      </c>
      <c r="G58" s="670">
        <v>30.434782608695656</v>
      </c>
      <c r="H58" s="670">
        <v>6.6028365976719234</v>
      </c>
      <c r="I58" s="670">
        <v>7.5519089082384463</v>
      </c>
      <c r="J58" s="670">
        <v>5.745822937929991</v>
      </c>
    </row>
    <row r="59" spans="1:10" ht="15">
      <c r="A59" s="511" t="s">
        <v>156</v>
      </c>
      <c r="B59" s="584"/>
      <c r="C59" s="584"/>
      <c r="D59" s="584"/>
      <c r="E59" s="584"/>
      <c r="F59" s="584"/>
      <c r="G59" s="584"/>
      <c r="H59" s="584"/>
      <c r="I59" s="584"/>
      <c r="J59" s="585"/>
    </row>
    <row r="60" spans="1:10">
      <c r="A60" s="541" t="s">
        <v>832</v>
      </c>
      <c r="B60" s="670">
        <v>6.0782191992580001</v>
      </c>
      <c r="C60" s="670">
        <v>4.4293428796796315</v>
      </c>
      <c r="D60" s="670">
        <v>11.425198399685184</v>
      </c>
      <c r="E60" s="670">
        <v>23.260262157198813</v>
      </c>
      <c r="F60" s="670">
        <v>16.836848515686562</v>
      </c>
      <c r="G60" s="670">
        <v>31.674345777199427</v>
      </c>
      <c r="H60" s="670">
        <v>15.503764918257115</v>
      </c>
      <c r="I60" s="670">
        <v>9.8912979447414742</v>
      </c>
      <c r="J60" s="670">
        <v>21.808673933783993</v>
      </c>
    </row>
    <row r="61" spans="1:10">
      <c r="A61" s="514" t="s">
        <v>831</v>
      </c>
      <c r="B61" s="670">
        <v>5.5166488344194793</v>
      </c>
      <c r="C61" s="670">
        <v>4.1790917610973839</v>
      </c>
      <c r="D61" s="670">
        <v>9.777446057809744</v>
      </c>
      <c r="E61" s="670">
        <v>20.1171875</v>
      </c>
      <c r="F61" s="670">
        <v>16.068376068376068</v>
      </c>
      <c r="G61" s="670">
        <v>25.512528473804103</v>
      </c>
      <c r="H61" s="670">
        <v>12.777151446824503</v>
      </c>
      <c r="I61" s="670">
        <v>10.296191819464035</v>
      </c>
      <c r="J61" s="670">
        <v>15.607401448109414</v>
      </c>
    </row>
    <row r="62" spans="1:10">
      <c r="A62" s="514" t="s">
        <v>830</v>
      </c>
      <c r="B62" s="668">
        <v>5.2207410411069999</v>
      </c>
      <c r="C62" s="668">
        <v>4.0328336902212705</v>
      </c>
      <c r="D62" s="668">
        <v>8.9306861720654815</v>
      </c>
      <c r="E62" s="668">
        <v>22.413793103448278</v>
      </c>
      <c r="F62" s="668">
        <v>20.071684587813621</v>
      </c>
      <c r="G62" s="668">
        <v>25.467289719626166</v>
      </c>
      <c r="H62" s="668">
        <v>11.189083820662768</v>
      </c>
      <c r="I62" s="668">
        <v>9.5273264401772533</v>
      </c>
      <c r="J62" s="668">
        <v>13.047068538398019</v>
      </c>
    </row>
    <row r="63" spans="1:10">
      <c r="A63" s="514" t="s">
        <v>829</v>
      </c>
      <c r="B63" s="670">
        <v>5.5025316232380073</v>
      </c>
      <c r="C63" s="670">
        <v>4.5278954884929643</v>
      </c>
      <c r="D63" s="670">
        <v>8.4824624194702949</v>
      </c>
      <c r="E63" s="670">
        <v>24.050632911392405</v>
      </c>
      <c r="F63" s="670">
        <v>19.548872180451127</v>
      </c>
      <c r="G63" s="670">
        <v>29.807692307692307</v>
      </c>
      <c r="H63" s="670">
        <v>12.034035656401946</v>
      </c>
      <c r="I63" s="670">
        <v>12.170542635658915</v>
      </c>
      <c r="J63" s="670">
        <v>11.884550084889645</v>
      </c>
    </row>
    <row r="64" spans="1:10">
      <c r="A64" s="514" t="s">
        <v>828</v>
      </c>
      <c r="B64" s="670">
        <v>5.7358074591218084</v>
      </c>
      <c r="C64" s="670">
        <v>4.5906040268456376</v>
      </c>
      <c r="D64" s="670">
        <v>9.2233370494240052</v>
      </c>
      <c r="E64" s="670">
        <v>25.137211855104283</v>
      </c>
      <c r="F64" s="670">
        <v>23.137254901960787</v>
      </c>
      <c r="G64" s="670">
        <v>27.680798004987533</v>
      </c>
      <c r="H64" s="670">
        <v>13.954468802698146</v>
      </c>
      <c r="I64" s="670">
        <v>15.198059822150364</v>
      </c>
      <c r="J64" s="670">
        <v>12.599118942731279</v>
      </c>
    </row>
    <row r="65" spans="1:10" ht="15">
      <c r="A65" s="511" t="s">
        <v>23</v>
      </c>
      <c r="B65" s="584"/>
      <c r="C65" s="584"/>
      <c r="D65" s="584"/>
      <c r="E65" s="584"/>
      <c r="F65" s="584"/>
      <c r="G65" s="584"/>
      <c r="H65" s="584"/>
      <c r="I65" s="584"/>
      <c r="J65" s="585"/>
    </row>
    <row r="66" spans="1:10">
      <c r="A66" s="541" t="s">
        <v>832</v>
      </c>
      <c r="B66" s="670">
        <v>48.020054842227921</v>
      </c>
      <c r="C66" s="670">
        <v>44.876562642966029</v>
      </c>
      <c r="D66" s="670">
        <v>51.810631058383962</v>
      </c>
      <c r="E66" s="670">
        <v>37.79436905862579</v>
      </c>
      <c r="F66" s="670">
        <v>35.148781032766465</v>
      </c>
      <c r="G66" s="670">
        <v>40.858113070484727</v>
      </c>
      <c r="H66" s="670" t="s">
        <v>806</v>
      </c>
      <c r="I66" s="670" t="s">
        <v>806</v>
      </c>
      <c r="J66" s="670" t="s">
        <v>806</v>
      </c>
    </row>
    <row r="67" spans="1:10">
      <c r="A67" s="514" t="s">
        <v>831</v>
      </c>
      <c r="B67" s="670">
        <v>46.276969696709415</v>
      </c>
      <c r="C67" s="670">
        <v>43.175251870426024</v>
      </c>
      <c r="D67" s="670">
        <v>50.020282053226168</v>
      </c>
      <c r="E67" s="670">
        <v>33.897033347024284</v>
      </c>
      <c r="F67" s="670">
        <v>31.78612615161687</v>
      </c>
      <c r="G67" s="670">
        <v>36.327955290493307</v>
      </c>
      <c r="H67" s="670" t="s">
        <v>806</v>
      </c>
      <c r="I67" s="670" t="s">
        <v>806</v>
      </c>
      <c r="J67" s="670" t="s">
        <v>806</v>
      </c>
    </row>
    <row r="68" spans="1:10">
      <c r="A68" s="514" t="s">
        <v>830</v>
      </c>
      <c r="B68" s="668">
        <v>46.31845171032392</v>
      </c>
      <c r="C68" s="668">
        <v>44.948041905171877</v>
      </c>
      <c r="D68" s="668">
        <v>47.973777584113321</v>
      </c>
      <c r="E68" s="668">
        <v>31.842372640972048</v>
      </c>
      <c r="F68" s="668">
        <v>31.739883715376234</v>
      </c>
      <c r="G68" s="668">
        <v>31.960501686636039</v>
      </c>
      <c r="H68" s="670" t="s">
        <v>806</v>
      </c>
      <c r="I68" s="670" t="s">
        <v>806</v>
      </c>
      <c r="J68" s="670" t="s">
        <v>806</v>
      </c>
    </row>
    <row r="69" spans="1:10">
      <c r="A69" s="514" t="s">
        <v>829</v>
      </c>
      <c r="B69" s="670">
        <v>45.323879962534598</v>
      </c>
      <c r="C69" s="670">
        <v>42.787966488711128</v>
      </c>
      <c r="D69" s="670">
        <v>48.389862043839706</v>
      </c>
      <c r="E69" s="670">
        <v>29.7263101347244</v>
      </c>
      <c r="F69" s="670">
        <v>28.908349570931545</v>
      </c>
      <c r="G69" s="670">
        <v>30.669968386707193</v>
      </c>
      <c r="H69" s="670" t="s">
        <v>806</v>
      </c>
      <c r="I69" s="670" t="s">
        <v>806</v>
      </c>
      <c r="J69" s="670" t="s">
        <v>806</v>
      </c>
    </row>
    <row r="70" spans="1:10">
      <c r="A70" s="514" t="s">
        <v>828</v>
      </c>
      <c r="B70" s="670">
        <v>45.358012298662914</v>
      </c>
      <c r="C70" s="670">
        <v>42.999179682239102</v>
      </c>
      <c r="D70" s="670">
        <v>48.212662889294549</v>
      </c>
      <c r="E70" s="670">
        <v>29.465831508514363</v>
      </c>
      <c r="F70" s="670">
        <v>30.22742868346241</v>
      </c>
      <c r="G70" s="670">
        <v>28.586350795766204</v>
      </c>
      <c r="H70" s="670" t="s">
        <v>806</v>
      </c>
      <c r="I70" s="670" t="s">
        <v>806</v>
      </c>
      <c r="J70" s="670" t="s">
        <v>806</v>
      </c>
    </row>
    <row r="71" spans="1:10" ht="15">
      <c r="A71" s="511" t="s">
        <v>24</v>
      </c>
      <c r="B71" s="584"/>
      <c r="C71" s="584"/>
      <c r="D71" s="584"/>
      <c r="E71" s="584"/>
      <c r="F71" s="584"/>
      <c r="G71" s="584"/>
      <c r="H71" s="584"/>
      <c r="I71" s="584"/>
      <c r="J71" s="585"/>
    </row>
    <row r="72" spans="1:10">
      <c r="A72" s="541" t="s">
        <v>832</v>
      </c>
      <c r="B72" s="670">
        <v>28.443481634764613</v>
      </c>
      <c r="C72" s="670">
        <v>23.771347248576848</v>
      </c>
      <c r="D72" s="670">
        <v>34.586119149785453</v>
      </c>
      <c r="E72" s="670">
        <v>31.710052027364227</v>
      </c>
      <c r="F72" s="670">
        <v>30.361385464038079</v>
      </c>
      <c r="G72" s="670">
        <v>33.227009785885677</v>
      </c>
      <c r="H72" s="670">
        <v>26.366354351611427</v>
      </c>
      <c r="I72" s="670">
        <v>20.636254182588385</v>
      </c>
      <c r="J72" s="670">
        <v>32.700425871793712</v>
      </c>
    </row>
    <row r="73" spans="1:10">
      <c r="A73" s="514" t="s">
        <v>831</v>
      </c>
      <c r="B73" s="670">
        <v>30.136850401512351</v>
      </c>
      <c r="C73" s="670">
        <v>26.370499305704953</v>
      </c>
      <c r="D73" s="670">
        <v>35.001326142692953</v>
      </c>
      <c r="E73" s="670">
        <v>30.121503249505508</v>
      </c>
      <c r="F73" s="670">
        <v>29.29936305732484</v>
      </c>
      <c r="G73" s="670">
        <v>31.05740181268882</v>
      </c>
      <c r="H73" s="670">
        <v>26.377772696089643</v>
      </c>
      <c r="I73" s="670">
        <v>21.57011369788847</v>
      </c>
      <c r="J73" s="670">
        <v>31.754874651810589</v>
      </c>
    </row>
    <row r="74" spans="1:10">
      <c r="A74" s="514" t="s">
        <v>830</v>
      </c>
      <c r="B74" s="668">
        <v>27.998693065134685</v>
      </c>
      <c r="C74" s="668">
        <v>24.941102180285529</v>
      </c>
      <c r="D74" s="668">
        <v>31.883064105500804</v>
      </c>
      <c r="E74" s="668">
        <v>28.563168545822489</v>
      </c>
      <c r="F74" s="668">
        <v>28.243021346469622</v>
      </c>
      <c r="G74" s="668">
        <v>28.921568627450981</v>
      </c>
      <c r="H74" s="668">
        <v>23.854069223573433</v>
      </c>
      <c r="I74" s="668">
        <v>20.680803571428573</v>
      </c>
      <c r="J74" s="668">
        <v>27.345284872298624</v>
      </c>
    </row>
    <row r="75" spans="1:10">
      <c r="A75" s="514" t="s">
        <v>829</v>
      </c>
      <c r="B75" s="670">
        <v>28.08123936185558</v>
      </c>
      <c r="C75" s="670">
        <v>25.021542550430333</v>
      </c>
      <c r="D75" s="670">
        <v>31.908979920513286</v>
      </c>
      <c r="E75" s="670">
        <v>24.741353827963348</v>
      </c>
      <c r="F75" s="670">
        <v>23.562570462232244</v>
      </c>
      <c r="G75" s="670">
        <v>26.041019266625234</v>
      </c>
      <c r="H75" s="670">
        <v>22.453371592539455</v>
      </c>
      <c r="I75" s="670">
        <v>19.450511553052078</v>
      </c>
      <c r="J75" s="670">
        <v>25.706812803586995</v>
      </c>
    </row>
    <row r="76" spans="1:10">
      <c r="A76" s="514" t="s">
        <v>828</v>
      </c>
      <c r="B76" s="670">
        <v>27.631240500409216</v>
      </c>
      <c r="C76" s="670">
        <v>25.002120171309841</v>
      </c>
      <c r="D76" s="670">
        <v>30.863570013554376</v>
      </c>
      <c r="E76" s="670">
        <v>27.229204069419509</v>
      </c>
      <c r="F76" s="670">
        <v>27.675489067894134</v>
      </c>
      <c r="G76" s="670">
        <v>26.74563591022444</v>
      </c>
      <c r="H76" s="670">
        <v>20.593220338983052</v>
      </c>
      <c r="I76" s="670">
        <v>17.325977227374107</v>
      </c>
      <c r="J76" s="670">
        <v>24.071991001124857</v>
      </c>
    </row>
    <row r="77" spans="1:10" ht="15">
      <c r="A77" s="511" t="s">
        <v>25</v>
      </c>
      <c r="B77" s="584"/>
      <c r="C77" s="584"/>
      <c r="D77" s="584"/>
      <c r="E77" s="584"/>
      <c r="F77" s="584"/>
      <c r="G77" s="584"/>
      <c r="H77" s="584"/>
      <c r="I77" s="584"/>
      <c r="J77" s="585"/>
    </row>
    <row r="78" spans="1:10">
      <c r="A78" s="541" t="s">
        <v>832</v>
      </c>
      <c r="B78" s="670">
        <v>21.320100713062168</v>
      </c>
      <c r="C78" s="670">
        <v>22.86429431090864</v>
      </c>
      <c r="D78" s="670">
        <v>19.633138264770562</v>
      </c>
      <c r="E78" s="670">
        <v>27.687778584961663</v>
      </c>
      <c r="F78" s="670">
        <v>29.198029742803282</v>
      </c>
      <c r="G78" s="670">
        <v>26.024295576434216</v>
      </c>
      <c r="H78" s="670">
        <v>16.664763174113723</v>
      </c>
      <c r="I78" s="670">
        <v>16.427953897731104</v>
      </c>
      <c r="J78" s="670">
        <v>16.901933630573396</v>
      </c>
    </row>
    <row r="79" spans="1:10">
      <c r="A79" s="514" t="s">
        <v>831</v>
      </c>
      <c r="B79" s="670">
        <v>20.438075708099788</v>
      </c>
      <c r="C79" s="670">
        <v>22.012541884020475</v>
      </c>
      <c r="D79" s="670">
        <v>18.710145961563782</v>
      </c>
      <c r="E79" s="670">
        <v>26.925594716231224</v>
      </c>
      <c r="F79" s="670">
        <v>28.821374832449063</v>
      </c>
      <c r="G79" s="670">
        <v>24.856890250610128</v>
      </c>
      <c r="H79" s="670">
        <v>14.917229117932644</v>
      </c>
      <c r="I79" s="670">
        <v>14.99359805745588</v>
      </c>
      <c r="J79" s="670">
        <v>14.841455016394116</v>
      </c>
    </row>
    <row r="80" spans="1:10">
      <c r="A80" s="514" t="s">
        <v>830</v>
      </c>
      <c r="B80" s="668">
        <v>20.136318213838166</v>
      </c>
      <c r="C80" s="668">
        <v>21.868119237268317</v>
      </c>
      <c r="D80" s="668">
        <v>18.22691082872133</v>
      </c>
      <c r="E80" s="668">
        <v>26.813583278994489</v>
      </c>
      <c r="F80" s="668">
        <v>29.115507091099818</v>
      </c>
      <c r="G80" s="668">
        <v>24.290046532185787</v>
      </c>
      <c r="H80" s="668">
        <v>13.727937557133815</v>
      </c>
      <c r="I80" s="668">
        <v>13.798910803101457</v>
      </c>
      <c r="J80" s="668">
        <v>13.657190880614182</v>
      </c>
    </row>
    <row r="81" spans="1:10">
      <c r="A81" s="514" t="s">
        <v>829</v>
      </c>
      <c r="B81" s="670">
        <v>20.246961992025653</v>
      </c>
      <c r="C81" s="670">
        <v>22.911086821141364</v>
      </c>
      <c r="D81" s="670">
        <v>17.295853068119659</v>
      </c>
      <c r="E81" s="670">
        <v>26.904708333740942</v>
      </c>
      <c r="F81" s="670">
        <v>31.569674119974614</v>
      </c>
      <c r="G81" s="670">
        <v>21.766676945215334</v>
      </c>
      <c r="H81" s="670">
        <v>13.772764160652711</v>
      </c>
      <c r="I81" s="670">
        <v>14.938397931960163</v>
      </c>
      <c r="J81" s="670">
        <v>12.605406347303154</v>
      </c>
    </row>
    <row r="82" spans="1:10">
      <c r="A82" s="514" t="s">
        <v>828</v>
      </c>
      <c r="B82" s="670">
        <v>20.696998290940876</v>
      </c>
      <c r="C82" s="670">
        <v>22.86669715799183</v>
      </c>
      <c r="D82" s="670">
        <v>18.282210826049969</v>
      </c>
      <c r="E82" s="670">
        <v>25.542257981649215</v>
      </c>
      <c r="F82" s="670">
        <v>27.715021651485738</v>
      </c>
      <c r="G82" s="670">
        <v>23.137839724708865</v>
      </c>
      <c r="H82" s="670">
        <v>13.209819081715555</v>
      </c>
      <c r="I82" s="670">
        <v>13.370260047477204</v>
      </c>
      <c r="J82" s="670">
        <v>13.048380911091842</v>
      </c>
    </row>
    <row r="83" spans="1:10" ht="15">
      <c r="A83" s="511" t="s">
        <v>26</v>
      </c>
      <c r="B83" s="584"/>
      <c r="C83" s="584"/>
      <c r="D83" s="584"/>
      <c r="E83" s="584"/>
      <c r="F83" s="584"/>
      <c r="G83" s="584"/>
      <c r="H83" s="584"/>
      <c r="I83" s="584"/>
      <c r="J83" s="585"/>
    </row>
    <row r="84" spans="1:10">
      <c r="A84" s="541" t="s">
        <v>832</v>
      </c>
      <c r="B84" s="670">
        <v>29.336238231845719</v>
      </c>
      <c r="C84" s="670">
        <v>26.648198548283212</v>
      </c>
      <c r="D84" s="670">
        <v>32.530456859773288</v>
      </c>
      <c r="E84" s="670">
        <v>19.296325049334875</v>
      </c>
      <c r="F84" s="670">
        <v>17.383954076172568</v>
      </c>
      <c r="G84" s="670">
        <v>21.602875627224005</v>
      </c>
      <c r="H84" s="670" t="s">
        <v>806</v>
      </c>
      <c r="I84" s="670" t="s">
        <v>806</v>
      </c>
      <c r="J84" s="670" t="s">
        <v>806</v>
      </c>
    </row>
    <row r="85" spans="1:10">
      <c r="A85" s="514" t="s">
        <v>831</v>
      </c>
      <c r="B85" s="670">
        <v>29.177935547342493</v>
      </c>
      <c r="C85" s="670">
        <v>26.451666269467573</v>
      </c>
      <c r="D85" s="670">
        <v>32.417681371814453</v>
      </c>
      <c r="E85" s="670">
        <v>19.982118577848684</v>
      </c>
      <c r="F85" s="670">
        <v>18.296292471060834</v>
      </c>
      <c r="G85" s="670">
        <v>22.005702801811324</v>
      </c>
      <c r="H85" s="670" t="s">
        <v>806</v>
      </c>
      <c r="I85" s="670" t="s">
        <v>806</v>
      </c>
      <c r="J85" s="670" t="s">
        <v>806</v>
      </c>
    </row>
    <row r="86" spans="1:10">
      <c r="A86" s="514" t="s">
        <v>830</v>
      </c>
      <c r="B86" s="668">
        <v>28.68356146179001</v>
      </c>
      <c r="C86" s="668">
        <v>27.026460007584898</v>
      </c>
      <c r="D86" s="668">
        <v>30.652913032712611</v>
      </c>
      <c r="E86" s="668">
        <v>18.643695981810016</v>
      </c>
      <c r="F86" s="668">
        <v>17.988295259417047</v>
      </c>
      <c r="G86" s="668">
        <v>19.430465001744938</v>
      </c>
      <c r="H86" s="670" t="s">
        <v>806</v>
      </c>
      <c r="I86" s="670" t="s">
        <v>806</v>
      </c>
      <c r="J86" s="670" t="s">
        <v>806</v>
      </c>
    </row>
    <row r="87" spans="1:10">
      <c r="A87" s="514" t="s">
        <v>829</v>
      </c>
      <c r="B87" s="670">
        <v>29.049548648708893</v>
      </c>
      <c r="C87" s="670">
        <v>28.506203485421143</v>
      </c>
      <c r="D87" s="670">
        <v>29.695357704075708</v>
      </c>
      <c r="E87" s="670">
        <v>18.269938959420386</v>
      </c>
      <c r="F87" s="670">
        <v>18.292937990455055</v>
      </c>
      <c r="G87" s="670">
        <v>18.242326606749195</v>
      </c>
      <c r="H87" s="670" t="s">
        <v>806</v>
      </c>
      <c r="I87" s="670" t="s">
        <v>806</v>
      </c>
      <c r="J87" s="670" t="s">
        <v>806</v>
      </c>
    </row>
    <row r="88" spans="1:10">
      <c r="A88" s="514" t="s">
        <v>828</v>
      </c>
      <c r="B88" s="670">
        <v>26.107980043064437</v>
      </c>
      <c r="C88" s="670">
        <v>25.89844517657939</v>
      </c>
      <c r="D88" s="670">
        <v>26.357070660915966</v>
      </c>
      <c r="E88" s="670">
        <v>17.021733750809442</v>
      </c>
      <c r="F88" s="670">
        <v>17.313808190457049</v>
      </c>
      <c r="G88" s="670">
        <v>16.671014870858336</v>
      </c>
      <c r="H88" s="670" t="s">
        <v>806</v>
      </c>
      <c r="I88" s="670" t="s">
        <v>806</v>
      </c>
      <c r="J88" s="670" t="s">
        <v>806</v>
      </c>
    </row>
    <row r="89" spans="1:10" ht="15">
      <c r="A89" s="537" t="s">
        <v>27</v>
      </c>
      <c r="B89" s="671"/>
      <c r="C89" s="671"/>
      <c r="D89" s="671"/>
      <c r="E89" s="671"/>
      <c r="F89" s="671"/>
      <c r="G89" s="671"/>
      <c r="H89" s="671"/>
      <c r="I89" s="671"/>
      <c r="J89" s="672"/>
    </row>
    <row r="90" spans="1:10">
      <c r="A90" s="541" t="s">
        <v>832</v>
      </c>
      <c r="B90" s="670">
        <v>40.846366145354189</v>
      </c>
      <c r="C90" s="670">
        <v>35.743614556837137</v>
      </c>
      <c r="D90" s="670">
        <v>46.41848273663517</v>
      </c>
      <c r="E90" s="670">
        <v>29.229618866903369</v>
      </c>
      <c r="F90" s="670">
        <v>25.115664267285048</v>
      </c>
      <c r="G90" s="670">
        <v>33.584539930801604</v>
      </c>
      <c r="H90" s="670">
        <v>39.484359467480111</v>
      </c>
      <c r="I90" s="670">
        <v>35.35089146500453</v>
      </c>
      <c r="J90" s="670">
        <v>43.688962939248235</v>
      </c>
    </row>
    <row r="91" spans="1:10">
      <c r="A91" s="514" t="s">
        <v>831</v>
      </c>
      <c r="B91" s="670">
        <v>39.554210420707648</v>
      </c>
      <c r="C91" s="670">
        <v>34.6515014428199</v>
      </c>
      <c r="D91" s="670">
        <v>44.877264774438061</v>
      </c>
      <c r="E91" s="670">
        <v>29.377555656519764</v>
      </c>
      <c r="F91" s="670">
        <v>25.645714285714284</v>
      </c>
      <c r="G91" s="670">
        <v>33.331865470358338</v>
      </c>
      <c r="H91" s="670">
        <v>39.656570474600521</v>
      </c>
      <c r="I91" s="670">
        <v>35.690649522548931</v>
      </c>
      <c r="J91" s="670">
        <v>43.69464767038891</v>
      </c>
    </row>
    <row r="92" spans="1:10">
      <c r="A92" s="514" t="s">
        <v>830</v>
      </c>
      <c r="B92" s="668">
        <v>37.944217975431243</v>
      </c>
      <c r="C92" s="668">
        <v>34.022518020513829</v>
      </c>
      <c r="D92" s="668">
        <v>42.177988294386168</v>
      </c>
      <c r="E92" s="668">
        <v>27.655216466327754</v>
      </c>
      <c r="F92" s="668">
        <v>25.093120408289259</v>
      </c>
      <c r="G92" s="668">
        <v>30.354606853636593</v>
      </c>
      <c r="H92" s="668">
        <v>38.532196523623348</v>
      </c>
      <c r="I92" s="668">
        <v>36.451310861423224</v>
      </c>
      <c r="J92" s="668">
        <v>40.638923120674946</v>
      </c>
    </row>
    <row r="93" spans="1:10">
      <c r="A93" s="514" t="s">
        <v>829</v>
      </c>
      <c r="B93" s="670">
        <v>36.732479989559771</v>
      </c>
      <c r="C93" s="670">
        <v>33.045291153665382</v>
      </c>
      <c r="D93" s="670">
        <v>40.690702964464201</v>
      </c>
      <c r="E93" s="670">
        <v>24.676326890287463</v>
      </c>
      <c r="F93" s="670">
        <v>22.730422730422731</v>
      </c>
      <c r="G93" s="670">
        <v>26.714998024749356</v>
      </c>
      <c r="H93" s="670">
        <v>35.989113240904437</v>
      </c>
      <c r="I93" s="670">
        <v>33.696559399054067</v>
      </c>
      <c r="J93" s="670">
        <v>38.297077770516289</v>
      </c>
    </row>
    <row r="94" spans="1:10">
      <c r="A94" s="514" t="s">
        <v>828</v>
      </c>
      <c r="B94" s="670">
        <v>32.459352787055202</v>
      </c>
      <c r="C94" s="670">
        <v>29.647547187478054</v>
      </c>
      <c r="D94" s="670">
        <v>35.46098700029431</v>
      </c>
      <c r="E94" s="670">
        <v>21.136075655963161</v>
      </c>
      <c r="F94" s="670">
        <v>20.006258896213367</v>
      </c>
      <c r="G94" s="670">
        <v>22.313136943512511</v>
      </c>
      <c r="H94" s="670">
        <v>31.753216911764707</v>
      </c>
      <c r="I94" s="670">
        <v>30.778063567885358</v>
      </c>
      <c r="J94" s="670">
        <v>32.729446385874567</v>
      </c>
    </row>
    <row r="95" spans="1:10" ht="15">
      <c r="A95" s="537" t="s">
        <v>57</v>
      </c>
      <c r="B95" s="671"/>
      <c r="C95" s="671"/>
      <c r="D95" s="671"/>
      <c r="E95" s="671"/>
      <c r="F95" s="671"/>
      <c r="G95" s="671"/>
      <c r="H95" s="671"/>
      <c r="I95" s="671"/>
      <c r="J95" s="672"/>
    </row>
    <row r="96" spans="1:10">
      <c r="A96" s="541" t="s">
        <v>832</v>
      </c>
      <c r="B96" s="670">
        <v>32.420375884734668</v>
      </c>
      <c r="C96" s="670">
        <v>31.682656699866548</v>
      </c>
      <c r="D96" s="670">
        <v>33.205706282959412</v>
      </c>
      <c r="E96" s="670">
        <v>20.340568650313585</v>
      </c>
      <c r="F96" s="670">
        <v>17.347117216647657</v>
      </c>
      <c r="G96" s="670">
        <v>23.573945363294875</v>
      </c>
      <c r="H96" s="670">
        <v>21.089463604758155</v>
      </c>
      <c r="I96" s="670">
        <v>22.985173009299004</v>
      </c>
      <c r="J96" s="670">
        <v>19.166829890148446</v>
      </c>
    </row>
    <row r="97" spans="1:10">
      <c r="A97" s="514" t="s">
        <v>831</v>
      </c>
      <c r="B97" s="670">
        <v>30.859044048441227</v>
      </c>
      <c r="C97" s="670">
        <v>29.607717080803731</v>
      </c>
      <c r="D97" s="670">
        <v>32.195378661528245</v>
      </c>
      <c r="E97" s="670">
        <v>21.040012577627547</v>
      </c>
      <c r="F97" s="670">
        <v>18.472014111488345</v>
      </c>
      <c r="G97" s="670">
        <v>23.800591293709857</v>
      </c>
      <c r="H97" s="670">
        <v>17.621626219097301</v>
      </c>
      <c r="I97" s="670">
        <v>18.023263855271711</v>
      </c>
      <c r="J97" s="670">
        <v>17.199470830244088</v>
      </c>
    </row>
    <row r="98" spans="1:10">
      <c r="A98" s="514" t="s">
        <v>830</v>
      </c>
      <c r="B98" s="668">
        <v>27.672314384745487</v>
      </c>
      <c r="C98" s="668">
        <v>26.404410330906934</v>
      </c>
      <c r="D98" s="668">
        <v>29.026448485588926</v>
      </c>
      <c r="E98" s="668">
        <v>17.099742861009609</v>
      </c>
      <c r="F98" s="668">
        <v>15.320744859499197</v>
      </c>
      <c r="G98" s="668">
        <v>19.012276337960362</v>
      </c>
      <c r="H98" s="668">
        <v>15.123243733221768</v>
      </c>
      <c r="I98" s="668">
        <v>15.37634701208229</v>
      </c>
      <c r="J98" s="668">
        <v>14.857191893476736</v>
      </c>
    </row>
    <row r="99" spans="1:10">
      <c r="A99" s="514" t="s">
        <v>829</v>
      </c>
      <c r="B99" s="670">
        <v>25.605948068090523</v>
      </c>
      <c r="C99" s="670">
        <v>23.645894172098743</v>
      </c>
      <c r="D99" s="670">
        <v>27.699561424133272</v>
      </c>
      <c r="E99" s="670">
        <v>16.137377426503456</v>
      </c>
      <c r="F99" s="670">
        <v>13.650047727439606</v>
      </c>
      <c r="G99" s="670">
        <v>18.81180301983618</v>
      </c>
      <c r="H99" s="670">
        <v>10.521730182142489</v>
      </c>
      <c r="I99" s="670">
        <v>10.981861990495952</v>
      </c>
      <c r="J99" s="670">
        <v>10.037996059667886</v>
      </c>
    </row>
    <row r="100" spans="1:10">
      <c r="A100" s="514" t="s">
        <v>828</v>
      </c>
      <c r="B100" s="670">
        <v>24.801749925607279</v>
      </c>
      <c r="C100" s="670">
        <v>23.470127379890091</v>
      </c>
      <c r="D100" s="670">
        <v>26.224349551044838</v>
      </c>
      <c r="E100" s="670">
        <v>15.651994871266927</v>
      </c>
      <c r="F100" s="670">
        <v>13.568138715795177</v>
      </c>
      <c r="G100" s="670">
        <v>17.892937611685184</v>
      </c>
      <c r="H100" s="670">
        <v>9.5285992992783513</v>
      </c>
      <c r="I100" s="670">
        <v>10.182416858742179</v>
      </c>
      <c r="J100" s="670">
        <v>8.8411256370485258</v>
      </c>
    </row>
    <row r="101" spans="1:10" ht="15">
      <c r="A101" s="537" t="s">
        <v>29</v>
      </c>
      <c r="B101" s="671"/>
      <c r="C101" s="671"/>
      <c r="D101" s="671"/>
      <c r="E101" s="671"/>
      <c r="F101" s="671"/>
      <c r="G101" s="671"/>
      <c r="H101" s="671"/>
      <c r="I101" s="671"/>
      <c r="J101" s="672"/>
    </row>
    <row r="102" spans="1:10">
      <c r="A102" s="541" t="s">
        <v>832</v>
      </c>
      <c r="B102" s="670">
        <v>20.913035782072232</v>
      </c>
      <c r="C102" s="670">
        <v>20.959152978712716</v>
      </c>
      <c r="D102" s="670">
        <v>20.867103375387394</v>
      </c>
      <c r="E102" s="670">
        <v>16.058369442650537</v>
      </c>
      <c r="F102" s="670">
        <v>16.976080797613424</v>
      </c>
      <c r="G102" s="670">
        <v>15.115214273391212</v>
      </c>
      <c r="H102" s="670">
        <v>15.639539454462458</v>
      </c>
      <c r="I102" s="670">
        <v>14.735412339897467</v>
      </c>
      <c r="J102" s="670">
        <v>16.459328971634907</v>
      </c>
    </row>
    <row r="103" spans="1:10">
      <c r="A103" s="514" t="s">
        <v>831</v>
      </c>
      <c r="B103" s="670">
        <v>19.10914568771285</v>
      </c>
      <c r="C103" s="670">
        <v>19.487790369835739</v>
      </c>
      <c r="D103" s="670">
        <v>18.729147725743019</v>
      </c>
      <c r="E103" s="670">
        <v>15.895715989518495</v>
      </c>
      <c r="F103" s="670">
        <v>16.985150846146865</v>
      </c>
      <c r="G103" s="670">
        <v>14.789816459443458</v>
      </c>
      <c r="H103" s="670">
        <v>13.721856330200279</v>
      </c>
      <c r="I103" s="670">
        <v>13.367916914224628</v>
      </c>
      <c r="J103" s="670">
        <v>14.038841876600848</v>
      </c>
    </row>
    <row r="104" spans="1:10">
      <c r="A104" s="514" t="s">
        <v>830</v>
      </c>
      <c r="B104" s="668">
        <v>17.980881319820671</v>
      </c>
      <c r="C104" s="668">
        <v>18.386229792528543</v>
      </c>
      <c r="D104" s="668">
        <v>17.570970095254658</v>
      </c>
      <c r="E104" s="668">
        <v>13.833644461155195</v>
      </c>
      <c r="F104" s="668">
        <v>15.131473098782021</v>
      </c>
      <c r="G104" s="668">
        <v>12.50611584069458</v>
      </c>
      <c r="H104" s="668">
        <v>12.497331129100147</v>
      </c>
      <c r="I104" s="668">
        <v>12.129311305630095</v>
      </c>
      <c r="J104" s="668">
        <v>12.829450017214768</v>
      </c>
    </row>
    <row r="105" spans="1:10">
      <c r="A105" s="514" t="s">
        <v>829</v>
      </c>
      <c r="B105" s="670">
        <v>17.70148708034159</v>
      </c>
      <c r="C105" s="670">
        <v>18.370529799420794</v>
      </c>
      <c r="D105" s="670">
        <v>17.019699159859009</v>
      </c>
      <c r="E105" s="670">
        <v>13.404143765468028</v>
      </c>
      <c r="F105" s="670">
        <v>14.645622420350941</v>
      </c>
      <c r="G105" s="670">
        <v>12.124465939697993</v>
      </c>
      <c r="H105" s="670">
        <v>12.560996034808198</v>
      </c>
      <c r="I105" s="670">
        <v>11.728271211013093</v>
      </c>
      <c r="J105" s="670">
        <v>13.318278666975347</v>
      </c>
    </row>
    <row r="106" spans="1:10">
      <c r="A106" s="581" t="s">
        <v>828</v>
      </c>
      <c r="B106" s="582">
        <v>15.504819707152242</v>
      </c>
      <c r="C106" s="582">
        <v>16.153141525848657</v>
      </c>
      <c r="D106" s="582">
        <v>14.839027247361608</v>
      </c>
      <c r="E106" s="582">
        <v>11.857382746203788</v>
      </c>
      <c r="F106" s="582">
        <v>13.08888066409348</v>
      </c>
      <c r="G106" s="582">
        <v>10.578155322031416</v>
      </c>
      <c r="H106" s="582">
        <v>10.501718298712913</v>
      </c>
      <c r="I106" s="582">
        <v>10.209426926443216</v>
      </c>
      <c r="J106" s="583">
        <v>10.769589032371066</v>
      </c>
    </row>
    <row r="107" spans="1:10" ht="15">
      <c r="A107" s="511" t="s">
        <v>30</v>
      </c>
      <c r="B107" s="584"/>
      <c r="C107" s="584"/>
      <c r="D107" s="584"/>
      <c r="E107" s="584"/>
      <c r="F107" s="584"/>
      <c r="G107" s="584"/>
      <c r="H107" s="584"/>
      <c r="I107" s="584"/>
      <c r="J107" s="585"/>
    </row>
    <row r="108" spans="1:10">
      <c r="A108" s="541" t="s">
        <v>832</v>
      </c>
      <c r="B108" s="670">
        <v>31.973262719790497</v>
      </c>
      <c r="C108" s="670">
        <v>31.228262979978208</v>
      </c>
      <c r="D108" s="670">
        <v>32.747303435101422</v>
      </c>
      <c r="E108" s="670">
        <v>23.18288698719627</v>
      </c>
      <c r="F108" s="670">
        <v>23.264952699981073</v>
      </c>
      <c r="G108" s="670">
        <v>23.09898435595839</v>
      </c>
      <c r="H108" s="670">
        <v>20.942015212008268</v>
      </c>
      <c r="I108" s="670">
        <v>20.909932222935026</v>
      </c>
      <c r="J108" s="670">
        <v>20.975355268122691</v>
      </c>
    </row>
    <row r="109" spans="1:10">
      <c r="A109" s="514" t="s">
        <v>831</v>
      </c>
      <c r="B109" s="670">
        <v>28.765562346380079</v>
      </c>
      <c r="C109" s="670">
        <v>28.165095555270149</v>
      </c>
      <c r="D109" s="670">
        <v>29.391122145958903</v>
      </c>
      <c r="E109" s="670">
        <v>21.047921098994404</v>
      </c>
      <c r="F109" s="670">
        <v>21.220350910864802</v>
      </c>
      <c r="G109" s="670">
        <v>20.872942578024194</v>
      </c>
      <c r="H109" s="670">
        <v>18.991334903965178</v>
      </c>
      <c r="I109" s="670">
        <v>19.020317962148113</v>
      </c>
      <c r="J109" s="670">
        <v>18.96144033939964</v>
      </c>
    </row>
    <row r="110" spans="1:10">
      <c r="A110" s="514" t="s">
        <v>830</v>
      </c>
      <c r="B110" s="668">
        <v>27.838433409206495</v>
      </c>
      <c r="C110" s="668">
        <v>27.228514878719714</v>
      </c>
      <c r="D110" s="668">
        <v>28.475584784443161</v>
      </c>
      <c r="E110" s="668">
        <v>19.681420361470572</v>
      </c>
      <c r="F110" s="668">
        <v>19.990101170465437</v>
      </c>
      <c r="G110" s="668">
        <v>19.36731672781103</v>
      </c>
      <c r="H110" s="668">
        <v>17.659941611206538</v>
      </c>
      <c r="I110" s="668">
        <v>17.917526815253691</v>
      </c>
      <c r="J110" s="668">
        <v>17.393524624441085</v>
      </c>
    </row>
    <row r="111" spans="1:10">
      <c r="A111" s="514" t="s">
        <v>829</v>
      </c>
      <c r="B111" s="670">
        <v>26.533967571822942</v>
      </c>
      <c r="C111" s="670">
        <v>26.442248797860401</v>
      </c>
      <c r="D111" s="670">
        <v>26.630049615349662</v>
      </c>
      <c r="E111" s="670">
        <v>18.791431714217804</v>
      </c>
      <c r="F111" s="670">
        <v>19.129508922080134</v>
      </c>
      <c r="G111" s="670">
        <v>18.446453243309648</v>
      </c>
      <c r="H111" s="670">
        <v>16.528042522711527</v>
      </c>
      <c r="I111" s="670">
        <v>16.9825100903325</v>
      </c>
      <c r="J111" s="670">
        <v>16.05667719197525</v>
      </c>
    </row>
    <row r="112" spans="1:10">
      <c r="A112" s="514" t="s">
        <v>828</v>
      </c>
      <c r="B112" s="670">
        <v>26.087272747695888</v>
      </c>
      <c r="C112" s="670">
        <v>26.265545166455958</v>
      </c>
      <c r="D112" s="670">
        <v>25.899988972822758</v>
      </c>
      <c r="E112" s="670">
        <v>18.658761728191372</v>
      </c>
      <c r="F112" s="670">
        <v>19.317438647864329</v>
      </c>
      <c r="G112" s="670">
        <v>17.984729394491698</v>
      </c>
      <c r="H112" s="670">
        <v>16.052890140364681</v>
      </c>
      <c r="I112" s="670">
        <v>16.941930432072251</v>
      </c>
      <c r="J112" s="670">
        <v>15.128176743156262</v>
      </c>
    </row>
    <row r="113" spans="1:10" ht="15">
      <c r="A113" s="511" t="s">
        <v>31</v>
      </c>
      <c r="B113" s="584"/>
      <c r="C113" s="584"/>
      <c r="D113" s="584"/>
      <c r="E113" s="584"/>
      <c r="F113" s="584"/>
      <c r="G113" s="584"/>
      <c r="H113" s="584"/>
      <c r="I113" s="584"/>
      <c r="J113" s="585"/>
    </row>
    <row r="114" spans="1:10">
      <c r="A114" s="541" t="s">
        <v>832</v>
      </c>
      <c r="B114" s="670">
        <v>38.786546896879905</v>
      </c>
      <c r="C114" s="670">
        <v>32.895316215656941</v>
      </c>
      <c r="D114" s="670">
        <v>44.735095186519544</v>
      </c>
      <c r="E114" s="670">
        <v>26.718337834033647</v>
      </c>
      <c r="F114" s="670">
        <v>18.699833770291558</v>
      </c>
      <c r="G114" s="670">
        <v>34.827944150191634</v>
      </c>
      <c r="H114" s="670">
        <v>24.023176974524294</v>
      </c>
      <c r="I114" s="670">
        <v>19.123460659653617</v>
      </c>
      <c r="J114" s="670">
        <v>28.682321899152136</v>
      </c>
    </row>
    <row r="115" spans="1:10">
      <c r="A115" s="514" t="s">
        <v>831</v>
      </c>
      <c r="B115" s="670">
        <v>36.982907113621394</v>
      </c>
      <c r="C115" s="670">
        <v>30.818174786536048</v>
      </c>
      <c r="D115" s="670">
        <v>43.191342792445262</v>
      </c>
      <c r="E115" s="670">
        <v>25.868835229707923</v>
      </c>
      <c r="F115" s="670">
        <v>18.152003739621438</v>
      </c>
      <c r="G115" s="670">
        <v>33.656567774399832</v>
      </c>
      <c r="H115" s="670">
        <v>23.118036249218768</v>
      </c>
      <c r="I115" s="670">
        <v>18.909348441926348</v>
      </c>
      <c r="J115" s="670">
        <v>27.111596455122012</v>
      </c>
    </row>
    <row r="116" spans="1:10">
      <c r="A116" s="514" t="s">
        <v>830</v>
      </c>
      <c r="B116" s="668">
        <v>36.18689776905002</v>
      </c>
      <c r="C116" s="668">
        <v>32.019491546304401</v>
      </c>
      <c r="D116" s="668">
        <v>40.373056878750624</v>
      </c>
      <c r="E116" s="668">
        <v>25.006365619014936</v>
      </c>
      <c r="F116" s="668">
        <v>17.835941120649704</v>
      </c>
      <c r="G116" s="668">
        <v>32.224098098453879</v>
      </c>
      <c r="H116" s="668">
        <v>21.528251963127349</v>
      </c>
      <c r="I116" s="668">
        <v>17.492429894237944</v>
      </c>
      <c r="J116" s="668">
        <v>25.347842339161854</v>
      </c>
    </row>
    <row r="117" spans="1:10">
      <c r="A117" s="514" t="s">
        <v>829</v>
      </c>
      <c r="B117" s="670">
        <v>34.187494271160965</v>
      </c>
      <c r="C117" s="670">
        <v>28.332256735787094</v>
      </c>
      <c r="D117" s="670">
        <v>40.054256016853152</v>
      </c>
      <c r="E117" s="670">
        <v>23.579217400201717</v>
      </c>
      <c r="F117" s="670">
        <v>16.994522366396069</v>
      </c>
      <c r="G117" s="670">
        <v>30.190627540296891</v>
      </c>
      <c r="H117" s="670">
        <v>18.279592612940032</v>
      </c>
      <c r="I117" s="670">
        <v>15.420764076233574</v>
      </c>
      <c r="J117" s="670">
        <v>20.978475188958264</v>
      </c>
    </row>
    <row r="118" spans="1:10">
      <c r="A118" s="514" t="s">
        <v>828</v>
      </c>
      <c r="B118" s="670">
        <v>30.77877774999369</v>
      </c>
      <c r="C118" s="670">
        <v>26.589678750063104</v>
      </c>
      <c r="D118" s="670">
        <v>34.965721872079875</v>
      </c>
      <c r="E118" s="670">
        <v>22.439975968672414</v>
      </c>
      <c r="F118" s="670">
        <v>16.428349281431498</v>
      </c>
      <c r="G118" s="670">
        <v>28.461009091238363</v>
      </c>
      <c r="H118" s="670">
        <v>16.512859145792788</v>
      </c>
      <c r="I118" s="670">
        <v>13.647739040386607</v>
      </c>
      <c r="J118" s="670">
        <v>19.210921945471537</v>
      </c>
    </row>
    <row r="119" spans="1:10" ht="15">
      <c r="A119" s="511" t="s">
        <v>761</v>
      </c>
      <c r="B119" s="582"/>
      <c r="C119" s="582"/>
      <c r="D119" s="582"/>
      <c r="E119" s="582"/>
      <c r="F119" s="582"/>
      <c r="G119" s="582"/>
      <c r="H119" s="582"/>
      <c r="I119" s="582"/>
      <c r="J119" s="583"/>
    </row>
    <row r="120" spans="1:10">
      <c r="A120" s="541" t="s">
        <v>832</v>
      </c>
      <c r="B120" s="670">
        <v>7.9178384460905882</v>
      </c>
      <c r="C120" s="670">
        <v>5.0311770575723429</v>
      </c>
      <c r="D120" s="670">
        <v>11.343479023681462</v>
      </c>
      <c r="E120" s="670">
        <v>0</v>
      </c>
      <c r="F120" s="670">
        <v>0</v>
      </c>
      <c r="G120" s="670">
        <v>0</v>
      </c>
      <c r="H120" s="670">
        <v>8.5485809940340616</v>
      </c>
      <c r="I120" s="670">
        <v>5.1649164988758454</v>
      </c>
      <c r="J120" s="670">
        <v>12.564021960429297</v>
      </c>
    </row>
    <row r="121" spans="1:10" ht="15">
      <c r="A121" s="511" t="s">
        <v>32</v>
      </c>
      <c r="B121" s="584"/>
      <c r="C121" s="584"/>
      <c r="D121" s="584"/>
      <c r="E121" s="584"/>
      <c r="F121" s="584"/>
      <c r="G121" s="584"/>
      <c r="H121" s="584"/>
      <c r="I121" s="584"/>
      <c r="J121" s="585"/>
    </row>
    <row r="122" spans="1:10">
      <c r="A122" s="541" t="s">
        <v>832</v>
      </c>
      <c r="B122" s="670">
        <v>7.5238479107886596</v>
      </c>
      <c r="C122" s="670">
        <v>3.5551991446137401</v>
      </c>
      <c r="D122" s="670">
        <v>11.534305780659102</v>
      </c>
      <c r="E122" s="670" t="s">
        <v>806</v>
      </c>
      <c r="F122" s="670" t="s">
        <v>806</v>
      </c>
      <c r="G122" s="670" t="s">
        <v>806</v>
      </c>
      <c r="H122" s="670">
        <v>4.7570743107742306</v>
      </c>
      <c r="I122" s="670">
        <v>2.1098455683042796</v>
      </c>
      <c r="J122" s="670">
        <v>7.2415121922090497</v>
      </c>
    </row>
    <row r="123" spans="1:10">
      <c r="A123" s="514" t="s">
        <v>831</v>
      </c>
      <c r="B123" s="670">
        <v>7.4048913043478271</v>
      </c>
      <c r="C123" s="670">
        <v>3.3939070016034205</v>
      </c>
      <c r="D123" s="670">
        <v>11.553344389165284</v>
      </c>
      <c r="E123" s="670" t="s">
        <v>806</v>
      </c>
      <c r="F123" s="670" t="s">
        <v>806</v>
      </c>
      <c r="G123" s="670" t="s">
        <v>806</v>
      </c>
      <c r="H123" s="670">
        <v>4.4610735357605416</v>
      </c>
      <c r="I123" s="670">
        <v>1.8823529411764706</v>
      </c>
      <c r="J123" s="670">
        <v>6.9315300084530849</v>
      </c>
    </row>
    <row r="124" spans="1:10">
      <c r="A124" s="514" t="s">
        <v>830</v>
      </c>
      <c r="B124" s="668">
        <v>7.5938918695831612</v>
      </c>
      <c r="C124" s="668">
        <v>3.1780821917808217</v>
      </c>
      <c r="D124" s="668">
        <v>12.047526941143964</v>
      </c>
      <c r="E124" s="670" t="s">
        <v>806</v>
      </c>
      <c r="F124" s="670" t="s">
        <v>806</v>
      </c>
      <c r="G124" s="670" t="s">
        <v>806</v>
      </c>
      <c r="H124" s="668">
        <v>3.4663559568890183</v>
      </c>
      <c r="I124" s="668">
        <v>1.6887816646562124</v>
      </c>
      <c r="J124" s="668">
        <v>5.126760563380282</v>
      </c>
    </row>
    <row r="125" spans="1:10">
      <c r="A125" s="514" t="s">
        <v>829</v>
      </c>
      <c r="B125" s="670">
        <v>7.2929714683368134</v>
      </c>
      <c r="C125" s="670">
        <v>4.0821917808219181</v>
      </c>
      <c r="D125" s="670">
        <v>10.608203677510607</v>
      </c>
      <c r="E125" s="670" t="s">
        <v>806</v>
      </c>
      <c r="F125" s="670" t="s">
        <v>806</v>
      </c>
      <c r="G125" s="670" t="s">
        <v>806</v>
      </c>
      <c r="H125" s="670">
        <v>3.7446557570396579</v>
      </c>
      <c r="I125" s="670">
        <v>2.1411338962605551</v>
      </c>
      <c r="J125" s="670">
        <v>5.2783386212864141</v>
      </c>
    </row>
    <row r="126" spans="1:10">
      <c r="A126" s="514" t="s">
        <v>828</v>
      </c>
      <c r="B126" s="670">
        <v>7.0553443177017314</v>
      </c>
      <c r="C126" s="670">
        <v>4.1084634346754312</v>
      </c>
      <c r="D126" s="670">
        <v>10.173913043478262</v>
      </c>
      <c r="E126" s="670" t="s">
        <v>806</v>
      </c>
      <c r="F126" s="670" t="s">
        <v>806</v>
      </c>
      <c r="G126" s="670" t="s">
        <v>806</v>
      </c>
      <c r="H126" s="670">
        <v>3.4472466796000596</v>
      </c>
      <c r="I126" s="670">
        <v>2.1706361169731685</v>
      </c>
      <c r="J126" s="670">
        <v>4.6985815602836878</v>
      </c>
    </row>
    <row r="127" spans="1:10" ht="15">
      <c r="A127" s="511" t="s">
        <v>33</v>
      </c>
      <c r="B127" s="584"/>
      <c r="C127" s="584"/>
      <c r="D127" s="584"/>
      <c r="E127" s="584"/>
      <c r="F127" s="584"/>
      <c r="G127" s="584"/>
      <c r="H127" s="584"/>
      <c r="I127" s="584"/>
      <c r="J127" s="585"/>
    </row>
    <row r="128" spans="1:10">
      <c r="A128" s="541" t="s">
        <v>832</v>
      </c>
      <c r="B128" s="670">
        <v>24.189597588660206</v>
      </c>
      <c r="C128" s="670">
        <v>24.162991088892159</v>
      </c>
      <c r="D128" s="670">
        <v>24.219015878543821</v>
      </c>
      <c r="E128" s="670">
        <v>23.196006155802515</v>
      </c>
      <c r="F128" s="670">
        <v>22.928701665340395</v>
      </c>
      <c r="G128" s="670">
        <v>23.508761759432559</v>
      </c>
      <c r="H128" s="670">
        <v>12.416366909306054</v>
      </c>
      <c r="I128" s="670">
        <v>12.554072078574336</v>
      </c>
      <c r="J128" s="670">
        <v>12.281128032690285</v>
      </c>
    </row>
    <row r="129" spans="1:10">
      <c r="A129" s="514" t="s">
        <v>831</v>
      </c>
      <c r="B129" s="670">
        <v>21.524314680468333</v>
      </c>
      <c r="C129" s="670">
        <v>21.794750537055219</v>
      </c>
      <c r="D129" s="670">
        <v>21.224116801544998</v>
      </c>
      <c r="E129" s="670">
        <v>19.732826681208604</v>
      </c>
      <c r="F129" s="670">
        <v>20.029545766184846</v>
      </c>
      <c r="G129" s="670">
        <v>19.388666075498477</v>
      </c>
      <c r="H129" s="670">
        <v>11.375767978367143</v>
      </c>
      <c r="I129" s="670">
        <v>11.714617752735304</v>
      </c>
      <c r="J129" s="670">
        <v>11.045872842907002</v>
      </c>
    </row>
    <row r="130" spans="1:10">
      <c r="A130" s="514" t="s">
        <v>830</v>
      </c>
      <c r="B130" s="668">
        <v>21.171981511724251</v>
      </c>
      <c r="C130" s="668">
        <v>21.803325536596152</v>
      </c>
      <c r="D130" s="668">
        <v>20.468355592443388</v>
      </c>
      <c r="E130" s="668">
        <v>19.84155339479997</v>
      </c>
      <c r="F130" s="668">
        <v>20.745249757305842</v>
      </c>
      <c r="G130" s="668">
        <v>18.789177540278523</v>
      </c>
      <c r="H130" s="668">
        <v>10.408346562071888</v>
      </c>
      <c r="I130" s="668">
        <v>11.207762533159663</v>
      </c>
      <c r="J130" s="668">
        <v>9.6269461650138588</v>
      </c>
    </row>
    <row r="131" spans="1:10">
      <c r="A131" s="514" t="s">
        <v>829</v>
      </c>
      <c r="B131" s="670">
        <v>20.043642109832078</v>
      </c>
      <c r="C131" s="670">
        <v>20.936030709574567</v>
      </c>
      <c r="D131" s="670">
        <v>19.045058492544541</v>
      </c>
      <c r="E131" s="670">
        <v>17.275616574097274</v>
      </c>
      <c r="F131" s="670">
        <v>18.25428327453433</v>
      </c>
      <c r="G131" s="670">
        <v>16.131322229516204</v>
      </c>
      <c r="H131" s="670">
        <v>9.6616037660982794</v>
      </c>
      <c r="I131" s="670">
        <v>10.403575801590726</v>
      </c>
      <c r="J131" s="670">
        <v>8.9334165836459043</v>
      </c>
    </row>
    <row r="132" spans="1:10">
      <c r="A132" s="514" t="s">
        <v>828</v>
      </c>
      <c r="B132" s="670">
        <v>19.63186791115406</v>
      </c>
      <c r="C132" s="670">
        <v>21.144568531194047</v>
      </c>
      <c r="D132" s="670">
        <v>17.932228423618749</v>
      </c>
      <c r="E132" s="670">
        <v>15.518323657731672</v>
      </c>
      <c r="F132" s="670">
        <v>16.974540092204592</v>
      </c>
      <c r="G132" s="670">
        <v>13.808692062670586</v>
      </c>
      <c r="H132" s="670">
        <v>8.6163816936008786</v>
      </c>
      <c r="I132" s="670">
        <v>9.8130874068433549</v>
      </c>
      <c r="J132" s="670">
        <v>7.4371035316514611</v>
      </c>
    </row>
    <row r="133" spans="1:10" ht="15">
      <c r="A133" s="537" t="s">
        <v>34</v>
      </c>
      <c r="B133" s="671"/>
      <c r="C133" s="671"/>
      <c r="D133" s="671"/>
      <c r="E133" s="671"/>
      <c r="F133" s="671"/>
      <c r="G133" s="671"/>
      <c r="H133" s="671"/>
      <c r="I133" s="671"/>
      <c r="J133" s="672"/>
    </row>
    <row r="134" spans="1:10">
      <c r="A134" s="541" t="s">
        <v>832</v>
      </c>
      <c r="B134" s="670">
        <v>32.3311189157047</v>
      </c>
      <c r="C134" s="670">
        <v>33.524835212854832</v>
      </c>
      <c r="D134" s="670">
        <v>31.021509418546781</v>
      </c>
      <c r="E134" s="670">
        <v>30.718140358535098</v>
      </c>
      <c r="F134" s="670">
        <v>30.644354926106342</v>
      </c>
      <c r="G134" s="670">
        <v>30.797509826925904</v>
      </c>
      <c r="H134" s="670">
        <v>15.449006658059213</v>
      </c>
      <c r="I134" s="670">
        <v>17.409109401379311</v>
      </c>
      <c r="J134" s="670">
        <v>13.507591899809025</v>
      </c>
    </row>
    <row r="135" spans="1:10">
      <c r="A135" s="514" t="s">
        <v>831</v>
      </c>
      <c r="B135" s="670">
        <v>31.97038153520975</v>
      </c>
      <c r="C135" s="670">
        <v>33.51238910417424</v>
      </c>
      <c r="D135" s="670">
        <v>30.271623166574599</v>
      </c>
      <c r="E135" s="670">
        <v>31.172658962431782</v>
      </c>
      <c r="F135" s="670">
        <v>31.94334163644217</v>
      </c>
      <c r="G135" s="670">
        <v>30.351012869504661</v>
      </c>
      <c r="H135" s="670">
        <v>15.154166543779104</v>
      </c>
      <c r="I135" s="670">
        <v>17.38901779320587</v>
      </c>
      <c r="J135" s="670">
        <v>12.960278200334763</v>
      </c>
    </row>
    <row r="136" spans="1:10">
      <c r="A136" s="514" t="s">
        <v>830</v>
      </c>
      <c r="B136" s="668">
        <v>31.136700245418652</v>
      </c>
      <c r="C136" s="668">
        <v>32.585134071956581</v>
      </c>
      <c r="D136" s="668">
        <v>29.534315849535293</v>
      </c>
      <c r="E136" s="668">
        <v>30.644543558674439</v>
      </c>
      <c r="F136" s="668">
        <v>32.002812171000727</v>
      </c>
      <c r="G136" s="668">
        <v>29.190364101018837</v>
      </c>
      <c r="H136" s="668">
        <v>15.114489222669405</v>
      </c>
      <c r="I136" s="668">
        <v>17.802084584835821</v>
      </c>
      <c r="J136" s="668">
        <v>12.465056663773312</v>
      </c>
    </row>
    <row r="137" spans="1:10">
      <c r="A137" s="514" t="s">
        <v>829</v>
      </c>
      <c r="B137" s="670">
        <v>30.183848028802917</v>
      </c>
      <c r="C137" s="670">
        <v>31.983373747536916</v>
      </c>
      <c r="D137" s="670">
        <v>28.184578373195297</v>
      </c>
      <c r="E137" s="670">
        <v>30.097778932896766</v>
      </c>
      <c r="F137" s="670">
        <v>31.949897681003829</v>
      </c>
      <c r="G137" s="670">
        <v>28.106436548121003</v>
      </c>
      <c r="H137" s="670">
        <v>14.8189163993846</v>
      </c>
      <c r="I137" s="670">
        <v>17.932186732186732</v>
      </c>
      <c r="J137" s="670">
        <v>11.73678543397744</v>
      </c>
    </row>
    <row r="138" spans="1:10">
      <c r="A138" s="514" t="s">
        <v>828</v>
      </c>
      <c r="B138" s="670">
        <v>29.887661319465103</v>
      </c>
      <c r="C138" s="670">
        <v>31.949629252284698</v>
      </c>
      <c r="D138" s="670">
        <v>27.586965951072756</v>
      </c>
      <c r="E138" s="670">
        <v>29.574750307383876</v>
      </c>
      <c r="F138" s="670">
        <v>31.920339435852384</v>
      </c>
      <c r="G138" s="670">
        <v>27.041996969174004</v>
      </c>
      <c r="H138" s="670">
        <v>14.742458517885693</v>
      </c>
      <c r="I138" s="670">
        <v>18.116616640281212</v>
      </c>
      <c r="J138" s="670">
        <v>11.3876794091615</v>
      </c>
    </row>
    <row r="139" spans="1:10" ht="15">
      <c r="A139" s="537" t="s">
        <v>35</v>
      </c>
      <c r="B139" s="671"/>
      <c r="C139" s="671"/>
      <c r="D139" s="671"/>
      <c r="E139" s="671"/>
      <c r="F139" s="671"/>
      <c r="G139" s="671"/>
      <c r="H139" s="671"/>
      <c r="I139" s="671"/>
      <c r="J139" s="672"/>
    </row>
    <row r="140" spans="1:10">
      <c r="A140" s="541" t="s">
        <v>832</v>
      </c>
      <c r="B140" s="670">
        <v>38.323747626652882</v>
      </c>
      <c r="C140" s="670">
        <v>37.749809447677123</v>
      </c>
      <c r="D140" s="670">
        <v>38.889907696069443</v>
      </c>
      <c r="E140" s="670">
        <v>67.291714995391175</v>
      </c>
      <c r="F140" s="670">
        <v>68.700343301641226</v>
      </c>
      <c r="G140" s="670">
        <v>65.901499912021265</v>
      </c>
      <c r="H140" s="670">
        <v>23.51444800310535</v>
      </c>
      <c r="I140" s="670">
        <v>23.053909248791246</v>
      </c>
      <c r="J140" s="670">
        <v>23.977365842484833</v>
      </c>
    </row>
    <row r="141" spans="1:10">
      <c r="A141" s="514" t="s">
        <v>831</v>
      </c>
      <c r="B141" s="670">
        <v>33.733698857888577</v>
      </c>
      <c r="C141" s="670">
        <v>33.646751872204</v>
      </c>
      <c r="D141" s="670">
        <v>33.819493357297254</v>
      </c>
      <c r="E141" s="670">
        <v>64.914612946109003</v>
      </c>
      <c r="F141" s="670">
        <v>68.627450980392155</v>
      </c>
      <c r="G141" s="670">
        <v>61.268747466558565</v>
      </c>
      <c r="H141" s="670">
        <v>23.527554912534526</v>
      </c>
      <c r="I141" s="670">
        <v>24.098746596872409</v>
      </c>
      <c r="J141" s="670">
        <v>22.956318150130876</v>
      </c>
    </row>
    <row r="142" spans="1:10">
      <c r="A142" s="514" t="s">
        <v>830</v>
      </c>
      <c r="B142" s="668">
        <v>31.777246878205496</v>
      </c>
      <c r="C142" s="668">
        <v>31.331696868113955</v>
      </c>
      <c r="D142" s="668">
        <v>32.217045393707266</v>
      </c>
      <c r="E142" s="668">
        <v>67.431938236489231</v>
      </c>
      <c r="F142" s="668">
        <v>72.222222222222214</v>
      </c>
      <c r="G142" s="668">
        <v>62.72654047523158</v>
      </c>
      <c r="H142" s="668">
        <v>22.036566486599472</v>
      </c>
      <c r="I142" s="668">
        <v>23.034925942373501</v>
      </c>
      <c r="J142" s="668">
        <v>21.037776529158883</v>
      </c>
    </row>
    <row r="143" spans="1:10">
      <c r="A143" s="514" t="s">
        <v>829</v>
      </c>
      <c r="B143" s="670">
        <v>34.988194401168791</v>
      </c>
      <c r="C143" s="670">
        <v>35.266935750864661</v>
      </c>
      <c r="D143" s="670">
        <v>34.718789785067031</v>
      </c>
      <c r="E143" s="670">
        <v>57.481586116436283</v>
      </c>
      <c r="F143" s="670">
        <v>60.912052117263848</v>
      </c>
      <c r="G143" s="670">
        <v>54.110822164432882</v>
      </c>
      <c r="H143" s="670">
        <v>20.197648463455153</v>
      </c>
      <c r="I143" s="670">
        <v>21.033105022831052</v>
      </c>
      <c r="J143" s="670">
        <v>19.361497714997924</v>
      </c>
    </row>
    <row r="144" spans="1:10">
      <c r="A144" s="514" t="s">
        <v>828</v>
      </c>
      <c r="B144" s="670">
        <v>34.169042860926425</v>
      </c>
      <c r="C144" s="670">
        <v>35.291277759897007</v>
      </c>
      <c r="D144" s="670">
        <v>33.083912346338856</v>
      </c>
      <c r="E144" s="670">
        <v>52.771929824561404</v>
      </c>
      <c r="F144" s="670">
        <v>57.815975733063695</v>
      </c>
      <c r="G144" s="670">
        <v>47.813121272365805</v>
      </c>
      <c r="H144" s="670">
        <v>19.661161180520637</v>
      </c>
      <c r="I144" s="670">
        <v>20.863559638701695</v>
      </c>
      <c r="J144" s="670">
        <v>18.457211420609219</v>
      </c>
    </row>
    <row r="145" spans="1:10" ht="15">
      <c r="A145" s="537" t="s">
        <v>36</v>
      </c>
      <c r="B145" s="671"/>
      <c r="C145" s="671"/>
      <c r="D145" s="671"/>
      <c r="E145" s="671"/>
      <c r="F145" s="671"/>
      <c r="G145" s="671"/>
      <c r="H145" s="671"/>
      <c r="I145" s="671"/>
      <c r="J145" s="672"/>
    </row>
    <row r="146" spans="1:10">
      <c r="A146" s="541" t="s">
        <v>832</v>
      </c>
      <c r="B146" s="670">
        <v>26.112856124400061</v>
      </c>
      <c r="C146" s="670">
        <v>24.16003201610507</v>
      </c>
      <c r="D146" s="670">
        <v>28.003687090486366</v>
      </c>
      <c r="E146" s="670">
        <v>91.566894199178037</v>
      </c>
      <c r="F146" s="670">
        <v>99.768873948929439</v>
      </c>
      <c r="G146" s="670">
        <v>82.333922048545986</v>
      </c>
      <c r="H146" s="670">
        <v>23.554377754048144</v>
      </c>
      <c r="I146" s="670">
        <v>20.620576618826775</v>
      </c>
      <c r="J146" s="670">
        <v>26.330590847097756</v>
      </c>
    </row>
    <row r="147" spans="1:10">
      <c r="A147" s="514" t="s">
        <v>831</v>
      </c>
      <c r="B147" s="670">
        <v>25.753594292976725</v>
      </c>
      <c r="C147" s="670">
        <v>23.760522164284254</v>
      </c>
      <c r="D147" s="670">
        <v>27.683981547900228</v>
      </c>
      <c r="E147" s="670">
        <v>142.70193670288143</v>
      </c>
      <c r="F147" s="670">
        <v>81.30590339892666</v>
      </c>
      <c r="G147" s="670">
        <v>211.41141141141139</v>
      </c>
      <c r="H147" s="670">
        <v>23.463105212145461</v>
      </c>
      <c r="I147" s="670">
        <v>21.083141879636674</v>
      </c>
      <c r="J147" s="670">
        <v>25.703819779277833</v>
      </c>
    </row>
    <row r="148" spans="1:10">
      <c r="A148" s="514" t="s">
        <v>830</v>
      </c>
      <c r="B148" s="668">
        <v>24.665368989155166</v>
      </c>
      <c r="C148" s="668">
        <v>24.174483198237578</v>
      </c>
      <c r="D148" s="668">
        <v>25.140982411126519</v>
      </c>
      <c r="E148" s="668">
        <v>44.298451431252936</v>
      </c>
      <c r="F148" s="668">
        <v>50.444049733570161</v>
      </c>
      <c r="G148" s="668">
        <v>37.412935323383081</v>
      </c>
      <c r="H148" s="668">
        <v>19.506855510103396</v>
      </c>
      <c r="I148" s="668">
        <v>18.357832576340865</v>
      </c>
      <c r="J148" s="668">
        <v>20.58903754166306</v>
      </c>
    </row>
    <row r="149" spans="1:10">
      <c r="A149" s="514" t="s">
        <v>829</v>
      </c>
      <c r="B149" s="670">
        <v>23.470330312774042</v>
      </c>
      <c r="C149" s="670">
        <v>23.090947963559053</v>
      </c>
      <c r="D149" s="670">
        <v>23.838059383598704</v>
      </c>
      <c r="E149" s="670">
        <v>48.136067101584338</v>
      </c>
      <c r="F149" s="670">
        <v>51.410934744268076</v>
      </c>
      <c r="G149" s="670">
        <v>44.466403162055336</v>
      </c>
      <c r="H149" s="670">
        <v>19.261399603847174</v>
      </c>
      <c r="I149" s="670">
        <v>17.197036662878308</v>
      </c>
      <c r="J149" s="670">
        <v>21.206472594590309</v>
      </c>
    </row>
    <row r="150" spans="1:10">
      <c r="A150" s="514" t="s">
        <v>828</v>
      </c>
      <c r="B150" s="670">
        <v>20.78424083663198</v>
      </c>
      <c r="C150" s="670">
        <v>20.410101522543194</v>
      </c>
      <c r="D150" s="670">
        <v>21.147047719290217</v>
      </c>
      <c r="E150" s="670">
        <v>50.138888888888886</v>
      </c>
      <c r="F150" s="670">
        <v>55.3415061295972</v>
      </c>
      <c r="G150" s="670">
        <v>44.302554027504911</v>
      </c>
      <c r="H150" s="670">
        <v>17.091190662162756</v>
      </c>
      <c r="I150" s="670">
        <v>15.668552792953507</v>
      </c>
      <c r="J150" s="670">
        <v>18.432201998173923</v>
      </c>
    </row>
    <row r="151" spans="1:10" ht="15">
      <c r="A151" s="537" t="s">
        <v>37</v>
      </c>
      <c r="B151" s="671"/>
      <c r="C151" s="671"/>
      <c r="D151" s="671"/>
      <c r="E151" s="671"/>
      <c r="F151" s="671"/>
      <c r="G151" s="671"/>
      <c r="H151" s="671"/>
      <c r="I151" s="671"/>
      <c r="J151" s="672"/>
    </row>
    <row r="152" spans="1:10">
      <c r="A152" s="541" t="s">
        <v>832</v>
      </c>
      <c r="B152" s="670">
        <v>26.148871387772122</v>
      </c>
      <c r="C152" s="670">
        <v>27.184712164667477</v>
      </c>
      <c r="D152" s="670">
        <v>25.127355689595898</v>
      </c>
      <c r="E152" s="670">
        <v>132.29829641371276</v>
      </c>
      <c r="F152" s="670">
        <v>150.38663719946805</v>
      </c>
      <c r="G152" s="670">
        <v>100.41940735289893</v>
      </c>
      <c r="H152" s="670">
        <v>26.02465530115283</v>
      </c>
      <c r="I152" s="670">
        <v>26.670061210587246</v>
      </c>
      <c r="J152" s="670">
        <v>25.402365036997647</v>
      </c>
    </row>
    <row r="153" spans="1:10">
      <c r="A153" s="514" t="s">
        <v>831</v>
      </c>
      <c r="B153" s="670">
        <v>25.658897162815776</v>
      </c>
      <c r="C153" s="670">
        <v>26.516033609214212</v>
      </c>
      <c r="D153" s="670">
        <v>24.813348855258052</v>
      </c>
      <c r="E153" s="670">
        <v>132.53012048192772</v>
      </c>
      <c r="F153" s="670">
        <v>134.90566037735849</v>
      </c>
      <c r="G153" s="670">
        <v>128.33333333333334</v>
      </c>
      <c r="H153" s="670">
        <v>25.867296222664017</v>
      </c>
      <c r="I153" s="670">
        <v>26.792542212296553</v>
      </c>
      <c r="J153" s="670">
        <v>24.979712403025285</v>
      </c>
    </row>
    <row r="154" spans="1:10">
      <c r="A154" s="514" t="s">
        <v>830</v>
      </c>
      <c r="B154" s="668">
        <v>22.891313796100832</v>
      </c>
      <c r="C154" s="668">
        <v>24.783974248792912</v>
      </c>
      <c r="D154" s="668">
        <v>21.023577122943362</v>
      </c>
      <c r="E154" s="668">
        <v>113.69047619047619</v>
      </c>
      <c r="F154" s="668">
        <v>121.49532710280373</v>
      </c>
      <c r="G154" s="668">
        <v>100</v>
      </c>
      <c r="H154" s="668">
        <v>23.065847176626431</v>
      </c>
      <c r="I154" s="668">
        <v>25.00924090191203</v>
      </c>
      <c r="J154" s="668">
        <v>21.200883571693456</v>
      </c>
    </row>
    <row r="155" spans="1:10">
      <c r="A155" s="514" t="s">
        <v>829</v>
      </c>
      <c r="B155" s="670">
        <v>24.454724181797157</v>
      </c>
      <c r="C155" s="670">
        <v>25.26266780476449</v>
      </c>
      <c r="D155" s="670">
        <v>23.657116592615289</v>
      </c>
      <c r="E155" s="670">
        <v>108.92857142857143</v>
      </c>
      <c r="F155" s="670">
        <v>116.82242990654206</v>
      </c>
      <c r="G155" s="670">
        <v>95.081967213114751</v>
      </c>
      <c r="H155" s="670">
        <v>24.292182953542355</v>
      </c>
      <c r="I155" s="670">
        <v>25.147682141307612</v>
      </c>
      <c r="J155" s="670">
        <v>23.470891672807664</v>
      </c>
    </row>
    <row r="156" spans="1:10">
      <c r="A156" s="514" t="s">
        <v>828</v>
      </c>
      <c r="B156" s="670">
        <v>24.09997548869416</v>
      </c>
      <c r="C156" s="670">
        <v>25.191533967412248</v>
      </c>
      <c r="D156" s="670">
        <v>23.021878473226657</v>
      </c>
      <c r="E156" s="670">
        <v>157.98816568047337</v>
      </c>
      <c r="F156" s="670">
        <v>192.59259259259258</v>
      </c>
      <c r="G156" s="670">
        <v>96.721311475409834</v>
      </c>
      <c r="H156" s="670">
        <v>24.525360141620514</v>
      </c>
      <c r="I156" s="670">
        <v>25.580547313984521</v>
      </c>
      <c r="J156" s="670">
        <v>23.511900023879647</v>
      </c>
    </row>
    <row r="157" spans="1:10" ht="15">
      <c r="A157" s="537" t="s">
        <v>38</v>
      </c>
      <c r="B157" s="671"/>
      <c r="C157" s="671"/>
      <c r="D157" s="671"/>
      <c r="E157" s="671"/>
      <c r="F157" s="671"/>
      <c r="G157" s="671"/>
      <c r="H157" s="671"/>
      <c r="I157" s="671"/>
      <c r="J157" s="672"/>
    </row>
    <row r="158" spans="1:10">
      <c r="A158" s="541" t="s">
        <v>832</v>
      </c>
      <c r="B158" s="670">
        <v>18.488507177827568</v>
      </c>
      <c r="C158" s="670">
        <v>16.52538570111529</v>
      </c>
      <c r="D158" s="670">
        <v>20.519877417666375</v>
      </c>
      <c r="E158" s="670" t="s">
        <v>806</v>
      </c>
      <c r="F158" s="670" t="s">
        <v>806</v>
      </c>
      <c r="G158" s="670" t="s">
        <v>806</v>
      </c>
      <c r="H158" s="670">
        <v>19.272513142088535</v>
      </c>
      <c r="I158" s="670">
        <v>17.394600810937252</v>
      </c>
      <c r="J158" s="670">
        <v>21.145924853532488</v>
      </c>
    </row>
    <row r="159" spans="1:10">
      <c r="A159" s="514" t="s">
        <v>831</v>
      </c>
      <c r="B159" s="670">
        <v>18.733234163366724</v>
      </c>
      <c r="C159" s="670">
        <v>17.813191175636593</v>
      </c>
      <c r="D159" s="670">
        <v>19.685534591194969</v>
      </c>
      <c r="E159" s="670" t="s">
        <v>806</v>
      </c>
      <c r="F159" s="670" t="s">
        <v>806</v>
      </c>
      <c r="G159" s="670" t="s">
        <v>806</v>
      </c>
      <c r="H159" s="670">
        <v>18.962541201840544</v>
      </c>
      <c r="I159" s="670">
        <v>17.672524280140127</v>
      </c>
      <c r="J159" s="670">
        <v>20.242918794640332</v>
      </c>
    </row>
    <row r="160" spans="1:10">
      <c r="A160" s="514" t="s">
        <v>830</v>
      </c>
      <c r="B160" s="668">
        <v>17.827192023869454</v>
      </c>
      <c r="C160" s="668">
        <v>17.795191967302802</v>
      </c>
      <c r="D160" s="668">
        <v>17.860326399360201</v>
      </c>
      <c r="E160" s="670" t="s">
        <v>806</v>
      </c>
      <c r="F160" s="670" t="s">
        <v>806</v>
      </c>
      <c r="G160" s="670" t="s">
        <v>806</v>
      </c>
      <c r="H160" s="668">
        <v>17.219367384707883</v>
      </c>
      <c r="I160" s="668">
        <v>16.615755930158009</v>
      </c>
      <c r="J160" s="668">
        <v>17.818695823114222</v>
      </c>
    </row>
    <row r="161" spans="1:10">
      <c r="A161" s="514" t="s">
        <v>829</v>
      </c>
      <c r="B161" s="670">
        <v>16.572815573453894</v>
      </c>
      <c r="C161" s="670">
        <v>16.135012465639583</v>
      </c>
      <c r="D161" s="670">
        <v>17.026313393426204</v>
      </c>
      <c r="E161" s="670" t="s">
        <v>806</v>
      </c>
      <c r="F161" s="670" t="s">
        <v>806</v>
      </c>
      <c r="G161" s="670" t="s">
        <v>806</v>
      </c>
      <c r="H161" s="670">
        <v>15.996771062749637</v>
      </c>
      <c r="I161" s="670">
        <v>15.146776534481951</v>
      </c>
      <c r="J161" s="670">
        <v>16.841057693202004</v>
      </c>
    </row>
    <row r="162" spans="1:10">
      <c r="A162" s="514" t="s">
        <v>828</v>
      </c>
      <c r="B162" s="670">
        <v>14.901944943752145</v>
      </c>
      <c r="C162" s="670">
        <v>14.198858630515362</v>
      </c>
      <c r="D162" s="670">
        <v>15.630552082647892</v>
      </c>
      <c r="E162" s="670" t="s">
        <v>806</v>
      </c>
      <c r="F162" s="670" t="s">
        <v>806</v>
      </c>
      <c r="G162" s="670" t="s">
        <v>806</v>
      </c>
      <c r="H162" s="670">
        <v>14.129487464767839</v>
      </c>
      <c r="I162" s="670">
        <v>13.477993972990065</v>
      </c>
      <c r="J162" s="670">
        <v>14.776886391363821</v>
      </c>
    </row>
    <row r="163" spans="1:10" ht="15">
      <c r="A163" s="537" t="s">
        <v>39</v>
      </c>
      <c r="B163" s="671"/>
      <c r="C163" s="671"/>
      <c r="D163" s="671"/>
      <c r="E163" s="671"/>
      <c r="F163" s="671"/>
      <c r="G163" s="671"/>
      <c r="H163" s="671"/>
      <c r="I163" s="671"/>
      <c r="J163" s="672"/>
    </row>
    <row r="164" spans="1:10">
      <c r="A164" s="541" t="s">
        <v>832</v>
      </c>
      <c r="B164" s="670">
        <v>21.674110094473189</v>
      </c>
      <c r="C164" s="670">
        <v>23.046630553923723</v>
      </c>
      <c r="D164" s="670">
        <v>20.300242886460605</v>
      </c>
      <c r="E164" s="670">
        <v>19.696531817955602</v>
      </c>
      <c r="F164" s="670">
        <v>21.830857110888552</v>
      </c>
      <c r="G164" s="670">
        <v>17.560944508610181</v>
      </c>
      <c r="H164" s="670">
        <v>13.465459253812066</v>
      </c>
      <c r="I164" s="670">
        <v>14.597237616955018</v>
      </c>
      <c r="J164" s="670">
        <v>12.424860858510412</v>
      </c>
    </row>
    <row r="165" spans="1:10">
      <c r="A165" s="514" t="s">
        <v>831</v>
      </c>
      <c r="B165" s="670">
        <v>22.120863076382474</v>
      </c>
      <c r="C165" s="670">
        <v>24.245408533683491</v>
      </c>
      <c r="D165" s="670">
        <v>19.997647989008904</v>
      </c>
      <c r="E165" s="670">
        <v>20.036793925675283</v>
      </c>
      <c r="F165" s="670">
        <v>22.751959886786771</v>
      </c>
      <c r="G165" s="670">
        <v>17.328584719439618</v>
      </c>
      <c r="H165" s="670">
        <v>12.783066327683841</v>
      </c>
      <c r="I165" s="670">
        <v>14.423535415220137</v>
      </c>
      <c r="J165" s="670">
        <v>11.279514201702902</v>
      </c>
    </row>
    <row r="166" spans="1:10">
      <c r="A166" s="514" t="s">
        <v>830</v>
      </c>
      <c r="B166" s="668">
        <v>21.967824405649221</v>
      </c>
      <c r="C166" s="668">
        <v>23.796978789267879</v>
      </c>
      <c r="D166" s="668">
        <v>20.142672907734465</v>
      </c>
      <c r="E166" s="668">
        <v>18.789704123703746</v>
      </c>
      <c r="F166" s="668">
        <v>21.774649966780679</v>
      </c>
      <c r="G166" s="668">
        <v>15.817061694995001</v>
      </c>
      <c r="H166" s="668">
        <v>12.453374709386045</v>
      </c>
      <c r="I166" s="668">
        <v>14.299746818547732</v>
      </c>
      <c r="J166" s="668">
        <v>10.763749067237169</v>
      </c>
    </row>
    <row r="167" spans="1:10">
      <c r="A167" s="514" t="s">
        <v>829</v>
      </c>
      <c r="B167" s="670">
        <v>20.954291655136565</v>
      </c>
      <c r="C167" s="670">
        <v>22.995286990903036</v>
      </c>
      <c r="D167" s="670">
        <v>18.920841023787705</v>
      </c>
      <c r="E167" s="670">
        <v>17.408907377951792</v>
      </c>
      <c r="F167" s="670">
        <v>20.107141893069151</v>
      </c>
      <c r="G167" s="670">
        <v>14.725856082068702</v>
      </c>
      <c r="H167" s="670">
        <v>11.315324834211514</v>
      </c>
      <c r="I167" s="670">
        <v>13.086024837615406</v>
      </c>
      <c r="J167" s="670">
        <v>9.6973981524240642</v>
      </c>
    </row>
    <row r="168" spans="1:10">
      <c r="A168" s="514" t="s">
        <v>828</v>
      </c>
      <c r="B168" s="670">
        <v>19.646883423372373</v>
      </c>
      <c r="C168" s="670">
        <v>21.453644728749349</v>
      </c>
      <c r="D168" s="670">
        <v>17.849446977023398</v>
      </c>
      <c r="E168" s="670">
        <v>14.699928539896932</v>
      </c>
      <c r="F168" s="670">
        <v>16.479056982922991</v>
      </c>
      <c r="G168" s="670">
        <v>12.933408185633704</v>
      </c>
      <c r="H168" s="670">
        <v>9.3844979914114148</v>
      </c>
      <c r="I168" s="670">
        <v>10.683569197067573</v>
      </c>
      <c r="J168" s="670">
        <v>8.1992531508290867</v>
      </c>
    </row>
    <row r="169" spans="1:10" ht="15">
      <c r="A169" s="511" t="s">
        <v>40</v>
      </c>
      <c r="B169" s="584"/>
      <c r="C169" s="584"/>
      <c r="D169" s="584"/>
      <c r="E169" s="584"/>
      <c r="F169" s="584"/>
      <c r="G169" s="584"/>
      <c r="H169" s="584"/>
      <c r="I169" s="584"/>
      <c r="J169" s="585"/>
    </row>
    <row r="170" spans="1:10">
      <c r="A170" s="541" t="s">
        <v>832</v>
      </c>
      <c r="B170" s="670">
        <v>46.336681760613473</v>
      </c>
      <c r="C170" s="670">
        <v>40.993575280947162</v>
      </c>
      <c r="D170" s="670">
        <v>52.565788649657435</v>
      </c>
      <c r="E170" s="670">
        <v>35.733667071188577</v>
      </c>
      <c r="F170" s="670">
        <v>33.358653348277549</v>
      </c>
      <c r="G170" s="670">
        <v>38.317541295635564</v>
      </c>
      <c r="H170" s="670" t="s">
        <v>806</v>
      </c>
      <c r="I170" s="670" t="s">
        <v>806</v>
      </c>
      <c r="J170" s="670" t="s">
        <v>806</v>
      </c>
    </row>
    <row r="171" spans="1:10">
      <c r="A171" s="514" t="s">
        <v>831</v>
      </c>
      <c r="B171" s="670">
        <v>46.370051500962269</v>
      </c>
      <c r="C171" s="670">
        <v>41.706514735307081</v>
      </c>
      <c r="D171" s="670">
        <v>51.63662360210386</v>
      </c>
      <c r="E171" s="670">
        <v>35.100266922181916</v>
      </c>
      <c r="F171" s="670">
        <v>32.544263570919</v>
      </c>
      <c r="G171" s="670">
        <v>37.955516916612332</v>
      </c>
      <c r="H171" s="670" t="s">
        <v>806</v>
      </c>
      <c r="I171" s="670" t="s">
        <v>806</v>
      </c>
      <c r="J171" s="670" t="s">
        <v>806</v>
      </c>
    </row>
    <row r="172" spans="1:10">
      <c r="A172" s="514" t="s">
        <v>830</v>
      </c>
      <c r="B172" s="668">
        <v>45.405780095464081</v>
      </c>
      <c r="C172" s="668">
        <v>42.921900709379337</v>
      </c>
      <c r="D172" s="668">
        <v>48.125002962840334</v>
      </c>
      <c r="E172" s="668">
        <v>32.181747242223246</v>
      </c>
      <c r="F172" s="668">
        <v>30.811216483591458</v>
      </c>
      <c r="G172" s="668">
        <v>33.665780141843967</v>
      </c>
      <c r="H172" s="670" t="s">
        <v>806</v>
      </c>
      <c r="I172" s="670" t="s">
        <v>806</v>
      </c>
      <c r="J172" s="670" t="s">
        <v>806</v>
      </c>
    </row>
    <row r="173" spans="1:10">
      <c r="A173" s="514" t="s">
        <v>829</v>
      </c>
      <c r="B173" s="670">
        <v>43.100883040596685</v>
      </c>
      <c r="C173" s="670">
        <v>41.822137748211873</v>
      </c>
      <c r="D173" s="670">
        <v>44.459202784013179</v>
      </c>
      <c r="E173" s="670">
        <v>31.897375578916414</v>
      </c>
      <c r="F173" s="670">
        <v>30.89174259272545</v>
      </c>
      <c r="G173" s="670">
        <v>32.95394588075677</v>
      </c>
      <c r="H173" s="670" t="s">
        <v>806</v>
      </c>
      <c r="I173" s="670" t="s">
        <v>806</v>
      </c>
      <c r="J173" s="670" t="s">
        <v>806</v>
      </c>
    </row>
    <row r="174" spans="1:10">
      <c r="A174" s="514" t="s">
        <v>828</v>
      </c>
      <c r="B174" s="670">
        <v>43.169398907103826</v>
      </c>
      <c r="C174" s="670">
        <v>44.166677494380416</v>
      </c>
      <c r="D174" s="670">
        <v>42.139992757607864</v>
      </c>
      <c r="E174" s="670">
        <v>32.452076978119237</v>
      </c>
      <c r="F174" s="670">
        <v>33.181750410019383</v>
      </c>
      <c r="G174" s="670">
        <v>31.70713144074892</v>
      </c>
      <c r="H174" s="670" t="s">
        <v>806</v>
      </c>
      <c r="I174" s="670" t="s">
        <v>806</v>
      </c>
      <c r="J174" s="670" t="s">
        <v>806</v>
      </c>
    </row>
    <row r="175" spans="1:10" ht="15">
      <c r="A175" s="511" t="s">
        <v>41</v>
      </c>
      <c r="B175" s="584"/>
      <c r="C175" s="584"/>
      <c r="D175" s="584"/>
      <c r="E175" s="584"/>
      <c r="F175" s="584"/>
      <c r="G175" s="584"/>
      <c r="H175" s="584"/>
      <c r="I175" s="584"/>
      <c r="J175" s="585"/>
    </row>
    <row r="176" spans="1:10">
      <c r="A176" s="541" t="s">
        <v>832</v>
      </c>
      <c r="B176" s="670">
        <v>28.242320652820034</v>
      </c>
      <c r="C176" s="670">
        <v>25.086806528346379</v>
      </c>
      <c r="D176" s="670">
        <v>32.110299354008433</v>
      </c>
      <c r="E176" s="670">
        <v>18.77753758488641</v>
      </c>
      <c r="F176" s="670">
        <v>15.777357888963387</v>
      </c>
      <c r="G176" s="670">
        <v>22.360242819251688</v>
      </c>
      <c r="H176" s="670" t="s">
        <v>806</v>
      </c>
      <c r="I176" s="670" t="s">
        <v>806</v>
      </c>
      <c r="J176" s="670" t="s">
        <v>806</v>
      </c>
    </row>
    <row r="177" spans="1:10">
      <c r="A177" s="514" t="s">
        <v>831</v>
      </c>
      <c r="B177" s="670">
        <v>29.468187242595267</v>
      </c>
      <c r="C177" s="670">
        <v>25.47248000457272</v>
      </c>
      <c r="D177" s="670">
        <v>34.340477435093227</v>
      </c>
      <c r="E177" s="670">
        <v>21.14637875023887</v>
      </c>
      <c r="F177" s="670">
        <v>17.752795183683499</v>
      </c>
      <c r="G177" s="670">
        <v>25.200788474846394</v>
      </c>
      <c r="H177" s="670" t="s">
        <v>806</v>
      </c>
      <c r="I177" s="670" t="s">
        <v>806</v>
      </c>
      <c r="J177" s="670" t="s">
        <v>806</v>
      </c>
    </row>
    <row r="178" spans="1:10">
      <c r="A178" s="514" t="s">
        <v>830</v>
      </c>
      <c r="B178" s="668">
        <v>30.337913240798166</v>
      </c>
      <c r="C178" s="668">
        <v>27.635416630240151</v>
      </c>
      <c r="D178" s="668">
        <v>33.616212347578191</v>
      </c>
      <c r="E178" s="668">
        <v>21.396493212669682</v>
      </c>
      <c r="F178" s="668">
        <v>19.415615187131245</v>
      </c>
      <c r="G178" s="668">
        <v>23.750843292958429</v>
      </c>
      <c r="H178" s="670" t="s">
        <v>806</v>
      </c>
      <c r="I178" s="670" t="s">
        <v>806</v>
      </c>
      <c r="J178" s="670" t="s">
        <v>806</v>
      </c>
    </row>
    <row r="179" spans="1:10">
      <c r="A179" s="514" t="s">
        <v>829</v>
      </c>
      <c r="B179" s="670">
        <v>28.625766652970725</v>
      </c>
      <c r="C179" s="670">
        <v>26.976150080039798</v>
      </c>
      <c r="D179" s="670">
        <v>30.616592229273138</v>
      </c>
      <c r="E179" s="670">
        <v>20.44141749187504</v>
      </c>
      <c r="F179" s="670">
        <v>19.360077736975022</v>
      </c>
      <c r="G179" s="670">
        <v>21.72003938246668</v>
      </c>
      <c r="H179" s="670" t="s">
        <v>806</v>
      </c>
      <c r="I179" s="670" t="s">
        <v>806</v>
      </c>
      <c r="J179" s="670" t="s">
        <v>806</v>
      </c>
    </row>
    <row r="180" spans="1:10">
      <c r="A180" s="514" t="s">
        <v>828</v>
      </c>
      <c r="B180" s="670">
        <v>27.046742259782395</v>
      </c>
      <c r="C180" s="670">
        <v>25.819856453525151</v>
      </c>
      <c r="D180" s="670">
        <v>28.519866602886115</v>
      </c>
      <c r="E180" s="670">
        <v>18.024846157235384</v>
      </c>
      <c r="F180" s="670">
        <v>17.703967612436063</v>
      </c>
      <c r="G180" s="670">
        <v>18.402336601698909</v>
      </c>
      <c r="H180" s="670" t="s">
        <v>806</v>
      </c>
      <c r="I180" s="670" t="s">
        <v>806</v>
      </c>
      <c r="J180" s="670" t="s">
        <v>806</v>
      </c>
    </row>
    <row r="181" spans="1:10" ht="15">
      <c r="A181" s="511" t="s">
        <v>42</v>
      </c>
      <c r="B181" s="584"/>
      <c r="C181" s="584"/>
      <c r="D181" s="584"/>
      <c r="E181" s="584"/>
      <c r="F181" s="584"/>
      <c r="G181" s="584"/>
      <c r="H181" s="584"/>
      <c r="I181" s="584"/>
      <c r="J181" s="585"/>
    </row>
    <row r="182" spans="1:10">
      <c r="A182" s="541" t="s">
        <v>832</v>
      </c>
      <c r="B182" s="670">
        <v>24.098339690156607</v>
      </c>
      <c r="C182" s="670">
        <v>24.289268620803448</v>
      </c>
      <c r="D182" s="670">
        <v>23.893462693399933</v>
      </c>
      <c r="E182" s="670">
        <v>21.478842067576334</v>
      </c>
      <c r="F182" s="670">
        <v>21.515362260609646</v>
      </c>
      <c r="G182" s="670">
        <v>21.437766382272798</v>
      </c>
      <c r="H182" s="670">
        <v>22.283066481923182</v>
      </c>
      <c r="I182" s="670">
        <v>22.24583179953461</v>
      </c>
      <c r="J182" s="670">
        <v>22.321034040614673</v>
      </c>
    </row>
    <row r="183" spans="1:10">
      <c r="A183" s="514" t="s">
        <v>831</v>
      </c>
      <c r="B183" s="670">
        <v>23.049501714105247</v>
      </c>
      <c r="C183" s="670">
        <v>23.072471577339115</v>
      </c>
      <c r="D183" s="670">
        <v>23.024737275459593</v>
      </c>
      <c r="E183" s="670">
        <v>19.954940515213451</v>
      </c>
      <c r="F183" s="670">
        <v>20.609179657575126</v>
      </c>
      <c r="G183" s="670">
        <v>19.22603624467833</v>
      </c>
      <c r="H183" s="670">
        <v>21.258478844499397</v>
      </c>
      <c r="I183" s="670">
        <v>22.132518428279408</v>
      </c>
      <c r="J183" s="670">
        <v>20.375645439646288</v>
      </c>
    </row>
    <row r="184" spans="1:10">
      <c r="A184" s="514" t="s">
        <v>830</v>
      </c>
      <c r="B184" s="668">
        <v>21.6805298381041</v>
      </c>
      <c r="C184" s="668">
        <v>22.707975398073383</v>
      </c>
      <c r="D184" s="668">
        <v>20.567527848068174</v>
      </c>
      <c r="E184" s="668">
        <v>17.245734402694353</v>
      </c>
      <c r="F184" s="668">
        <v>18.214687960262221</v>
      </c>
      <c r="G184" s="668">
        <v>16.161047962654045</v>
      </c>
      <c r="H184" s="668">
        <v>18.502663589208346</v>
      </c>
      <c r="I184" s="668">
        <v>19.81030889124921</v>
      </c>
      <c r="J184" s="668">
        <v>17.175561071739203</v>
      </c>
    </row>
    <row r="185" spans="1:10">
      <c r="A185" s="514" t="s">
        <v>829</v>
      </c>
      <c r="B185" s="670">
        <v>20.507460279823004</v>
      </c>
      <c r="C185" s="670">
        <v>21.648255340851041</v>
      </c>
      <c r="D185" s="670">
        <v>19.265710011251844</v>
      </c>
      <c r="E185" s="670">
        <v>16.055669689059144</v>
      </c>
      <c r="F185" s="670">
        <v>17.40255981101377</v>
      </c>
      <c r="G185" s="670">
        <v>14.540635137778606</v>
      </c>
      <c r="H185" s="670">
        <v>17.869589816626199</v>
      </c>
      <c r="I185" s="670">
        <v>19.529420856744903</v>
      </c>
      <c r="J185" s="670">
        <v>16.176936813654283</v>
      </c>
    </row>
    <row r="186" spans="1:10">
      <c r="A186" s="514" t="s">
        <v>828</v>
      </c>
      <c r="B186" s="670">
        <v>20.231046903212771</v>
      </c>
      <c r="C186" s="670">
        <v>21.813384493075318</v>
      </c>
      <c r="D186" s="670">
        <v>18.500299036949521</v>
      </c>
      <c r="E186" s="670">
        <v>15.166937626640935</v>
      </c>
      <c r="F186" s="670">
        <v>16.699630964975285</v>
      </c>
      <c r="G186" s="670">
        <v>13.434515120611623</v>
      </c>
      <c r="H186" s="670">
        <v>15.230584050446437</v>
      </c>
      <c r="I186" s="670">
        <v>16.894556555383986</v>
      </c>
      <c r="J186" s="670">
        <v>13.525453321935871</v>
      </c>
    </row>
    <row r="187" spans="1:10" ht="15">
      <c r="A187" s="511" t="s">
        <v>43</v>
      </c>
      <c r="B187" s="584"/>
      <c r="C187" s="584"/>
      <c r="D187" s="584"/>
      <c r="E187" s="584"/>
      <c r="F187" s="584"/>
      <c r="G187" s="584"/>
      <c r="H187" s="584"/>
      <c r="I187" s="584"/>
      <c r="J187" s="585"/>
    </row>
    <row r="188" spans="1:10">
      <c r="A188" s="541" t="s">
        <v>832</v>
      </c>
      <c r="B188" s="670">
        <v>75.839417011662377</v>
      </c>
      <c r="C188" s="670">
        <v>83.596398037132602</v>
      </c>
      <c r="D188" s="670">
        <v>67.559467559467564</v>
      </c>
      <c r="E188" s="670">
        <v>34.795195425751956</v>
      </c>
      <c r="F188" s="670">
        <v>37.50054957073948</v>
      </c>
      <c r="G188" s="670">
        <v>32.244287469570963</v>
      </c>
      <c r="H188" s="670">
        <v>35.124577805152342</v>
      </c>
      <c r="I188" s="670">
        <v>28.139105402176124</v>
      </c>
      <c r="J188" s="670">
        <v>42.022875690622023</v>
      </c>
    </row>
    <row r="189" spans="1:10">
      <c r="A189" s="514" t="s">
        <v>831</v>
      </c>
      <c r="B189" s="670">
        <v>53.920284309783526</v>
      </c>
      <c r="C189" s="670">
        <v>53.976188083994778</v>
      </c>
      <c r="D189" s="670">
        <v>53.860594845388469</v>
      </c>
      <c r="E189" s="670">
        <v>36.51987110633727</v>
      </c>
      <c r="F189" s="670">
        <v>40.677025527192008</v>
      </c>
      <c r="G189" s="670">
        <v>32.622268470343393</v>
      </c>
      <c r="H189" s="670">
        <v>34.357246405203149</v>
      </c>
      <c r="I189" s="670">
        <v>27.30650644319709</v>
      </c>
      <c r="J189" s="670">
        <v>41.284759981357773</v>
      </c>
    </row>
    <row r="190" spans="1:10">
      <c r="A190" s="514" t="s">
        <v>830</v>
      </c>
      <c r="B190" s="668">
        <v>37.360544098656248</v>
      </c>
      <c r="C190" s="668">
        <v>33.893230501425485</v>
      </c>
      <c r="D190" s="668">
        <v>41.06407438168668</v>
      </c>
      <c r="E190" s="668">
        <v>32.301947185916241</v>
      </c>
      <c r="F190" s="668">
        <v>37.630853994490359</v>
      </c>
      <c r="G190" s="668">
        <v>27.300930713547054</v>
      </c>
      <c r="H190" s="668">
        <v>34.378891656288921</v>
      </c>
      <c r="I190" s="668">
        <v>29.645913480411398</v>
      </c>
      <c r="J190" s="668">
        <v>39.030789412763326</v>
      </c>
    </row>
    <row r="191" spans="1:10">
      <c r="A191" s="514" t="s">
        <v>829</v>
      </c>
      <c r="B191" s="670">
        <v>37.254124060968273</v>
      </c>
      <c r="C191" s="670">
        <v>33.928748389654146</v>
      </c>
      <c r="D191" s="670">
        <v>40.807412309728655</v>
      </c>
      <c r="E191" s="670">
        <v>26.258611552729199</v>
      </c>
      <c r="F191" s="670">
        <v>27.695675971538041</v>
      </c>
      <c r="G191" s="670">
        <v>24.910118130457114</v>
      </c>
      <c r="H191" s="670">
        <v>27.131093671473305</v>
      </c>
      <c r="I191" s="670">
        <v>21.420773549594507</v>
      </c>
      <c r="J191" s="670">
        <v>32.745534002913438</v>
      </c>
    </row>
    <row r="192" spans="1:10">
      <c r="A192" s="514" t="s">
        <v>828</v>
      </c>
      <c r="B192" s="670">
        <v>37.571041690506163</v>
      </c>
      <c r="C192" s="670">
        <v>36.730073578266115</v>
      </c>
      <c r="D192" s="670">
        <v>38.470037354658814</v>
      </c>
      <c r="E192" s="670">
        <v>29.112924453803632</v>
      </c>
      <c r="F192" s="670">
        <v>36.195652173913047</v>
      </c>
      <c r="G192" s="670">
        <v>22.460438999489536</v>
      </c>
      <c r="H192" s="670">
        <v>24.454601321247502</v>
      </c>
      <c r="I192" s="670">
        <v>19.998450933312679</v>
      </c>
      <c r="J192" s="670">
        <v>28.838095238095239</v>
      </c>
    </row>
    <row r="193" spans="1:10" ht="15">
      <c r="A193" s="511" t="s">
        <v>44</v>
      </c>
      <c r="B193" s="584"/>
      <c r="C193" s="584"/>
      <c r="D193" s="584"/>
      <c r="E193" s="584"/>
      <c r="F193" s="584"/>
      <c r="G193" s="584"/>
      <c r="H193" s="584"/>
      <c r="I193" s="584"/>
      <c r="J193" s="585"/>
    </row>
    <row r="194" spans="1:10">
      <c r="A194" s="541" t="s">
        <v>832</v>
      </c>
      <c r="B194" s="670">
        <v>51.370081001417958</v>
      </c>
      <c r="C194" s="670">
        <v>51.751946097458685</v>
      </c>
      <c r="D194" s="670">
        <v>50.986079633254356</v>
      </c>
      <c r="E194" s="670">
        <v>39.622272252026519</v>
      </c>
      <c r="F194" s="670">
        <v>38.816199853195883</v>
      </c>
      <c r="G194" s="670">
        <v>40.415475901572243</v>
      </c>
      <c r="H194" s="670">
        <v>40.695724050751238</v>
      </c>
      <c r="I194" s="670">
        <v>43.775110829708176</v>
      </c>
      <c r="J194" s="670">
        <v>37.747233162916636</v>
      </c>
    </row>
    <row r="195" spans="1:10">
      <c r="A195" s="514" t="s">
        <v>831</v>
      </c>
      <c r="B195" s="670">
        <v>49.031060269557692</v>
      </c>
      <c r="C195" s="670">
        <v>49.772082964265437</v>
      </c>
      <c r="D195" s="670">
        <v>48.286632700825578</v>
      </c>
      <c r="E195" s="670">
        <v>41.5562194317313</v>
      </c>
      <c r="F195" s="670">
        <v>41.448382737564756</v>
      </c>
      <c r="G195" s="670">
        <v>41.661935316611576</v>
      </c>
      <c r="H195" s="670">
        <v>37.797259169689646</v>
      </c>
      <c r="I195" s="670">
        <v>43.306070848061097</v>
      </c>
      <c r="J195" s="670">
        <v>32.542514704796595</v>
      </c>
    </row>
    <row r="196" spans="1:10">
      <c r="A196" s="514" t="s">
        <v>830</v>
      </c>
      <c r="B196" s="668">
        <v>48.636247285369507</v>
      </c>
      <c r="C196" s="668">
        <v>49.079756969442464</v>
      </c>
      <c r="D196" s="668">
        <v>48.191123458530321</v>
      </c>
      <c r="E196" s="668">
        <v>42.120752169173635</v>
      </c>
      <c r="F196" s="668">
        <v>41.764005077959702</v>
      </c>
      <c r="G196" s="668">
        <v>42.470150310069513</v>
      </c>
      <c r="H196" s="668">
        <v>40.49785535417648</v>
      </c>
      <c r="I196" s="668">
        <v>45.686194807174431</v>
      </c>
      <c r="J196" s="668">
        <v>35.553457292271936</v>
      </c>
    </row>
    <row r="197" spans="1:10">
      <c r="A197" s="514" t="s">
        <v>829</v>
      </c>
      <c r="B197" s="670">
        <v>46.906594914886121</v>
      </c>
      <c r="C197" s="670">
        <v>48.228142308833782</v>
      </c>
      <c r="D197" s="670">
        <v>45.581430989683106</v>
      </c>
      <c r="E197" s="670">
        <v>38.289452907256582</v>
      </c>
      <c r="F197" s="670">
        <v>38.58626035243477</v>
      </c>
      <c r="G197" s="670">
        <v>37.999021342266722</v>
      </c>
      <c r="H197" s="670">
        <v>35.969932519005724</v>
      </c>
      <c r="I197" s="670">
        <v>44.708531398548914</v>
      </c>
      <c r="J197" s="670">
        <v>27.649539055241906</v>
      </c>
    </row>
    <row r="198" spans="1:10">
      <c r="A198" s="514" t="s">
        <v>828</v>
      </c>
      <c r="B198" s="670">
        <v>44.315571239861953</v>
      </c>
      <c r="C198" s="670">
        <v>46.265088137466371</v>
      </c>
      <c r="D198" s="670">
        <v>42.3623947232402</v>
      </c>
      <c r="E198" s="670">
        <v>34.441603845733638</v>
      </c>
      <c r="F198" s="670">
        <v>34.643347405881677</v>
      </c>
      <c r="G198" s="670">
        <v>34.244363065267692</v>
      </c>
      <c r="H198" s="670">
        <v>31.781651310020063</v>
      </c>
      <c r="I198" s="670">
        <v>36.441367074883573</v>
      </c>
      <c r="J198" s="670">
        <v>27.348804500703235</v>
      </c>
    </row>
    <row r="199" spans="1:10" ht="15">
      <c r="A199" s="511" t="s">
        <v>134</v>
      </c>
      <c r="B199" s="584"/>
      <c r="C199" s="584"/>
      <c r="D199" s="584"/>
      <c r="E199" s="584"/>
      <c r="F199" s="584"/>
      <c r="G199" s="584"/>
      <c r="H199" s="584"/>
      <c r="I199" s="584"/>
      <c r="J199" s="585"/>
    </row>
    <row r="200" spans="1:10">
      <c r="A200" s="541" t="s">
        <v>832</v>
      </c>
      <c r="B200" s="670">
        <v>35.610439005814342</v>
      </c>
      <c r="C200" s="670">
        <v>34.788310199489011</v>
      </c>
      <c r="D200" s="670">
        <v>36.418171897591797</v>
      </c>
      <c r="E200" s="670">
        <v>32.464756558740945</v>
      </c>
      <c r="F200" s="670">
        <v>29.128455204917969</v>
      </c>
      <c r="G200" s="670">
        <v>35.787681968616006</v>
      </c>
      <c r="H200" s="670">
        <v>30.165263362766851</v>
      </c>
      <c r="I200" s="670">
        <v>31.254334450318343</v>
      </c>
      <c r="J200" s="670">
        <v>29.106177644574597</v>
      </c>
    </row>
    <row r="201" spans="1:10">
      <c r="A201" s="514" t="s">
        <v>831</v>
      </c>
      <c r="B201" s="670">
        <v>36.194801102036855</v>
      </c>
      <c r="C201" s="670">
        <v>35.836449047092422</v>
      </c>
      <c r="D201" s="670">
        <v>36.548174234170126</v>
      </c>
      <c r="E201" s="670">
        <v>33.676690402297865</v>
      </c>
      <c r="F201" s="670">
        <v>30.907176311570741</v>
      </c>
      <c r="G201" s="670">
        <v>36.411924859600703</v>
      </c>
      <c r="H201" s="670">
        <v>30.688217184438848</v>
      </c>
      <c r="I201" s="670">
        <v>32.680740922333143</v>
      </c>
      <c r="J201" s="670">
        <v>28.76682957937734</v>
      </c>
    </row>
    <row r="202" spans="1:10">
      <c r="A202" s="514" t="s">
        <v>830</v>
      </c>
      <c r="B202" s="668">
        <v>35.662216424654787</v>
      </c>
      <c r="C202" s="668">
        <v>37.143489945407254</v>
      </c>
      <c r="D202" s="668">
        <v>34.196084797179189</v>
      </c>
      <c r="E202" s="668">
        <v>31.51352329514609</v>
      </c>
      <c r="F202" s="668">
        <v>30.590655030245788</v>
      </c>
      <c r="G202" s="668">
        <v>32.428361996747647</v>
      </c>
      <c r="H202" s="668">
        <v>29.394972423159004</v>
      </c>
      <c r="I202" s="668">
        <v>32.273006463391958</v>
      </c>
      <c r="J202" s="668">
        <v>26.609362472661427</v>
      </c>
    </row>
    <row r="203" spans="1:10">
      <c r="A203" s="514" t="s">
        <v>829</v>
      </c>
      <c r="B203" s="670">
        <v>35.801500503900563</v>
      </c>
      <c r="C203" s="670">
        <v>38.010063077731964</v>
      </c>
      <c r="D203" s="670">
        <v>33.608024446384633</v>
      </c>
      <c r="E203" s="670">
        <v>34.07219866042368</v>
      </c>
      <c r="F203" s="670">
        <v>34.900126530963234</v>
      </c>
      <c r="G203" s="670">
        <v>33.253166684492797</v>
      </c>
      <c r="H203" s="670">
        <v>32.663091801227239</v>
      </c>
      <c r="I203" s="670">
        <v>37.174702553362152</v>
      </c>
      <c r="J203" s="670">
        <v>28.294198184937255</v>
      </c>
    </row>
    <row r="204" spans="1:10">
      <c r="A204" s="514" t="s">
        <v>828</v>
      </c>
      <c r="B204" s="670">
        <v>36.335872331070057</v>
      </c>
      <c r="C204" s="670">
        <v>39.280697130074145</v>
      </c>
      <c r="D204" s="670">
        <v>33.398922286689853</v>
      </c>
      <c r="E204" s="670">
        <v>36.142375792110229</v>
      </c>
      <c r="F204" s="670">
        <v>38.123051422708073</v>
      </c>
      <c r="G204" s="670">
        <v>34.16376042456406</v>
      </c>
      <c r="H204" s="670">
        <v>33.869117519137092</v>
      </c>
      <c r="I204" s="670">
        <v>39.184212699199072</v>
      </c>
      <c r="J204" s="670">
        <v>28.683669249813381</v>
      </c>
    </row>
    <row r="205" spans="1:10" ht="15">
      <c r="A205" s="511" t="s">
        <v>45</v>
      </c>
      <c r="B205" s="584"/>
      <c r="C205" s="584"/>
      <c r="D205" s="584"/>
      <c r="E205" s="584"/>
      <c r="F205" s="584"/>
      <c r="G205" s="584"/>
      <c r="H205" s="584"/>
      <c r="I205" s="584"/>
      <c r="J205" s="585"/>
    </row>
    <row r="206" spans="1:10">
      <c r="A206" s="541" t="s">
        <v>832</v>
      </c>
      <c r="B206" s="670">
        <v>20.200016394786459</v>
      </c>
      <c r="C206" s="670">
        <v>22.505455171885764</v>
      </c>
      <c r="D206" s="670">
        <v>17.989898572863769</v>
      </c>
      <c r="E206" s="670">
        <v>17.213373157309864</v>
      </c>
      <c r="F206" s="670">
        <v>19.590387031083953</v>
      </c>
      <c r="G206" s="670">
        <v>14.811758397241789</v>
      </c>
      <c r="H206" s="670">
        <v>12.99321250799867</v>
      </c>
      <c r="I206" s="670">
        <v>15.536883130813331</v>
      </c>
      <c r="J206" s="670">
        <v>10.732090956638507</v>
      </c>
    </row>
    <row r="207" spans="1:10">
      <c r="A207" s="514" t="s">
        <v>831</v>
      </c>
      <c r="B207" s="670">
        <v>19.23772970458246</v>
      </c>
      <c r="C207" s="670">
        <v>21.124859820189695</v>
      </c>
      <c r="D207" s="670">
        <v>17.428094925634298</v>
      </c>
      <c r="E207" s="670">
        <v>17.379688974399823</v>
      </c>
      <c r="F207" s="670">
        <v>19.207451229648463</v>
      </c>
      <c r="G207" s="670">
        <v>15.54244993242413</v>
      </c>
      <c r="H207" s="670">
        <v>14.012265908912417</v>
      </c>
      <c r="I207" s="670">
        <v>15.926066783296569</v>
      </c>
      <c r="J207" s="670">
        <v>12.319718006673124</v>
      </c>
    </row>
    <row r="208" spans="1:10">
      <c r="A208" s="514" t="s">
        <v>830</v>
      </c>
      <c r="B208" s="668">
        <v>21.18253292246342</v>
      </c>
      <c r="C208" s="668">
        <v>23.71085535813371</v>
      </c>
      <c r="D208" s="668">
        <v>18.757082176736208</v>
      </c>
      <c r="E208" s="668">
        <v>18.192441117400037</v>
      </c>
      <c r="F208" s="668">
        <v>20.195669061953776</v>
      </c>
      <c r="G208" s="668">
        <v>16.178014305592853</v>
      </c>
      <c r="H208" s="668">
        <v>13.866904944260064</v>
      </c>
      <c r="I208" s="668">
        <v>16.335317400368613</v>
      </c>
      <c r="J208" s="668">
        <v>11.683017455692481</v>
      </c>
    </row>
    <row r="209" spans="1:10">
      <c r="A209" s="514" t="s">
        <v>829</v>
      </c>
      <c r="B209" s="670">
        <v>19.105938301158833</v>
      </c>
      <c r="C209" s="670">
        <v>21.488060366039416</v>
      </c>
      <c r="D209" s="670">
        <v>16.819890973858911</v>
      </c>
      <c r="E209" s="670">
        <v>17.886896485012635</v>
      </c>
      <c r="F209" s="670">
        <v>20.475478613107008</v>
      </c>
      <c r="G209" s="670">
        <v>15.28293191685464</v>
      </c>
      <c r="H209" s="670">
        <v>13.654199747796744</v>
      </c>
      <c r="I209" s="670">
        <v>15.208486503518538</v>
      </c>
      <c r="J209" s="670">
        <v>12.278558338423947</v>
      </c>
    </row>
    <row r="210" spans="1:10">
      <c r="A210" s="514" t="s">
        <v>828</v>
      </c>
      <c r="B210" s="670">
        <v>16.88211592530687</v>
      </c>
      <c r="C210" s="670">
        <v>19.89841996964703</v>
      </c>
      <c r="D210" s="670">
        <v>13.986189018258209</v>
      </c>
      <c r="E210" s="670">
        <v>14.637867448313973</v>
      </c>
      <c r="F210" s="670">
        <v>17.96953585285242</v>
      </c>
      <c r="G210" s="670">
        <v>11.284918894164718</v>
      </c>
      <c r="H210" s="670">
        <v>10.862642169728783</v>
      </c>
      <c r="I210" s="670">
        <v>12.89178353726694</v>
      </c>
      <c r="J210" s="670">
        <v>9.0659558183113838</v>
      </c>
    </row>
    <row r="211" spans="1:10" ht="15">
      <c r="A211" s="511" t="s">
        <v>47</v>
      </c>
      <c r="B211" s="584"/>
      <c r="C211" s="584"/>
      <c r="D211" s="584"/>
      <c r="E211" s="584"/>
      <c r="F211" s="584"/>
      <c r="G211" s="584"/>
      <c r="H211" s="584"/>
      <c r="I211" s="584"/>
      <c r="J211" s="585"/>
    </row>
    <row r="212" spans="1:10">
      <c r="A212" s="541" t="s">
        <v>832</v>
      </c>
      <c r="B212" s="670">
        <v>25.260485083131417</v>
      </c>
      <c r="C212" s="670">
        <v>23.740527422460588</v>
      </c>
      <c r="D212" s="670">
        <v>26.923296982836746</v>
      </c>
      <c r="E212" s="670">
        <v>23.607127365240025</v>
      </c>
      <c r="F212" s="670">
        <v>21.444006891508891</v>
      </c>
      <c r="G212" s="670">
        <v>26.108254814018839</v>
      </c>
      <c r="H212" s="670">
        <v>38.987530960843046</v>
      </c>
      <c r="I212" s="670">
        <v>38.079993693498253</v>
      </c>
      <c r="J212" s="670">
        <v>39.894020549190209</v>
      </c>
    </row>
    <row r="213" spans="1:10">
      <c r="A213" s="514" t="s">
        <v>831</v>
      </c>
      <c r="B213" s="670">
        <v>25.780157187473872</v>
      </c>
      <c r="C213" s="670">
        <v>24.221821434616949</v>
      </c>
      <c r="D213" s="670">
        <v>27.500717944762062</v>
      </c>
      <c r="E213" s="670">
        <v>23.994626022723146</v>
      </c>
      <c r="F213" s="670">
        <v>21.92290577061646</v>
      </c>
      <c r="G213" s="670">
        <v>26.356843576605019</v>
      </c>
      <c r="H213" s="670">
        <v>42.622682533373855</v>
      </c>
      <c r="I213" s="670">
        <v>43.345792631215254</v>
      </c>
      <c r="J213" s="670">
        <v>41.910433908268232</v>
      </c>
    </row>
    <row r="214" spans="1:10">
      <c r="A214" s="514" t="s">
        <v>830</v>
      </c>
      <c r="B214" s="668">
        <v>25.926446641306182</v>
      </c>
      <c r="C214" s="668">
        <v>25.210531032617592</v>
      </c>
      <c r="D214" s="668">
        <v>26.724233211300444</v>
      </c>
      <c r="E214" s="668">
        <v>21.723958129235079</v>
      </c>
      <c r="F214" s="668">
        <v>21.10900779240967</v>
      </c>
      <c r="G214" s="668">
        <v>22.431650728752146</v>
      </c>
      <c r="H214" s="668">
        <v>35.617428468174033</v>
      </c>
      <c r="I214" s="668">
        <v>38.217032274331821</v>
      </c>
      <c r="J214" s="668">
        <v>33.033056556478151</v>
      </c>
    </row>
    <row r="215" spans="1:10">
      <c r="A215" s="514" t="s">
        <v>829</v>
      </c>
      <c r="B215" s="670">
        <v>24.928447771761537</v>
      </c>
      <c r="C215" s="670">
        <v>24.627683415218957</v>
      </c>
      <c r="D215" s="670">
        <v>25.266738069769755</v>
      </c>
      <c r="E215" s="670">
        <v>21.06061122038339</v>
      </c>
      <c r="F215" s="670">
        <v>20.86679913618574</v>
      </c>
      <c r="G215" s="670">
        <v>21.285736188569647</v>
      </c>
      <c r="H215" s="670">
        <v>33.310626702997276</v>
      </c>
      <c r="I215" s="670">
        <v>37.93174342105263</v>
      </c>
      <c r="J215" s="670">
        <v>28.673670179002158</v>
      </c>
    </row>
    <row r="216" spans="1:10">
      <c r="A216" s="514" t="s">
        <v>828</v>
      </c>
      <c r="B216" s="670">
        <v>24.497096643148584</v>
      </c>
      <c r="C216" s="670">
        <v>24.168937156121487</v>
      </c>
      <c r="D216" s="670">
        <v>24.869664205499312</v>
      </c>
      <c r="E216" s="670">
        <v>20.464804995780316</v>
      </c>
      <c r="F216" s="670">
        <v>20.26365566696348</v>
      </c>
      <c r="G216" s="670">
        <v>20.700645514865286</v>
      </c>
      <c r="H216" s="670">
        <v>30.622089819259308</v>
      </c>
      <c r="I216" s="670">
        <v>33.515864323921086</v>
      </c>
      <c r="J216" s="670">
        <v>27.691145263970164</v>
      </c>
    </row>
    <row r="217" spans="1:10" ht="15">
      <c r="A217" s="511" t="s">
        <v>46</v>
      </c>
      <c r="B217" s="584"/>
      <c r="C217" s="584"/>
      <c r="D217" s="584"/>
      <c r="E217" s="584"/>
      <c r="F217" s="584"/>
      <c r="G217" s="584"/>
      <c r="H217" s="584"/>
      <c r="I217" s="584"/>
      <c r="J217" s="585"/>
    </row>
    <row r="218" spans="1:10">
      <c r="A218" s="541" t="s">
        <v>832</v>
      </c>
      <c r="B218" s="670">
        <v>41.494313110759116</v>
      </c>
      <c r="C218" s="670">
        <v>40.713296070377581</v>
      </c>
      <c r="D218" s="670">
        <v>42.321146546230359</v>
      </c>
      <c r="E218" s="670">
        <v>31.13636218028989</v>
      </c>
      <c r="F218" s="670">
        <v>29.732738779533019</v>
      </c>
      <c r="G218" s="670">
        <v>32.628659905696566</v>
      </c>
      <c r="H218" s="670">
        <v>45.791065961262326</v>
      </c>
      <c r="I218" s="670">
        <v>45.610793403468428</v>
      </c>
      <c r="J218" s="670">
        <v>45.971102900877568</v>
      </c>
    </row>
    <row r="219" spans="1:10">
      <c r="A219" s="514" t="s">
        <v>831</v>
      </c>
      <c r="B219" s="670">
        <v>39.1378154603795</v>
      </c>
      <c r="C219" s="670">
        <v>39.214962270626721</v>
      </c>
      <c r="D219" s="670">
        <v>39.056275820807251</v>
      </c>
      <c r="E219" s="670">
        <v>29.984575471906584</v>
      </c>
      <c r="F219" s="670">
        <v>29.329656925904928</v>
      </c>
      <c r="G219" s="670">
        <v>30.678683599617642</v>
      </c>
      <c r="H219" s="670">
        <v>47.815649237587714</v>
      </c>
      <c r="I219" s="670">
        <v>47.363968060916925</v>
      </c>
      <c r="J219" s="670">
        <v>48.26533298236378</v>
      </c>
    </row>
    <row r="220" spans="1:10">
      <c r="A220" s="514" t="s">
        <v>830</v>
      </c>
      <c r="B220" s="668">
        <v>36.308534227697059</v>
      </c>
      <c r="C220" s="668">
        <v>36.333615897111287</v>
      </c>
      <c r="D220" s="668">
        <v>36.282066358535886</v>
      </c>
      <c r="E220" s="668">
        <v>26.571743531860886</v>
      </c>
      <c r="F220" s="668">
        <v>26.433403949976078</v>
      </c>
      <c r="G220" s="668">
        <v>26.718129965922138</v>
      </c>
      <c r="H220" s="668">
        <v>42.328361339030586</v>
      </c>
      <c r="I220" s="668">
        <v>42.11190576356752</v>
      </c>
      <c r="J220" s="668">
        <v>42.54351575976164</v>
      </c>
    </row>
    <row r="221" spans="1:10">
      <c r="A221" s="514" t="s">
        <v>829</v>
      </c>
      <c r="B221" s="670">
        <v>33.404734606009427</v>
      </c>
      <c r="C221" s="670">
        <v>33.801298676225471</v>
      </c>
      <c r="D221" s="670">
        <v>32.986894544394289</v>
      </c>
      <c r="E221" s="670">
        <v>23.931176262619648</v>
      </c>
      <c r="F221" s="670">
        <v>24.146368401824933</v>
      </c>
      <c r="G221" s="670">
        <v>23.703816739075798</v>
      </c>
      <c r="H221" s="670">
        <v>40.162567736556902</v>
      </c>
      <c r="I221" s="670">
        <v>39.897484178042788</v>
      </c>
      <c r="J221" s="670">
        <v>40.425642356605245</v>
      </c>
    </row>
    <row r="222" spans="1:10">
      <c r="A222" s="514" t="s">
        <v>828</v>
      </c>
      <c r="B222" s="670">
        <v>33.260339654438241</v>
      </c>
      <c r="C222" s="670">
        <v>33.600797591861486</v>
      </c>
      <c r="D222" s="670">
        <v>32.902149353644944</v>
      </c>
      <c r="E222" s="670">
        <v>23.482531377576478</v>
      </c>
      <c r="F222" s="670">
        <v>23.786465199607886</v>
      </c>
      <c r="G222" s="670">
        <v>23.161892535237634</v>
      </c>
      <c r="H222" s="670">
        <v>38.570096846030346</v>
      </c>
      <c r="I222" s="670">
        <v>40.333992300489022</v>
      </c>
      <c r="J222" s="670">
        <v>36.822025159826765</v>
      </c>
    </row>
    <row r="223" spans="1:10" ht="15">
      <c r="A223" s="511" t="s">
        <v>48</v>
      </c>
      <c r="B223" s="584"/>
      <c r="C223" s="584"/>
      <c r="D223" s="584"/>
      <c r="E223" s="584"/>
      <c r="F223" s="584"/>
      <c r="G223" s="584"/>
      <c r="H223" s="584"/>
      <c r="I223" s="584"/>
      <c r="J223" s="585"/>
    </row>
    <row r="224" spans="1:10">
      <c r="A224" s="541" t="s">
        <v>832</v>
      </c>
      <c r="B224" s="670">
        <v>19.946929862254137</v>
      </c>
      <c r="C224" s="670">
        <v>20.337603429767007</v>
      </c>
      <c r="D224" s="670">
        <v>19.578298284218526</v>
      </c>
      <c r="E224" s="670">
        <v>14.948391191211073</v>
      </c>
      <c r="F224" s="670">
        <v>15.060073271938538</v>
      </c>
      <c r="G224" s="670">
        <v>14.838280654223324</v>
      </c>
      <c r="H224" s="670">
        <v>11.000917369905229</v>
      </c>
      <c r="I224" s="670">
        <v>11.422043161210377</v>
      </c>
      <c r="J224" s="670">
        <v>10.618677057106122</v>
      </c>
    </row>
    <row r="225" spans="1:10">
      <c r="A225" s="514" t="s">
        <v>831</v>
      </c>
      <c r="B225" s="670">
        <v>19.324847909915349</v>
      </c>
      <c r="C225" s="670">
        <v>19.951731099165588</v>
      </c>
      <c r="D225" s="670">
        <v>18.727601387596231</v>
      </c>
      <c r="E225" s="670">
        <v>14.118630317155535</v>
      </c>
      <c r="F225" s="670">
        <v>14.661037025715487</v>
      </c>
      <c r="G225" s="670">
        <v>13.591506199832454</v>
      </c>
      <c r="H225" s="670">
        <v>10.226639505248061</v>
      </c>
      <c r="I225" s="670">
        <v>10.963047031929607</v>
      </c>
      <c r="J225" s="670">
        <v>9.5677935055082308</v>
      </c>
    </row>
    <row r="226" spans="1:10">
      <c r="A226" s="514" t="s">
        <v>830</v>
      </c>
      <c r="B226" s="668">
        <v>18.725455949793236</v>
      </c>
      <c r="C226" s="668">
        <v>19.911838082196919</v>
      </c>
      <c r="D226" s="668">
        <v>17.58415922340048</v>
      </c>
      <c r="E226" s="668">
        <v>13.790470475979943</v>
      </c>
      <c r="F226" s="668">
        <v>14.75829444324679</v>
      </c>
      <c r="G226" s="668">
        <v>12.840759947382299</v>
      </c>
      <c r="H226" s="668">
        <v>9.8740661361788149</v>
      </c>
      <c r="I226" s="668">
        <v>10.963150849010075</v>
      </c>
      <c r="J226" s="668">
        <v>8.8902004692757473</v>
      </c>
    </row>
    <row r="227" spans="1:10">
      <c r="A227" s="514" t="s">
        <v>829</v>
      </c>
      <c r="B227" s="670">
        <v>18.510259074360338</v>
      </c>
      <c r="C227" s="670">
        <v>19.811018046639898</v>
      </c>
      <c r="D227" s="670">
        <v>17.246685996018524</v>
      </c>
      <c r="E227" s="670">
        <v>13.509831524453931</v>
      </c>
      <c r="F227" s="670">
        <v>14.820992434622029</v>
      </c>
      <c r="G227" s="670">
        <v>12.210617707536343</v>
      </c>
      <c r="H227" s="670">
        <v>10.133100622249204</v>
      </c>
      <c r="I227" s="670">
        <v>11.503270469064162</v>
      </c>
      <c r="J227" s="670">
        <v>8.8831942235585029</v>
      </c>
    </row>
    <row r="228" spans="1:10">
      <c r="A228" s="514" t="s">
        <v>828</v>
      </c>
      <c r="B228" s="670">
        <v>17.66049623381782</v>
      </c>
      <c r="C228" s="670">
        <v>19.143729120548141</v>
      </c>
      <c r="D228" s="670">
        <v>16.205502947780744</v>
      </c>
      <c r="E228" s="670">
        <v>12.837676317826581</v>
      </c>
      <c r="F228" s="670">
        <v>14.209024099725067</v>
      </c>
      <c r="G228" s="670">
        <v>11.465467095242094</v>
      </c>
      <c r="H228" s="670">
        <v>9.4572210140260218</v>
      </c>
      <c r="I228" s="670">
        <v>10.643227166557624</v>
      </c>
      <c r="J228" s="670">
        <v>8.3646813565638691</v>
      </c>
    </row>
  </sheetData>
  <mergeCells count="4">
    <mergeCell ref="A2:A3"/>
    <mergeCell ref="B2:D2"/>
    <mergeCell ref="E2:G2"/>
    <mergeCell ref="H2:J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0" firstPageNumber="2" pageOrder="overThenDown" orientation="portrait" useFirstPageNumber="1" r:id="rId1"/>
  <headerFooter alignWithMargins="0">
    <oddFooter>&amp;L     AISHE 2019-20&amp;CT-47</oddFooter>
  </headerFooter>
  <rowBreaks count="3" manualBreakCount="3">
    <brk id="70" max="16383" man="1"/>
    <brk id="138" max="16383" man="1"/>
    <brk id="204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7030A0"/>
  </sheetPr>
  <dimension ref="A1:P42"/>
  <sheetViews>
    <sheetView showZeros="0" view="pageBreakPreview" topLeftCell="H22" zoomScale="85" zoomScaleSheetLayoutView="85" workbookViewId="0">
      <selection activeCell="A20" sqref="A20"/>
    </sheetView>
  </sheetViews>
  <sheetFormatPr defaultColWidth="9.140625" defaultRowHeight="12.75"/>
  <cols>
    <col min="1" max="1" width="33.42578125" style="586" customWidth="1"/>
    <col min="2" max="16" width="14.85546875" style="586" customWidth="1"/>
    <col min="17" max="16384" width="9.140625" style="586"/>
  </cols>
  <sheetData>
    <row r="1" spans="1:16" ht="33" customHeight="1">
      <c r="A1" s="660" t="s">
        <v>884</v>
      </c>
      <c r="B1" s="587" t="s">
        <v>883</v>
      </c>
      <c r="C1" s="587"/>
      <c r="D1" s="587"/>
      <c r="E1" s="587"/>
      <c r="F1" s="587"/>
      <c r="G1" s="587" t="s">
        <v>883</v>
      </c>
      <c r="H1" s="587"/>
      <c r="I1" s="587"/>
      <c r="J1" s="587"/>
      <c r="K1" s="587"/>
      <c r="L1" s="587" t="s">
        <v>883</v>
      </c>
      <c r="M1" s="506"/>
      <c r="N1" s="506"/>
      <c r="O1" s="506"/>
    </row>
    <row r="2" spans="1:16" s="588" customFormat="1" ht="27" customHeight="1">
      <c r="A2" s="994" t="s">
        <v>713</v>
      </c>
      <c r="B2" s="995" t="s">
        <v>843</v>
      </c>
      <c r="C2" s="996"/>
      <c r="D2" s="996"/>
      <c r="E2" s="996"/>
      <c r="F2" s="996"/>
      <c r="G2" s="995" t="s">
        <v>110</v>
      </c>
      <c r="H2" s="996"/>
      <c r="I2" s="996"/>
      <c r="J2" s="996"/>
      <c r="K2" s="997"/>
      <c r="L2" s="995" t="s">
        <v>111</v>
      </c>
      <c r="M2" s="996"/>
      <c r="N2" s="996"/>
      <c r="O2" s="996"/>
      <c r="P2" s="997"/>
    </row>
    <row r="3" spans="1:16" s="588" customFormat="1" ht="27.75" customHeight="1">
      <c r="A3" s="994"/>
      <c r="B3" s="531" t="s">
        <v>828</v>
      </c>
      <c r="C3" s="531" t="s">
        <v>829</v>
      </c>
      <c r="D3" s="531" t="s">
        <v>830</v>
      </c>
      <c r="E3" s="531" t="s">
        <v>831</v>
      </c>
      <c r="F3" s="531" t="s">
        <v>832</v>
      </c>
      <c r="G3" s="531" t="s">
        <v>828</v>
      </c>
      <c r="H3" s="531" t="s">
        <v>829</v>
      </c>
      <c r="I3" s="531" t="s">
        <v>830</v>
      </c>
      <c r="J3" s="531" t="s">
        <v>831</v>
      </c>
      <c r="K3" s="531" t="s">
        <v>832</v>
      </c>
      <c r="L3" s="531" t="s">
        <v>828</v>
      </c>
      <c r="M3" s="531" t="s">
        <v>829</v>
      </c>
      <c r="N3" s="531" t="s">
        <v>830</v>
      </c>
      <c r="O3" s="531" t="s">
        <v>831</v>
      </c>
      <c r="P3" s="531" t="s">
        <v>832</v>
      </c>
    </row>
    <row r="4" spans="1:16" s="588" customFormat="1">
      <c r="A4" s="558">
        <v>1</v>
      </c>
      <c r="B4" s="558">
        <v>2</v>
      </c>
      <c r="C4" s="558">
        <v>3</v>
      </c>
      <c r="D4" s="558">
        <v>4</v>
      </c>
      <c r="E4" s="558">
        <v>5</v>
      </c>
      <c r="F4" s="558">
        <v>6</v>
      </c>
      <c r="G4" s="558">
        <v>2</v>
      </c>
      <c r="H4" s="558">
        <v>3</v>
      </c>
      <c r="I4" s="558">
        <v>4</v>
      </c>
      <c r="J4" s="558">
        <v>5</v>
      </c>
      <c r="K4" s="558">
        <v>6</v>
      </c>
      <c r="L4" s="558">
        <v>2</v>
      </c>
      <c r="M4" s="558">
        <v>3</v>
      </c>
      <c r="N4" s="558">
        <v>4</v>
      </c>
      <c r="O4" s="558">
        <v>5</v>
      </c>
      <c r="P4" s="558">
        <v>6</v>
      </c>
    </row>
    <row r="5" spans="1:16" s="590" customFormat="1" ht="25.5" customHeight="1">
      <c r="A5" s="502" t="s">
        <v>833</v>
      </c>
      <c r="B5" s="589">
        <v>0.92382593105469635</v>
      </c>
      <c r="C5" s="589">
        <v>0.94220126574525309</v>
      </c>
      <c r="D5" s="589">
        <v>0.96631173918861835</v>
      </c>
      <c r="E5" s="589">
        <v>1.0029526907129658</v>
      </c>
      <c r="F5" s="589">
        <v>1.0139153283731475</v>
      </c>
      <c r="G5" s="589">
        <v>0.91118755420466024</v>
      </c>
      <c r="H5" s="589">
        <v>0.92629805235293849</v>
      </c>
      <c r="I5" s="589">
        <v>0.96355194160836177</v>
      </c>
      <c r="J5" s="589">
        <v>1.0231047638209854</v>
      </c>
      <c r="K5" s="589">
        <v>1.0531246412394462</v>
      </c>
      <c r="L5" s="589">
        <v>0.82951232978156952</v>
      </c>
      <c r="M5" s="589">
        <v>0.84946434129143122</v>
      </c>
      <c r="N5" s="589">
        <v>0.87223781628538255</v>
      </c>
      <c r="O5" s="589">
        <v>0.92</v>
      </c>
      <c r="P5" s="589">
        <v>0.97</v>
      </c>
    </row>
    <row r="6" spans="1:16" ht="30.75" customHeight="1">
      <c r="A6" s="502" t="s">
        <v>154</v>
      </c>
      <c r="B6" s="591">
        <v>1.1091304648381302</v>
      </c>
      <c r="C6" s="592">
        <v>1.1265394961511868</v>
      </c>
      <c r="D6" s="592">
        <v>1.0569306589665015</v>
      </c>
      <c r="E6" s="592">
        <v>1.2876347438509308</v>
      </c>
      <c r="F6" s="592">
        <v>1.2571215765831039</v>
      </c>
      <c r="G6" s="592" t="s">
        <v>806</v>
      </c>
      <c r="H6" s="592" t="s">
        <v>806</v>
      </c>
      <c r="I6" s="592" t="s">
        <v>806</v>
      </c>
      <c r="J6" s="592" t="s">
        <v>806</v>
      </c>
      <c r="K6" s="592" t="s">
        <v>806</v>
      </c>
      <c r="L6" s="591">
        <v>1.239066339066339</v>
      </c>
      <c r="M6" s="592">
        <v>1.3686667949442597</v>
      </c>
      <c r="N6" s="592">
        <v>1.3141424288812349</v>
      </c>
      <c r="O6" s="592">
        <v>1.598329981488676</v>
      </c>
      <c r="P6" s="309">
        <v>1.8953565412252213</v>
      </c>
    </row>
    <row r="7" spans="1:16" ht="25.5" customHeight="1">
      <c r="A7" s="502" t="s">
        <v>15</v>
      </c>
      <c r="B7" s="591">
        <v>0.77428282224910916</v>
      </c>
      <c r="C7" s="592">
        <v>0.77813975706021443</v>
      </c>
      <c r="D7" s="592">
        <v>0.78157407512315824</v>
      </c>
      <c r="E7" s="592">
        <v>0.81050819923995565</v>
      </c>
      <c r="F7" s="592">
        <v>0.83967623433225769</v>
      </c>
      <c r="G7" s="591">
        <v>0.78356928061038411</v>
      </c>
      <c r="H7" s="592">
        <v>0.78878499239231326</v>
      </c>
      <c r="I7" s="592">
        <v>0.8272936788405536</v>
      </c>
      <c r="J7" s="592">
        <v>0.83780148039431401</v>
      </c>
      <c r="K7" s="592">
        <v>0.86697047660747983</v>
      </c>
      <c r="L7" s="591">
        <v>0.72257427822016906</v>
      </c>
      <c r="M7" s="592">
        <v>0.73663667776704833</v>
      </c>
      <c r="N7" s="592">
        <v>0.76831175718620004</v>
      </c>
      <c r="O7" s="592">
        <v>0.75575135746923983</v>
      </c>
      <c r="P7" s="309">
        <v>0.76147948153933376</v>
      </c>
    </row>
    <row r="8" spans="1:16" ht="25.5" customHeight="1">
      <c r="A8" s="502" t="s">
        <v>16</v>
      </c>
      <c r="B8" s="591">
        <v>0.98835030789125766</v>
      </c>
      <c r="C8" s="592">
        <v>0.97410413132561802</v>
      </c>
      <c r="D8" s="592">
        <v>0.88319177486152012</v>
      </c>
      <c r="E8" s="592">
        <v>0.988608286617496</v>
      </c>
      <c r="F8" s="592">
        <v>0.93809529306821593</v>
      </c>
      <c r="G8" s="592" t="s">
        <v>806</v>
      </c>
      <c r="H8" s="592" t="s">
        <v>806</v>
      </c>
      <c r="I8" s="592" t="s">
        <v>806</v>
      </c>
      <c r="J8" s="592" t="s">
        <v>806</v>
      </c>
      <c r="K8" s="592" t="s">
        <v>806</v>
      </c>
      <c r="L8" s="591">
        <v>0.96393072593503593</v>
      </c>
      <c r="M8" s="592">
        <v>0.96374520805495045</v>
      </c>
      <c r="N8" s="592">
        <v>0.83450485052282863</v>
      </c>
      <c r="O8" s="592">
        <v>1.0089723050222448</v>
      </c>
      <c r="P8" s="309">
        <v>0.90972784812158458</v>
      </c>
    </row>
    <row r="9" spans="1:16" ht="25.5" customHeight="1">
      <c r="A9" s="502" t="s">
        <v>17</v>
      </c>
      <c r="B9" s="591">
        <v>0.90342237663219793</v>
      </c>
      <c r="C9" s="592">
        <v>0.92576007600920074</v>
      </c>
      <c r="D9" s="592">
        <v>0.95667699147219887</v>
      </c>
      <c r="E9" s="592">
        <v>0.95471466567533547</v>
      </c>
      <c r="F9" s="592">
        <v>0.9868319007304065</v>
      </c>
      <c r="G9" s="591">
        <v>0.91260543363976077</v>
      </c>
      <c r="H9" s="592">
        <v>0.94822505551046921</v>
      </c>
      <c r="I9" s="592">
        <v>0.93256630438653132</v>
      </c>
      <c r="J9" s="592">
        <v>0.94323677742796608</v>
      </c>
      <c r="K9" s="592">
        <v>0.9749622036666985</v>
      </c>
      <c r="L9" s="591">
        <v>0.86879888965498453</v>
      </c>
      <c r="M9" s="592">
        <v>0.88956171992482636</v>
      </c>
      <c r="N9" s="592">
        <v>0.86962879780824998</v>
      </c>
      <c r="O9" s="592">
        <v>0.90377761156254355</v>
      </c>
      <c r="P9" s="309">
        <v>0.98664697069145824</v>
      </c>
    </row>
    <row r="10" spans="1:16" ht="25.5" customHeight="1">
      <c r="A10" s="502" t="s">
        <v>18</v>
      </c>
      <c r="B10" s="591">
        <v>0.79964088961923141</v>
      </c>
      <c r="C10" s="592">
        <v>0.79890527761480501</v>
      </c>
      <c r="D10" s="592">
        <v>0.7911796238199601</v>
      </c>
      <c r="E10" s="592">
        <v>0.7914916657876796</v>
      </c>
      <c r="F10" s="592">
        <v>0.83060871441045792</v>
      </c>
      <c r="G10" s="591">
        <v>0.62482459376868527</v>
      </c>
      <c r="H10" s="592">
        <v>0.62324660807344157</v>
      </c>
      <c r="I10" s="592">
        <v>0.60252966906010708</v>
      </c>
      <c r="J10" s="592">
        <v>0.57920795908777334</v>
      </c>
      <c r="K10" s="592">
        <v>0.60150383164634469</v>
      </c>
      <c r="L10" s="591">
        <v>0.83871345084544602</v>
      </c>
      <c r="M10" s="592">
        <v>0.69188914638500187</v>
      </c>
      <c r="N10" s="592">
        <v>0.64979799468869259</v>
      </c>
      <c r="O10" s="592">
        <v>0.66856723711387445</v>
      </c>
      <c r="P10" s="309">
        <v>0.77285963332195551</v>
      </c>
    </row>
    <row r="11" spans="1:16" ht="25.5" customHeight="1">
      <c r="A11" s="502" t="s">
        <v>19</v>
      </c>
      <c r="B11" s="591">
        <v>1.4542755990011376</v>
      </c>
      <c r="C11" s="592">
        <v>1.4545902621451703</v>
      </c>
      <c r="D11" s="592">
        <v>1.3917269285405376</v>
      </c>
      <c r="E11" s="592">
        <v>1.5373817237527376</v>
      </c>
      <c r="F11" s="592">
        <v>1.5190828077476024</v>
      </c>
      <c r="G11" s="591">
        <v>1.3205253405081554</v>
      </c>
      <c r="H11" s="592">
        <v>1.2950011246899626</v>
      </c>
      <c r="I11" s="592">
        <v>1.0828310706039617</v>
      </c>
      <c r="J11" s="592">
        <v>1.1643994427787925</v>
      </c>
      <c r="K11" s="592">
        <v>1.1493098181450763</v>
      </c>
      <c r="L11" s="592" t="s">
        <v>806</v>
      </c>
      <c r="M11" s="592" t="s">
        <v>806</v>
      </c>
      <c r="N11" s="592" t="s">
        <v>806</v>
      </c>
      <c r="O11" s="592" t="s">
        <v>806</v>
      </c>
      <c r="P11" s="309" t="s">
        <v>806</v>
      </c>
    </row>
    <row r="12" spans="1:16" ht="25.5" customHeight="1">
      <c r="A12" s="502" t="s">
        <v>20</v>
      </c>
      <c r="B12" s="591">
        <v>0.92892680358070157</v>
      </c>
      <c r="C12" s="592">
        <v>0.96612120861748751</v>
      </c>
      <c r="D12" s="592">
        <v>0.98907987018364307</v>
      </c>
      <c r="E12" s="592">
        <v>1.0581600373915738</v>
      </c>
      <c r="F12" s="592">
        <v>1.1272320440816821</v>
      </c>
      <c r="G12" s="591">
        <v>0.88530103429267037</v>
      </c>
      <c r="H12" s="592">
        <v>0.90771249741966864</v>
      </c>
      <c r="I12" s="592">
        <v>0.92374589404339313</v>
      </c>
      <c r="J12" s="592">
        <v>1.0282880820047968</v>
      </c>
      <c r="K12" s="592">
        <v>1.0737411842259637</v>
      </c>
      <c r="L12" s="591">
        <v>0.95238474811328222</v>
      </c>
      <c r="M12" s="592">
        <v>1.0053283006982228</v>
      </c>
      <c r="N12" s="592">
        <v>1.0425524148333531</v>
      </c>
      <c r="O12" s="592">
        <v>1.174534160793576</v>
      </c>
      <c r="P12" s="309">
        <v>1.2708219398650011</v>
      </c>
    </row>
    <row r="13" spans="1:16" ht="25.5" customHeight="1">
      <c r="A13" s="502" t="s">
        <v>155</v>
      </c>
      <c r="B13" s="591">
        <v>1.4452605231009672</v>
      </c>
      <c r="C13" s="592">
        <v>1.5579802476489963</v>
      </c>
      <c r="D13" s="592">
        <v>1.7215969077545956</v>
      </c>
      <c r="E13" s="592">
        <v>1.6961967084354477</v>
      </c>
      <c r="F13" s="592">
        <v>1.7517084274106609</v>
      </c>
      <c r="G13" s="591">
        <v>1.7620137299771168</v>
      </c>
      <c r="H13" s="592">
        <v>2.0399863294600138</v>
      </c>
      <c r="I13" s="592">
        <v>1.7838039186470982</v>
      </c>
      <c r="J13" s="592">
        <v>1.4947593167701863</v>
      </c>
      <c r="K13" s="592">
        <v>1.2411313706239118</v>
      </c>
      <c r="L13" s="591">
        <v>0.76084378237955441</v>
      </c>
      <c r="M13" s="592">
        <v>0.81484590648303934</v>
      </c>
      <c r="N13" s="592">
        <v>1.0075381978090638</v>
      </c>
      <c r="O13" s="592">
        <v>1.0360752091052945</v>
      </c>
      <c r="P13" s="309">
        <v>1.1532249557091772</v>
      </c>
    </row>
    <row r="14" spans="1:16" ht="25.5" customHeight="1">
      <c r="A14" s="502" t="s">
        <v>156</v>
      </c>
      <c r="B14" s="591">
        <v>2.0091772227546443</v>
      </c>
      <c r="C14" s="592">
        <v>1.8733785797457845</v>
      </c>
      <c r="D14" s="592">
        <v>2.2144940401882725</v>
      </c>
      <c r="E14" s="592">
        <v>2.3396102829870129</v>
      </c>
      <c r="F14" s="592">
        <v>2.5794341756878287</v>
      </c>
      <c r="G14" s="591">
        <v>1.1963734730969187</v>
      </c>
      <c r="H14" s="592">
        <v>1.5247781065088757</v>
      </c>
      <c r="I14" s="592">
        <v>1.268816755674232</v>
      </c>
      <c r="J14" s="592">
        <v>1.587747782678234</v>
      </c>
      <c r="K14" s="592">
        <v>1.8812514555612387</v>
      </c>
      <c r="L14" s="591">
        <v>0.8289952197956697</v>
      </c>
      <c r="M14" s="592">
        <v>0.97650124901322555</v>
      </c>
      <c r="N14" s="592">
        <v>1.3694364962008463</v>
      </c>
      <c r="O14" s="592">
        <v>1.515842140645147</v>
      </c>
      <c r="P14" s="309">
        <v>2.2048343964179313</v>
      </c>
    </row>
    <row r="15" spans="1:16" ht="25.5" customHeight="1">
      <c r="A15" s="502" t="s">
        <v>23</v>
      </c>
      <c r="B15" s="591">
        <v>1.1212461085439935</v>
      </c>
      <c r="C15" s="592">
        <v>1.130922219839696</v>
      </c>
      <c r="D15" s="592">
        <v>1.0673162956759032</v>
      </c>
      <c r="E15" s="592">
        <v>1.1585405964357285</v>
      </c>
      <c r="F15" s="592">
        <v>1.1545142499122487</v>
      </c>
      <c r="G15" s="591">
        <v>0.94570898157162642</v>
      </c>
      <c r="H15" s="592">
        <v>1.0609380625986005</v>
      </c>
      <c r="I15" s="592">
        <v>1.00695081220959</v>
      </c>
      <c r="J15" s="592">
        <v>1.1428871551447426</v>
      </c>
      <c r="K15" s="592">
        <v>1.1624332870148726</v>
      </c>
      <c r="L15" s="592" t="s">
        <v>806</v>
      </c>
      <c r="M15" s="592" t="s">
        <v>806</v>
      </c>
      <c r="N15" s="592" t="s">
        <v>806</v>
      </c>
      <c r="O15" s="592" t="s">
        <v>806</v>
      </c>
      <c r="P15" s="309" t="s">
        <v>806</v>
      </c>
    </row>
    <row r="16" spans="1:16" ht="25.5" customHeight="1">
      <c r="A16" s="502" t="s">
        <v>24</v>
      </c>
      <c r="B16" s="591">
        <v>1.2344381117314445</v>
      </c>
      <c r="C16" s="592">
        <v>1.2752603024454421</v>
      </c>
      <c r="D16" s="592">
        <v>1.2783342081290412</v>
      </c>
      <c r="E16" s="592">
        <v>1.3272909904713415</v>
      </c>
      <c r="F16" s="592">
        <v>1.4549498935890588</v>
      </c>
      <c r="G16" s="591">
        <v>0.96640156365842145</v>
      </c>
      <c r="H16" s="592">
        <v>1.1051858416027072</v>
      </c>
      <c r="I16" s="592">
        <v>1.0240253077975376</v>
      </c>
      <c r="J16" s="592">
        <v>1.0600026270852489</v>
      </c>
      <c r="K16" s="592">
        <v>1.0943838457320014</v>
      </c>
      <c r="L16" s="591">
        <v>1.3893583424023213</v>
      </c>
      <c r="M16" s="592">
        <v>1.321652272922005</v>
      </c>
      <c r="N16" s="592">
        <v>1.3222544654926911</v>
      </c>
      <c r="O16" s="592">
        <v>1.472170017115817</v>
      </c>
      <c r="P16" s="309">
        <v>1.5846105394158374</v>
      </c>
    </row>
    <row r="17" spans="1:16" ht="25.5" customHeight="1">
      <c r="A17" s="502" t="s">
        <v>25</v>
      </c>
      <c r="B17" s="591">
        <v>0.79951252687406149</v>
      </c>
      <c r="C17" s="592">
        <v>0.75491194298822129</v>
      </c>
      <c r="D17" s="592">
        <v>0.83349238363665368</v>
      </c>
      <c r="E17" s="592">
        <v>0.84997662060763668</v>
      </c>
      <c r="F17" s="592">
        <v>0.85868113827609005</v>
      </c>
      <c r="G17" s="591">
        <v>0.83484833660479929</v>
      </c>
      <c r="H17" s="592">
        <v>0.68948057121195383</v>
      </c>
      <c r="I17" s="592">
        <v>0.83426493161133697</v>
      </c>
      <c r="J17" s="592">
        <v>0.86244637513351896</v>
      </c>
      <c r="K17" s="592">
        <v>0.89130313948148077</v>
      </c>
      <c r="L17" s="591">
        <v>0.97592573852397901</v>
      </c>
      <c r="M17" s="592">
        <v>0.84382585098595764</v>
      </c>
      <c r="N17" s="592">
        <v>0.98972962978676393</v>
      </c>
      <c r="O17" s="592">
        <v>0.98985279980970886</v>
      </c>
      <c r="P17" s="309">
        <v>1.0288520247739283</v>
      </c>
    </row>
    <row r="18" spans="1:16" ht="25.5" customHeight="1">
      <c r="A18" s="502" t="s">
        <v>26</v>
      </c>
      <c r="B18" s="591">
        <v>1.0177086107374247</v>
      </c>
      <c r="C18" s="592">
        <v>1.0417156293458276</v>
      </c>
      <c r="D18" s="592">
        <v>1.1341815770215544</v>
      </c>
      <c r="E18" s="592">
        <v>1.2255440183453883</v>
      </c>
      <c r="F18" s="592">
        <v>1.220737559457618</v>
      </c>
      <c r="G18" s="591">
        <v>0.96287394936297122</v>
      </c>
      <c r="H18" s="592">
        <v>0.99723328293507207</v>
      </c>
      <c r="I18" s="592">
        <v>1.0801726745936584</v>
      </c>
      <c r="J18" s="592">
        <v>1.2027410928535194</v>
      </c>
      <c r="K18" s="592">
        <v>1.2426905600742544</v>
      </c>
      <c r="L18" s="592" t="s">
        <v>806</v>
      </c>
      <c r="M18" s="592" t="s">
        <v>806</v>
      </c>
      <c r="N18" s="592" t="s">
        <v>806</v>
      </c>
      <c r="O18" s="592" t="s">
        <v>806</v>
      </c>
      <c r="P18" s="309" t="s">
        <v>806</v>
      </c>
    </row>
    <row r="19" spans="1:16" ht="25.5" customHeight="1">
      <c r="A19" s="502" t="s">
        <v>27</v>
      </c>
      <c r="B19" s="591">
        <v>1.1960850176257287</v>
      </c>
      <c r="C19" s="592">
        <v>1.2313616114092185</v>
      </c>
      <c r="D19" s="592">
        <v>1.2397080154077664</v>
      </c>
      <c r="E19" s="592">
        <v>1.2951030375550157</v>
      </c>
      <c r="F19" s="592">
        <v>1.2986510545211807</v>
      </c>
      <c r="G19" s="591">
        <v>1.115307817381878</v>
      </c>
      <c r="H19" s="592">
        <v>1.1752970167595524</v>
      </c>
      <c r="I19" s="592">
        <v>1.2096784441208537</v>
      </c>
      <c r="J19" s="592">
        <v>1.2997050929841154</v>
      </c>
      <c r="K19" s="592">
        <v>1.3371949701743653</v>
      </c>
      <c r="L19" s="591">
        <v>1.0634017411032102</v>
      </c>
      <c r="M19" s="592">
        <v>1.136527837070255</v>
      </c>
      <c r="N19" s="592">
        <v>1.1148823501895926</v>
      </c>
      <c r="O19" s="592">
        <v>1.224260366648221</v>
      </c>
      <c r="P19" s="309">
        <v>1.2358659464782649</v>
      </c>
    </row>
    <row r="20" spans="1:16" ht="25.5" customHeight="1">
      <c r="A20" s="502" t="s">
        <v>57</v>
      </c>
      <c r="B20" s="591">
        <v>1.1173501160251327</v>
      </c>
      <c r="C20" s="592">
        <v>1.171432182793819</v>
      </c>
      <c r="D20" s="592">
        <v>1.0993030377055169</v>
      </c>
      <c r="E20" s="592">
        <v>1.0873982135691993</v>
      </c>
      <c r="F20" s="592">
        <v>1.048072028729184</v>
      </c>
      <c r="G20" s="591">
        <v>1.3187466598388582</v>
      </c>
      <c r="H20" s="592">
        <v>1.3781492486667506</v>
      </c>
      <c r="I20" s="592">
        <v>1.2409498697559953</v>
      </c>
      <c r="J20" s="592">
        <v>1.2884675785791815</v>
      </c>
      <c r="K20" s="592">
        <v>1.3589546360285998</v>
      </c>
      <c r="L20" s="591">
        <v>0.86827378604696592</v>
      </c>
      <c r="M20" s="592">
        <v>0.91405228624754919</v>
      </c>
      <c r="N20" s="592">
        <v>0.96623677143878084</v>
      </c>
      <c r="O20" s="592">
        <v>0.95429279448812665</v>
      </c>
      <c r="P20" s="309">
        <v>0.8338779909289441</v>
      </c>
    </row>
    <row r="21" spans="1:16" ht="25.5" customHeight="1">
      <c r="A21" s="502" t="s">
        <v>29</v>
      </c>
      <c r="B21" s="591">
        <v>0.91864651984976609</v>
      </c>
      <c r="C21" s="592">
        <v>0.92646751866653432</v>
      </c>
      <c r="D21" s="592">
        <v>0.95565922396960501</v>
      </c>
      <c r="E21" s="592">
        <v>0.96107087413732706</v>
      </c>
      <c r="F21" s="592">
        <v>0.99560814297129219</v>
      </c>
      <c r="G21" s="591">
        <v>0.80817875825320207</v>
      </c>
      <c r="H21" s="592">
        <v>0.82785596895153768</v>
      </c>
      <c r="I21" s="592">
        <v>0.8264969153400693</v>
      </c>
      <c r="J21" s="592">
        <v>0.87074978570464523</v>
      </c>
      <c r="K21" s="592">
        <v>0.89038303090052318</v>
      </c>
      <c r="L21" s="591">
        <v>1.0548671448420857</v>
      </c>
      <c r="M21" s="592">
        <v>1.1355704883827382</v>
      </c>
      <c r="N21" s="592">
        <v>1.057722874278912</v>
      </c>
      <c r="O21" s="592">
        <v>1.0501891930269478</v>
      </c>
      <c r="P21" s="309">
        <v>1.1169914076357252</v>
      </c>
    </row>
    <row r="22" spans="1:16" ht="25.5" customHeight="1">
      <c r="A22" s="502" t="s">
        <v>30</v>
      </c>
      <c r="B22" s="591">
        <v>0.98608229178886198</v>
      </c>
      <c r="C22" s="592">
        <v>1.0071023012802323</v>
      </c>
      <c r="D22" s="592">
        <v>1.0458001441238385</v>
      </c>
      <c r="E22" s="592">
        <v>1.0435299993313654</v>
      </c>
      <c r="F22" s="592">
        <v>1.048643129978031</v>
      </c>
      <c r="G22" s="591">
        <v>0.9310100434293358</v>
      </c>
      <c r="H22" s="592">
        <v>0.96429308867505359</v>
      </c>
      <c r="I22" s="592">
        <v>0.9688453581428319</v>
      </c>
      <c r="J22" s="592">
        <v>0.98362853025852959</v>
      </c>
      <c r="K22" s="592">
        <v>0.99286616456250876</v>
      </c>
      <c r="L22" s="591">
        <v>0.89294291484738786</v>
      </c>
      <c r="M22" s="592">
        <v>0.9454831533482031</v>
      </c>
      <c r="N22" s="592">
        <v>0.97075477010775235</v>
      </c>
      <c r="O22" s="592">
        <v>0.9969044879867075</v>
      </c>
      <c r="P22" s="309">
        <v>1.0031288023552705</v>
      </c>
    </row>
    <row r="23" spans="1:16" ht="25.5" customHeight="1">
      <c r="A23" s="502" t="s">
        <v>31</v>
      </c>
      <c r="B23" s="591">
        <v>1.3150110687966432</v>
      </c>
      <c r="C23" s="592">
        <v>1.4137333425423801</v>
      </c>
      <c r="D23" s="592">
        <v>1.2608900057131096</v>
      </c>
      <c r="E23" s="592">
        <v>1.4014893189363975</v>
      </c>
      <c r="F23" s="592">
        <v>1.3599229414073033</v>
      </c>
      <c r="G23" s="591">
        <v>1.7324326749862229</v>
      </c>
      <c r="H23" s="592">
        <v>1.7764916771061476</v>
      </c>
      <c r="I23" s="592">
        <v>1.806694577004752</v>
      </c>
      <c r="J23" s="592">
        <v>1.8541516549457113</v>
      </c>
      <c r="K23" s="592">
        <v>1.8624734624926356</v>
      </c>
      <c r="L23" s="591">
        <v>1.4076267056852618</v>
      </c>
      <c r="M23" s="592">
        <v>1.3604043927557528</v>
      </c>
      <c r="N23" s="592">
        <v>1.4490749708541926</v>
      </c>
      <c r="O23" s="592">
        <v>1.4337668237689991</v>
      </c>
      <c r="P23" s="309">
        <v>1.4998499701293948</v>
      </c>
    </row>
    <row r="24" spans="1:16" ht="25.5" customHeight="1">
      <c r="A24" s="502" t="s">
        <v>761</v>
      </c>
      <c r="B24" s="591"/>
      <c r="C24" s="592"/>
      <c r="D24" s="592"/>
      <c r="E24" s="592"/>
      <c r="F24" s="592">
        <v>2.2546372138918418</v>
      </c>
      <c r="G24" s="591"/>
      <c r="H24" s="592"/>
      <c r="I24" s="592"/>
      <c r="J24" s="592"/>
      <c r="K24" s="592" t="s">
        <v>806</v>
      </c>
      <c r="L24" s="591"/>
      <c r="M24" s="592"/>
      <c r="N24" s="592"/>
      <c r="O24" s="592"/>
      <c r="P24" s="309">
        <v>2.4325701999565497</v>
      </c>
    </row>
    <row r="25" spans="1:16" ht="25.5" customHeight="1">
      <c r="A25" s="502" t="s">
        <v>32</v>
      </c>
      <c r="B25" s="591">
        <v>2.4763304347826089</v>
      </c>
      <c r="C25" s="592">
        <v>2.5986539210009205</v>
      </c>
      <c r="D25" s="592">
        <v>3.7908166668254717</v>
      </c>
      <c r="E25" s="592">
        <v>3.4041428900989366</v>
      </c>
      <c r="F25" s="592">
        <v>3.2443487161989242</v>
      </c>
      <c r="G25" s="592" t="s">
        <v>806</v>
      </c>
      <c r="H25" s="592" t="s">
        <v>806</v>
      </c>
      <c r="I25" s="592" t="s">
        <v>806</v>
      </c>
      <c r="J25" s="592" t="s">
        <v>806</v>
      </c>
      <c r="K25" s="592" t="s">
        <v>806</v>
      </c>
      <c r="L25" s="591">
        <v>2.1646104215918047</v>
      </c>
      <c r="M25" s="592">
        <v>2.4652071645332039</v>
      </c>
      <c r="N25" s="592">
        <v>3.0357746478873238</v>
      </c>
      <c r="O25" s="592">
        <v>3.6823753169907012</v>
      </c>
      <c r="P25" s="309">
        <v>3.4322475071145524</v>
      </c>
    </row>
    <row r="26" spans="1:16" ht="25.5" customHeight="1">
      <c r="A26" s="502" t="s">
        <v>33</v>
      </c>
      <c r="B26" s="591">
        <v>0.84807729215017025</v>
      </c>
      <c r="C26" s="592">
        <v>0.90967857072519309</v>
      </c>
      <c r="D26" s="592">
        <v>0.93877218675141727</v>
      </c>
      <c r="E26" s="592">
        <v>0.97381783588024851</v>
      </c>
      <c r="F26" s="592">
        <v>1.0023186198035481</v>
      </c>
      <c r="G26" s="591">
        <v>0.81349432665996679</v>
      </c>
      <c r="H26" s="592">
        <v>0.88370066284772919</v>
      </c>
      <c r="I26" s="592">
        <v>0.90570987383082957</v>
      </c>
      <c r="J26" s="592">
        <v>0.96800328384039824</v>
      </c>
      <c r="K26" s="592">
        <v>1.0252984273840937</v>
      </c>
      <c r="L26" s="591">
        <v>0.75787601020093298</v>
      </c>
      <c r="M26" s="592">
        <v>0.85868712392905988</v>
      </c>
      <c r="N26" s="592">
        <v>0.85895343843441119</v>
      </c>
      <c r="O26" s="592">
        <v>0.94291363799111982</v>
      </c>
      <c r="P26" s="309">
        <v>0.97825852486940257</v>
      </c>
    </row>
    <row r="27" spans="1:16" ht="25.5" customHeight="1">
      <c r="A27" s="502" t="s">
        <v>34</v>
      </c>
      <c r="B27" s="591">
        <v>0.86345183329787867</v>
      </c>
      <c r="C27" s="592">
        <v>0.88122593306360719</v>
      </c>
      <c r="D27" s="592">
        <v>0.90637392451158016</v>
      </c>
      <c r="E27" s="592">
        <v>0.90329648156311315</v>
      </c>
      <c r="F27" s="592">
        <v>0.92532921404642221</v>
      </c>
      <c r="G27" s="591">
        <v>0.84717134739491184</v>
      </c>
      <c r="H27" s="592">
        <v>0.87970349165881678</v>
      </c>
      <c r="I27" s="592">
        <v>0.91211872085008883</v>
      </c>
      <c r="J27" s="592">
        <v>0.95015146552103613</v>
      </c>
      <c r="K27" s="592">
        <v>1.0049978177445362</v>
      </c>
      <c r="L27" s="591">
        <v>0.62857649611250688</v>
      </c>
      <c r="M27" s="592">
        <v>0.65450943653798344</v>
      </c>
      <c r="N27" s="592">
        <v>0.70020208051316091</v>
      </c>
      <c r="O27" s="592">
        <v>0.74531398808496951</v>
      </c>
      <c r="P27" s="309">
        <v>0.77589218313136843</v>
      </c>
    </row>
    <row r="28" spans="1:16" ht="25.5" customHeight="1">
      <c r="A28" s="502" t="s">
        <v>35</v>
      </c>
      <c r="B28" s="591">
        <v>0.9374529471963049</v>
      </c>
      <c r="C28" s="592">
        <v>0.98445722731144314</v>
      </c>
      <c r="D28" s="592">
        <v>1.0282572798185829</v>
      </c>
      <c r="E28" s="592">
        <v>1.0051339720918488</v>
      </c>
      <c r="F28" s="592">
        <v>1.0302014305521872</v>
      </c>
      <c r="G28" s="591">
        <v>0.82698805418625021</v>
      </c>
      <c r="H28" s="592">
        <v>0.88834344408988741</v>
      </c>
      <c r="I28" s="592">
        <v>0.86852132965705275</v>
      </c>
      <c r="J28" s="592">
        <v>0.8927731773698534</v>
      </c>
      <c r="K28" s="592">
        <v>0.95926012513021752</v>
      </c>
      <c r="L28" s="591">
        <v>0.88466262422311082</v>
      </c>
      <c r="M28" s="592">
        <v>0.92052493885146158</v>
      </c>
      <c r="N28" s="592">
        <v>0.91329907384070219</v>
      </c>
      <c r="O28" s="592">
        <v>0.95259386449211425</v>
      </c>
      <c r="P28" s="309">
        <v>1.0400563992738892</v>
      </c>
    </row>
    <row r="29" spans="1:16" ht="25.5" customHeight="1">
      <c r="A29" s="502" t="s">
        <v>36</v>
      </c>
      <c r="B29" s="591">
        <v>1.0361069343987857</v>
      </c>
      <c r="C29" s="592">
        <v>1.0323551645094304</v>
      </c>
      <c r="D29" s="592">
        <v>1.0399801395944384</v>
      </c>
      <c r="E29" s="592">
        <v>1.1651251330458361</v>
      </c>
      <c r="F29" s="592">
        <v>1.1590914727190393</v>
      </c>
      <c r="G29" s="591">
        <v>0.80053032752231978</v>
      </c>
      <c r="H29" s="592">
        <v>0.8649211181092753</v>
      </c>
      <c r="I29" s="592">
        <v>0.74167192207974209</v>
      </c>
      <c r="J29" s="592">
        <v>2.6001975572932663</v>
      </c>
      <c r="K29" s="592">
        <v>0.82524658031814402</v>
      </c>
      <c r="L29" s="591">
        <v>1.1763819059577276</v>
      </c>
      <c r="M29" s="592">
        <v>1.2331469084070052</v>
      </c>
      <c r="N29" s="592">
        <v>1.1215396728368532</v>
      </c>
      <c r="O29" s="592">
        <v>1.2191645783166729</v>
      </c>
      <c r="P29" s="309">
        <v>1.2769085624432872</v>
      </c>
    </row>
    <row r="30" spans="1:16" ht="25.5" customHeight="1">
      <c r="A30" s="502" t="s">
        <v>37</v>
      </c>
      <c r="B30" s="591">
        <v>0.91387362528251537</v>
      </c>
      <c r="C30" s="592">
        <v>0.93644569827077417</v>
      </c>
      <c r="D30" s="592">
        <v>0.84827303772587248</v>
      </c>
      <c r="E30" s="592">
        <v>0.93578659693037636</v>
      </c>
      <c r="F30" s="592">
        <v>0.92431935778427821</v>
      </c>
      <c r="G30" s="591">
        <v>0.50220680958385877</v>
      </c>
      <c r="H30" s="592">
        <v>0.8139016393442623</v>
      </c>
      <c r="I30" s="592">
        <v>0.82307692307692315</v>
      </c>
      <c r="J30" s="592">
        <v>0.95128205128205134</v>
      </c>
      <c r="K30" s="592">
        <v>0.66774155751422126</v>
      </c>
      <c r="L30" s="591">
        <v>0.91913201603102623</v>
      </c>
      <c r="M30" s="592">
        <v>0.93332226568325949</v>
      </c>
      <c r="N30" s="592">
        <v>0.84772199423584216</v>
      </c>
      <c r="O30" s="592">
        <v>0.93233826805583009</v>
      </c>
      <c r="P30" s="309">
        <v>0.95246744416595641</v>
      </c>
    </row>
    <row r="31" spans="1:16" ht="25.5" customHeight="1">
      <c r="A31" s="502" t="s">
        <v>38</v>
      </c>
      <c r="B31" s="591">
        <v>1.1008315871992427</v>
      </c>
      <c r="C31" s="592">
        <v>1.055240175964208</v>
      </c>
      <c r="D31" s="592">
        <v>1.003660226435156</v>
      </c>
      <c r="E31" s="592">
        <v>1.1051099377476628</v>
      </c>
      <c r="F31" s="592">
        <v>1.2417185165173783</v>
      </c>
      <c r="G31" s="592" t="s">
        <v>806</v>
      </c>
      <c r="H31" s="592" t="s">
        <v>806</v>
      </c>
      <c r="I31" s="592" t="s">
        <v>806</v>
      </c>
      <c r="J31" s="592" t="s">
        <v>806</v>
      </c>
      <c r="K31" s="592" t="s">
        <v>806</v>
      </c>
      <c r="L31" s="591">
        <v>1.0963713458380187</v>
      </c>
      <c r="M31" s="592">
        <v>1.1118575397783803</v>
      </c>
      <c r="N31" s="592">
        <v>1.0723975423093961</v>
      </c>
      <c r="O31" s="592">
        <v>1.1454458046714209</v>
      </c>
      <c r="P31" s="309">
        <v>1.2156602547749475</v>
      </c>
    </row>
    <row r="32" spans="1:16" ht="25.5" customHeight="1">
      <c r="A32" s="502" t="s">
        <v>39</v>
      </c>
      <c r="B32" s="591">
        <v>0.83200067879859685</v>
      </c>
      <c r="C32" s="592">
        <v>0.82281386752306307</v>
      </c>
      <c r="D32" s="592">
        <v>0.84643824269064538</v>
      </c>
      <c r="E32" s="592">
        <v>0.82480144482724271</v>
      </c>
      <c r="F32" s="592">
        <v>0.88083344066121882</v>
      </c>
      <c r="G32" s="591">
        <v>0.78483909601358914</v>
      </c>
      <c r="H32" s="592">
        <v>0.73236943173632474</v>
      </c>
      <c r="I32" s="592">
        <v>0.72639797742445678</v>
      </c>
      <c r="J32" s="592">
        <v>0.76163041802404086</v>
      </c>
      <c r="K32" s="592">
        <v>0.80440930099127117</v>
      </c>
      <c r="L32" s="591">
        <v>0.76746385029074538</v>
      </c>
      <c r="M32" s="592">
        <v>0.74104995770366944</v>
      </c>
      <c r="N32" s="592">
        <v>0.7527230519407424</v>
      </c>
      <c r="O32" s="592">
        <v>0.78202145846991356</v>
      </c>
      <c r="P32" s="309">
        <v>0.85117891374725985</v>
      </c>
    </row>
    <row r="33" spans="1:16" ht="25.5" customHeight="1">
      <c r="A33" s="502" t="s">
        <v>40</v>
      </c>
      <c r="B33" s="591">
        <v>0.95411280966220702</v>
      </c>
      <c r="C33" s="592">
        <v>1.0630542860261623</v>
      </c>
      <c r="D33" s="592">
        <v>1.1212225499679238</v>
      </c>
      <c r="E33" s="592">
        <v>1.2380949098676506</v>
      </c>
      <c r="F33" s="592">
        <v>1.2822933420517912</v>
      </c>
      <c r="G33" s="591">
        <v>0.95555933755606837</v>
      </c>
      <c r="H33" s="592">
        <v>1.0667558096420542</v>
      </c>
      <c r="I33" s="592">
        <v>1.0926468988906268</v>
      </c>
      <c r="J33" s="592">
        <v>1.1662736455505092</v>
      </c>
      <c r="K33" s="592">
        <v>1.1486537209876329</v>
      </c>
      <c r="L33" s="592" t="s">
        <v>806</v>
      </c>
      <c r="M33" s="592" t="s">
        <v>806</v>
      </c>
      <c r="N33" s="592" t="s">
        <v>806</v>
      </c>
      <c r="O33" s="592" t="s">
        <v>806</v>
      </c>
      <c r="P33" s="309" t="s">
        <v>806</v>
      </c>
    </row>
    <row r="34" spans="1:16" ht="25.5" customHeight="1">
      <c r="A34" s="502" t="s">
        <v>41</v>
      </c>
      <c r="B34" s="591">
        <v>1.1045710751421445</v>
      </c>
      <c r="C34" s="592">
        <v>1.1349503964958654</v>
      </c>
      <c r="D34" s="592">
        <v>1.2164177872677169</v>
      </c>
      <c r="E34" s="592">
        <v>1.3481403235542264</v>
      </c>
      <c r="F34" s="592">
        <v>1.2799675924365257</v>
      </c>
      <c r="G34" s="591">
        <v>1.0394470326963476</v>
      </c>
      <c r="H34" s="592">
        <v>1.1218983558616846</v>
      </c>
      <c r="I34" s="592">
        <v>1.2232856422031166</v>
      </c>
      <c r="J34" s="592">
        <v>1.4195391888488809</v>
      </c>
      <c r="K34" s="592">
        <v>1.4172362049854479</v>
      </c>
      <c r="L34" s="592" t="s">
        <v>806</v>
      </c>
      <c r="M34" s="592" t="s">
        <v>806</v>
      </c>
      <c r="N34" s="592" t="s">
        <v>806</v>
      </c>
      <c r="O34" s="592" t="s">
        <v>806</v>
      </c>
      <c r="P34" s="309" t="s">
        <v>806</v>
      </c>
    </row>
    <row r="35" spans="1:16" ht="25.5" customHeight="1">
      <c r="A35" s="502" t="s">
        <v>42</v>
      </c>
      <c r="B35" s="591">
        <v>0.84811685425626915</v>
      </c>
      <c r="C35" s="592">
        <v>0.88994284795305201</v>
      </c>
      <c r="D35" s="592">
        <v>0.90574027351699471</v>
      </c>
      <c r="E35" s="592">
        <v>0.99793111450069327</v>
      </c>
      <c r="F35" s="592">
        <v>0.98370449380001046</v>
      </c>
      <c r="G35" s="591">
        <v>0.80447976058802129</v>
      </c>
      <c r="H35" s="592">
        <v>0.83554576428325777</v>
      </c>
      <c r="I35" s="592">
        <v>0.88725362728757873</v>
      </c>
      <c r="J35" s="592">
        <v>0.93288702239109222</v>
      </c>
      <c r="K35" s="592">
        <v>0.99639346633363879</v>
      </c>
      <c r="L35" s="591">
        <v>0.80058054661550482</v>
      </c>
      <c r="M35" s="592">
        <v>0.82833674036305238</v>
      </c>
      <c r="N35" s="592">
        <v>0.86700117428891521</v>
      </c>
      <c r="O35" s="592">
        <v>0.92062028574261534</v>
      </c>
      <c r="P35" s="309">
        <v>1.0033805092908072</v>
      </c>
    </row>
    <row r="36" spans="1:16" ht="25.5" customHeight="1">
      <c r="A36" s="502" t="s">
        <v>43</v>
      </c>
      <c r="B36" s="591">
        <v>1.047371638738624</v>
      </c>
      <c r="C36" s="592">
        <v>1.2027385107483661</v>
      </c>
      <c r="D36" s="592">
        <v>1.2115715667752474</v>
      </c>
      <c r="E36" s="592">
        <v>0.9978584401249968</v>
      </c>
      <c r="F36" s="592">
        <v>0.80816242261369198</v>
      </c>
      <c r="G36" s="591">
        <v>0.62052864503094207</v>
      </c>
      <c r="H36" s="592">
        <v>0.89942264474990408</v>
      </c>
      <c r="I36" s="592">
        <v>0.72549325395443487</v>
      </c>
      <c r="J36" s="592">
        <v>0.80198264370475847</v>
      </c>
      <c r="K36" s="592">
        <v>0.85983506478342875</v>
      </c>
      <c r="L36" s="591">
        <v>1.4420164508870938</v>
      </c>
      <c r="M36" s="592">
        <v>1.5286812087854458</v>
      </c>
      <c r="N36" s="592">
        <v>1.3165655846143181</v>
      </c>
      <c r="O36" s="592">
        <v>1.5119019368969151</v>
      </c>
      <c r="P36" s="309">
        <v>1.4933977143200936</v>
      </c>
    </row>
    <row r="37" spans="1:16" ht="25.5" customHeight="1">
      <c r="A37" s="502" t="s">
        <v>44</v>
      </c>
      <c r="B37" s="591">
        <v>0.91564495883742425</v>
      </c>
      <c r="C37" s="592">
        <v>0.94512101871554177</v>
      </c>
      <c r="D37" s="592">
        <v>0.98189409308881836</v>
      </c>
      <c r="E37" s="592">
        <v>0.97015495082843206</v>
      </c>
      <c r="F37" s="592">
        <v>0.98520120455447113</v>
      </c>
      <c r="G37" s="591">
        <v>0.98848308923674488</v>
      </c>
      <c r="H37" s="592">
        <v>0.98478113699528302</v>
      </c>
      <c r="I37" s="592">
        <v>1.0169079864536859</v>
      </c>
      <c r="J37" s="592">
        <v>1.0051522535969366</v>
      </c>
      <c r="K37" s="592">
        <v>1.0412012524261745</v>
      </c>
      <c r="L37" s="591">
        <v>0.75048788494965135</v>
      </c>
      <c r="M37" s="592">
        <v>0.61843988586346887</v>
      </c>
      <c r="N37" s="592">
        <v>0.77821007948529608</v>
      </c>
      <c r="O37" s="592">
        <v>0.75145387396080499</v>
      </c>
      <c r="P37" s="309">
        <v>0.8622989741764242</v>
      </c>
    </row>
    <row r="38" spans="1:16" ht="25.5" customHeight="1">
      <c r="A38" s="502" t="s">
        <v>134</v>
      </c>
      <c r="B38" s="591">
        <v>0.85026297206723755</v>
      </c>
      <c r="C38" s="592">
        <v>0.88418754732542792</v>
      </c>
      <c r="D38" s="592">
        <v>0.92064813638782728</v>
      </c>
      <c r="E38" s="592">
        <v>1.01986037138173</v>
      </c>
      <c r="F38" s="592">
        <v>1.0468508441127653</v>
      </c>
      <c r="G38" s="591">
        <v>0.89614443622984352</v>
      </c>
      <c r="H38" s="592">
        <v>0.95280934454466049</v>
      </c>
      <c r="I38" s="592">
        <v>1.0600741293275633</v>
      </c>
      <c r="J38" s="592">
        <v>1.178105838350854</v>
      </c>
      <c r="K38" s="592">
        <v>1.2286158574785562</v>
      </c>
      <c r="L38" s="591">
        <v>0.73202106853609639</v>
      </c>
      <c r="M38" s="592">
        <v>0.76111431273249752</v>
      </c>
      <c r="N38" s="592">
        <v>0.82450832409571329</v>
      </c>
      <c r="O38" s="592">
        <v>0.88023798627279159</v>
      </c>
      <c r="P38" s="309">
        <v>0.93126851543876454</v>
      </c>
    </row>
    <row r="39" spans="1:16" ht="25.5" customHeight="1">
      <c r="A39" s="502" t="s">
        <v>45</v>
      </c>
      <c r="B39" s="591">
        <v>0.70287937633202457</v>
      </c>
      <c r="C39" s="592">
        <v>0.78275519927530235</v>
      </c>
      <c r="D39" s="592">
        <v>0.79107572853974784</v>
      </c>
      <c r="E39" s="592">
        <v>0.82500405086606621</v>
      </c>
      <c r="F39" s="592">
        <v>0.79935724185383672</v>
      </c>
      <c r="G39" s="591">
        <v>0.62800280355451643</v>
      </c>
      <c r="H39" s="592">
        <v>0.74640169373484377</v>
      </c>
      <c r="I39" s="592">
        <v>0.80106354763310594</v>
      </c>
      <c r="J39" s="592">
        <v>0.80918856680124918</v>
      </c>
      <c r="K39" s="592">
        <v>0.7560727806826919</v>
      </c>
      <c r="L39" s="591">
        <v>0.70323518790894679</v>
      </c>
      <c r="M39" s="592">
        <v>0.80734912942081771</v>
      </c>
      <c r="N39" s="592">
        <v>0.71519990517165277</v>
      </c>
      <c r="O39" s="592">
        <v>0.7735568470423706</v>
      </c>
      <c r="P39" s="309">
        <v>0.69074928776121258</v>
      </c>
    </row>
    <row r="40" spans="1:16" ht="25.5" customHeight="1">
      <c r="A40" s="502" t="s">
        <v>47</v>
      </c>
      <c r="B40" s="591">
        <v>1.028992878124984</v>
      </c>
      <c r="C40" s="592">
        <v>1.0259486304000436</v>
      </c>
      <c r="D40" s="592">
        <v>1.0600424551440195</v>
      </c>
      <c r="E40" s="592">
        <v>1.1353695269778115</v>
      </c>
      <c r="F40" s="592">
        <v>1.134064821043739</v>
      </c>
      <c r="G40" s="591">
        <v>1.0215652029961328</v>
      </c>
      <c r="H40" s="592">
        <v>1.0200767280908654</v>
      </c>
      <c r="I40" s="592">
        <v>1.0626577501581134</v>
      </c>
      <c r="J40" s="592">
        <v>1.2022513736263658</v>
      </c>
      <c r="K40" s="592">
        <v>1.2175082271754367</v>
      </c>
      <c r="L40" s="591">
        <v>0.82621008953680242</v>
      </c>
      <c r="M40" s="592">
        <v>0.7559280853694661</v>
      </c>
      <c r="N40" s="592">
        <v>0.86435430986263562</v>
      </c>
      <c r="O40" s="592">
        <v>0.96688585821560558</v>
      </c>
      <c r="P40" s="309">
        <v>1.0476372677551593</v>
      </c>
    </row>
    <row r="41" spans="1:16" ht="25.5" customHeight="1">
      <c r="A41" s="502" t="s">
        <v>46</v>
      </c>
      <c r="B41" s="591">
        <v>0.97920739124401723</v>
      </c>
      <c r="C41" s="592">
        <v>0.97590612894397455</v>
      </c>
      <c r="D41" s="592">
        <v>0.99858121639416852</v>
      </c>
      <c r="E41" s="592">
        <v>0.99595342082125804</v>
      </c>
      <c r="F41" s="592">
        <v>1.0394920242535368</v>
      </c>
      <c r="G41" s="591">
        <v>0.97374251873369788</v>
      </c>
      <c r="H41" s="592">
        <v>0.98167212330299369</v>
      </c>
      <c r="I41" s="592">
        <v>1.0107714472371734</v>
      </c>
      <c r="J41" s="592">
        <v>1.0459953103822777</v>
      </c>
      <c r="K41" s="592">
        <v>1.0973983980297501</v>
      </c>
      <c r="L41" s="591">
        <v>0.91292785711620028</v>
      </c>
      <c r="M41" s="592">
        <v>1.0132378817723331</v>
      </c>
      <c r="N41" s="592">
        <v>1.0102491204890451</v>
      </c>
      <c r="O41" s="592">
        <v>1.0190306040297885</v>
      </c>
      <c r="P41" s="309">
        <v>1.0078996542380194</v>
      </c>
    </row>
    <row r="42" spans="1:16" ht="25.5" customHeight="1">
      <c r="A42" s="502" t="s">
        <v>48</v>
      </c>
      <c r="B42" s="591">
        <v>0.84651756435408299</v>
      </c>
      <c r="C42" s="592">
        <v>0.87056030918833549</v>
      </c>
      <c r="D42" s="592">
        <v>0.88310075397420962</v>
      </c>
      <c r="E42" s="592">
        <v>0.9386454385594365</v>
      </c>
      <c r="F42" s="592">
        <v>0.96266496452393557</v>
      </c>
      <c r="G42" s="591">
        <v>0.80691446610073247</v>
      </c>
      <c r="H42" s="592">
        <v>0.82387314894056507</v>
      </c>
      <c r="I42" s="592">
        <v>0.8700707250937163</v>
      </c>
      <c r="J42" s="592">
        <v>0.92704944240935516</v>
      </c>
      <c r="K42" s="592">
        <v>0.98527280620018753</v>
      </c>
      <c r="L42" s="591">
        <v>0.78591589051549737</v>
      </c>
      <c r="M42" s="592">
        <v>0.77223205760902069</v>
      </c>
      <c r="N42" s="592">
        <v>0.8109165505169067</v>
      </c>
      <c r="O42" s="592">
        <v>0.87273122861210628</v>
      </c>
      <c r="P42" s="309">
        <v>0.92966528905857126</v>
      </c>
    </row>
  </sheetData>
  <mergeCells count="4">
    <mergeCell ref="A2:A3"/>
    <mergeCell ref="B2:F2"/>
    <mergeCell ref="G2:K2"/>
    <mergeCell ref="L2:P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3" firstPageNumber="2" pageOrder="overThenDown" orientation="portrait" useFirstPageNumber="1" r:id="rId1"/>
  <headerFooter alignWithMargins="0">
    <oddFooter>&amp;L     AISHE 2019-20&amp;CT-48</oddFooter>
  </headerFooter>
  <colBreaks count="2" manualBreakCount="2">
    <brk id="6" max="41" man="1"/>
    <brk id="11" max="41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7030A0"/>
  </sheetPr>
  <dimension ref="A1:G228"/>
  <sheetViews>
    <sheetView view="pageBreakPreview" topLeftCell="A208" zoomScaleSheetLayoutView="100" workbookViewId="0">
      <selection activeCell="A20" sqref="A20"/>
    </sheetView>
  </sheetViews>
  <sheetFormatPr defaultColWidth="9.140625" defaultRowHeight="12.75"/>
  <cols>
    <col min="1" max="1" width="21.28515625" style="598" customWidth="1"/>
    <col min="2" max="7" width="14.42578125" style="598" customWidth="1"/>
    <col min="8" max="8" width="31.140625" style="598" customWidth="1"/>
    <col min="9" max="9" width="12.7109375" style="598" customWidth="1"/>
    <col min="10" max="10" width="34" style="598" customWidth="1"/>
    <col min="11" max="16384" width="9.140625" style="598"/>
  </cols>
  <sheetData>
    <row r="1" spans="1:7" s="597" customFormat="1" ht="22.9" customHeight="1">
      <c r="A1" s="593" t="s">
        <v>844</v>
      </c>
      <c r="B1" s="594" t="s">
        <v>885</v>
      </c>
      <c r="C1" s="595"/>
      <c r="D1" s="595"/>
      <c r="E1" s="595"/>
      <c r="F1" s="596"/>
      <c r="G1" s="596"/>
    </row>
    <row r="2" spans="1:7" ht="28.5" customHeight="1">
      <c r="A2" s="998" t="s">
        <v>713</v>
      </c>
      <c r="B2" s="999" t="s">
        <v>715</v>
      </c>
      <c r="C2" s="1000"/>
      <c r="D2" s="999" t="s">
        <v>716</v>
      </c>
      <c r="E2" s="1000"/>
      <c r="F2" s="999" t="s">
        <v>717</v>
      </c>
      <c r="G2" s="1000"/>
    </row>
    <row r="3" spans="1:7" s="600" customFormat="1" ht="27" customHeight="1">
      <c r="A3" s="998"/>
      <c r="B3" s="599" t="s">
        <v>718</v>
      </c>
      <c r="C3" s="599" t="s">
        <v>719</v>
      </c>
      <c r="D3" s="599" t="s">
        <v>718</v>
      </c>
      <c r="E3" s="599" t="s">
        <v>719</v>
      </c>
      <c r="F3" s="599" t="s">
        <v>718</v>
      </c>
      <c r="G3" s="599" t="s">
        <v>719</v>
      </c>
    </row>
    <row r="4" spans="1:7" s="600" customFormat="1">
      <c r="A4" s="661">
        <v>1</v>
      </c>
      <c r="B4" s="662">
        <v>2</v>
      </c>
      <c r="C4" s="661">
        <v>3</v>
      </c>
      <c r="D4" s="662">
        <v>4</v>
      </c>
      <c r="E4" s="661">
        <v>5</v>
      </c>
      <c r="F4" s="662">
        <v>6</v>
      </c>
      <c r="G4" s="661">
        <v>7</v>
      </c>
    </row>
    <row r="5" spans="1:7" ht="15" customHeight="1">
      <c r="A5" s="601" t="s">
        <v>833</v>
      </c>
      <c r="B5" s="602"/>
      <c r="C5" s="602"/>
      <c r="D5" s="602"/>
      <c r="E5" s="602"/>
      <c r="F5" s="602"/>
      <c r="G5" s="603"/>
    </row>
    <row r="6" spans="1:7" ht="15" customHeight="1">
      <c r="A6" s="604" t="s">
        <v>832</v>
      </c>
      <c r="B6" s="355">
        <v>25.6369658239065</v>
      </c>
      <c r="C6" s="355">
        <v>22.785018321451666</v>
      </c>
      <c r="D6" s="355">
        <v>32</v>
      </c>
      <c r="E6" s="355">
        <v>28</v>
      </c>
      <c r="F6" s="356">
        <v>38</v>
      </c>
      <c r="G6" s="355">
        <v>18</v>
      </c>
    </row>
    <row r="7" spans="1:7" ht="15" customHeight="1">
      <c r="A7" s="604" t="s">
        <v>831</v>
      </c>
      <c r="B7" s="605">
        <v>26.406421242971998</v>
      </c>
      <c r="C7" s="605">
        <v>23.599454634932314</v>
      </c>
      <c r="D7" s="605">
        <v>33</v>
      </c>
      <c r="E7" s="605">
        <v>29</v>
      </c>
      <c r="F7" s="605">
        <v>39</v>
      </c>
      <c r="G7" s="605">
        <v>18</v>
      </c>
    </row>
    <row r="8" spans="1:7" ht="15" customHeight="1">
      <c r="A8" s="604" t="s">
        <v>830</v>
      </c>
      <c r="B8" s="605">
        <v>28.520906774609401</v>
      </c>
      <c r="C8" s="605">
        <v>25.382881236666371</v>
      </c>
      <c r="D8" s="605">
        <v>34</v>
      </c>
      <c r="E8" s="605">
        <v>30</v>
      </c>
      <c r="F8" s="605">
        <v>46</v>
      </c>
      <c r="G8" s="605">
        <v>20</v>
      </c>
    </row>
    <row r="9" spans="1:7" ht="15" customHeight="1">
      <c r="A9" s="604" t="s">
        <v>829</v>
      </c>
      <c r="B9" s="605">
        <v>26.143118321611144</v>
      </c>
      <c r="C9" s="605">
        <v>23.148666042850053</v>
      </c>
      <c r="D9" s="605">
        <v>27.839233536561014</v>
      </c>
      <c r="E9" s="605">
        <v>25</v>
      </c>
      <c r="F9" s="605">
        <v>26</v>
      </c>
      <c r="G9" s="605">
        <v>19.196706517843428</v>
      </c>
    </row>
    <row r="10" spans="1:7" ht="15" customHeight="1">
      <c r="A10" s="604" t="s">
        <v>828</v>
      </c>
      <c r="B10" s="606">
        <v>23</v>
      </c>
      <c r="C10" s="606">
        <v>20</v>
      </c>
      <c r="D10" s="606">
        <v>24</v>
      </c>
      <c r="E10" s="606">
        <v>21</v>
      </c>
      <c r="F10" s="606">
        <v>37</v>
      </c>
      <c r="G10" s="606">
        <v>16</v>
      </c>
    </row>
    <row r="11" spans="1:7" ht="15" customHeight="1">
      <c r="A11" s="601" t="s">
        <v>154</v>
      </c>
      <c r="B11" s="602"/>
      <c r="C11" s="602"/>
      <c r="D11" s="602"/>
      <c r="E11" s="602"/>
      <c r="F11" s="602"/>
      <c r="G11" s="603"/>
    </row>
    <row r="12" spans="1:7" ht="15" customHeight="1">
      <c r="A12" s="604" t="s">
        <v>832</v>
      </c>
      <c r="B12" s="355">
        <v>21.881209503239742</v>
      </c>
      <c r="C12" s="355">
        <v>13.025917926565874</v>
      </c>
      <c r="D12" s="355">
        <v>22</v>
      </c>
      <c r="E12" s="355">
        <v>13</v>
      </c>
      <c r="F12" s="356" t="s">
        <v>806</v>
      </c>
      <c r="G12" s="355" t="s">
        <v>806</v>
      </c>
    </row>
    <row r="13" spans="1:7" ht="15" customHeight="1">
      <c r="A13" s="604" t="s">
        <v>831</v>
      </c>
      <c r="B13" s="605">
        <v>25.188183807439824</v>
      </c>
      <c r="C13" s="605">
        <v>16.312910284463896</v>
      </c>
      <c r="D13" s="605">
        <v>26</v>
      </c>
      <c r="E13" s="605">
        <v>17</v>
      </c>
      <c r="F13" s="605">
        <v>467</v>
      </c>
      <c r="G13" s="605">
        <v>16</v>
      </c>
    </row>
    <row r="14" spans="1:7" ht="15" customHeight="1">
      <c r="A14" s="607" t="s">
        <v>830</v>
      </c>
      <c r="B14" s="605">
        <v>28.961748633879782</v>
      </c>
      <c r="C14" s="605">
        <v>18.084699453551913</v>
      </c>
      <c r="D14" s="605">
        <v>30</v>
      </c>
      <c r="E14" s="605">
        <v>19</v>
      </c>
      <c r="F14" s="605">
        <v>456</v>
      </c>
      <c r="G14" s="605">
        <v>14</v>
      </c>
    </row>
    <row r="15" spans="1:7" ht="15" customHeight="1">
      <c r="A15" s="604" t="s">
        <v>829</v>
      </c>
      <c r="B15" s="605">
        <v>31.932352941176472</v>
      </c>
      <c r="C15" s="605">
        <v>19.05</v>
      </c>
      <c r="D15" s="605">
        <v>34.79807692307692</v>
      </c>
      <c r="E15" s="605">
        <v>20.275641025641026</v>
      </c>
      <c r="F15" s="605">
        <v>438</v>
      </c>
      <c r="G15" s="605">
        <v>15.1</v>
      </c>
    </row>
    <row r="16" spans="1:7" ht="15" customHeight="1">
      <c r="A16" s="604" t="s">
        <v>828</v>
      </c>
      <c r="B16" s="606">
        <v>34</v>
      </c>
      <c r="C16" s="606">
        <v>20</v>
      </c>
      <c r="D16" s="606">
        <v>34</v>
      </c>
      <c r="E16" s="606">
        <v>20</v>
      </c>
      <c r="F16" s="606">
        <v>481</v>
      </c>
      <c r="G16" s="606">
        <v>13</v>
      </c>
    </row>
    <row r="17" spans="1:7" ht="15" customHeight="1">
      <c r="A17" s="601" t="s">
        <v>15</v>
      </c>
      <c r="B17" s="602"/>
      <c r="C17" s="602"/>
      <c r="D17" s="602"/>
      <c r="E17" s="602"/>
      <c r="F17" s="602"/>
      <c r="G17" s="603"/>
    </row>
    <row r="18" spans="1:7" ht="15" customHeight="1">
      <c r="A18" s="604" t="s">
        <v>832</v>
      </c>
      <c r="B18" s="355">
        <v>19.021516588628092</v>
      </c>
      <c r="C18" s="355">
        <v>16.368138203475141</v>
      </c>
      <c r="D18" s="355">
        <v>22</v>
      </c>
      <c r="E18" s="355">
        <v>19</v>
      </c>
      <c r="F18" s="356">
        <v>46</v>
      </c>
      <c r="G18" s="355">
        <v>16</v>
      </c>
    </row>
    <row r="19" spans="1:7" ht="15" customHeight="1">
      <c r="A19" s="604" t="s">
        <v>831</v>
      </c>
      <c r="B19" s="605">
        <v>17.714943962655184</v>
      </c>
      <c r="C19" s="605">
        <v>15.857270770035614</v>
      </c>
      <c r="D19" s="605">
        <v>20</v>
      </c>
      <c r="E19" s="605">
        <v>18</v>
      </c>
      <c r="F19" s="605">
        <v>39</v>
      </c>
      <c r="G19" s="605">
        <v>16</v>
      </c>
    </row>
    <row r="20" spans="1:7" ht="15" customHeight="1">
      <c r="A20" s="607" t="s">
        <v>830</v>
      </c>
      <c r="B20" s="605">
        <v>18.808740839540917</v>
      </c>
      <c r="C20" s="605">
        <v>17.570606551705282</v>
      </c>
      <c r="D20" s="605">
        <v>20</v>
      </c>
      <c r="E20" s="605">
        <v>19</v>
      </c>
      <c r="F20" s="605">
        <v>47</v>
      </c>
      <c r="G20" s="605">
        <v>27</v>
      </c>
    </row>
    <row r="21" spans="1:7" ht="15" customHeight="1">
      <c r="A21" s="604" t="s">
        <v>829</v>
      </c>
      <c r="B21" s="608">
        <v>18.030210118135088</v>
      </c>
      <c r="C21" s="608">
        <v>14.975180609412732</v>
      </c>
      <c r="D21" s="608">
        <v>18.578606503282963</v>
      </c>
      <c r="E21" s="608">
        <v>13.959027303945145</v>
      </c>
      <c r="F21" s="608">
        <v>47.410200590887889</v>
      </c>
      <c r="G21" s="608">
        <v>16.809205411289067</v>
      </c>
    </row>
    <row r="22" spans="1:7" ht="15" customHeight="1">
      <c r="A22" s="604" t="s">
        <v>828</v>
      </c>
      <c r="B22" s="606">
        <v>16</v>
      </c>
      <c r="C22" s="606">
        <v>13</v>
      </c>
      <c r="D22" s="606">
        <v>16</v>
      </c>
      <c r="E22" s="606">
        <v>13</v>
      </c>
      <c r="F22" s="606">
        <v>65</v>
      </c>
      <c r="G22" s="606">
        <v>15</v>
      </c>
    </row>
    <row r="23" spans="1:7" ht="15" customHeight="1">
      <c r="A23" s="601" t="s">
        <v>16</v>
      </c>
      <c r="B23" s="602"/>
      <c r="C23" s="602"/>
      <c r="D23" s="602"/>
      <c r="E23" s="602"/>
      <c r="F23" s="602"/>
      <c r="G23" s="603"/>
    </row>
    <row r="24" spans="1:7" ht="15" customHeight="1">
      <c r="A24" s="604" t="s">
        <v>832</v>
      </c>
      <c r="B24" s="355">
        <v>27.852295409181636</v>
      </c>
      <c r="C24" s="355">
        <v>19.83882235528942</v>
      </c>
      <c r="D24" s="355">
        <v>63</v>
      </c>
      <c r="E24" s="355">
        <v>45</v>
      </c>
      <c r="F24" s="356">
        <v>33</v>
      </c>
      <c r="G24" s="355">
        <v>18</v>
      </c>
    </row>
    <row r="25" spans="1:7" ht="15" customHeight="1">
      <c r="A25" s="604" t="s">
        <v>831</v>
      </c>
      <c r="B25" s="605">
        <v>31.361702127659573</v>
      </c>
      <c r="C25" s="605">
        <v>22.472074468085108</v>
      </c>
      <c r="D25" s="605">
        <v>63</v>
      </c>
      <c r="E25" s="605">
        <v>45</v>
      </c>
      <c r="F25" s="605">
        <v>36</v>
      </c>
      <c r="G25" s="605">
        <v>17</v>
      </c>
    </row>
    <row r="26" spans="1:7" ht="15" customHeight="1">
      <c r="A26" s="607" t="s">
        <v>830</v>
      </c>
      <c r="B26" s="605">
        <v>42.644986389776882</v>
      </c>
      <c r="C26" s="605">
        <v>29.388921699749929</v>
      </c>
      <c r="D26" s="605">
        <v>88</v>
      </c>
      <c r="E26" s="605">
        <v>60</v>
      </c>
      <c r="F26" s="605">
        <v>45</v>
      </c>
      <c r="G26" s="605">
        <v>17</v>
      </c>
    </row>
    <row r="27" spans="1:7" ht="15" customHeight="1">
      <c r="A27" s="604" t="s">
        <v>829</v>
      </c>
      <c r="B27" s="608">
        <v>41.097969991173876</v>
      </c>
      <c r="C27" s="608">
        <v>26.719329214474847</v>
      </c>
      <c r="D27" s="608">
        <v>43.643939393939391</v>
      </c>
      <c r="E27" s="608">
        <v>20.414772727272727</v>
      </c>
      <c r="F27" s="608">
        <v>27.288107202680067</v>
      </c>
      <c r="G27" s="608">
        <v>13.800670016750418</v>
      </c>
    </row>
    <row r="28" spans="1:7" ht="15" customHeight="1">
      <c r="A28" s="604" t="s">
        <v>828</v>
      </c>
      <c r="B28" s="606">
        <v>43</v>
      </c>
      <c r="C28" s="606">
        <v>31</v>
      </c>
      <c r="D28" s="606">
        <v>46</v>
      </c>
      <c r="E28" s="606">
        <v>33</v>
      </c>
      <c r="F28" s="606">
        <v>38</v>
      </c>
      <c r="G28" s="606">
        <v>13</v>
      </c>
    </row>
    <row r="29" spans="1:7" ht="15" customHeight="1">
      <c r="A29" s="601" t="s">
        <v>17</v>
      </c>
      <c r="B29" s="602"/>
      <c r="C29" s="602"/>
      <c r="D29" s="602"/>
      <c r="E29" s="602"/>
      <c r="F29" s="602"/>
      <c r="G29" s="603"/>
    </row>
    <row r="30" spans="1:7" ht="15" customHeight="1">
      <c r="A30" s="604" t="s">
        <v>832</v>
      </c>
      <c r="B30" s="355">
        <v>28.188951473136914</v>
      </c>
      <c r="C30" s="355">
        <v>24.427772963604852</v>
      </c>
      <c r="D30" s="355">
        <v>35</v>
      </c>
      <c r="E30" s="355">
        <v>30</v>
      </c>
      <c r="F30" s="356">
        <v>38</v>
      </c>
      <c r="G30" s="355">
        <v>15</v>
      </c>
    </row>
    <row r="31" spans="1:7" ht="15" customHeight="1">
      <c r="A31" s="604" t="s">
        <v>831</v>
      </c>
      <c r="B31" s="605">
        <v>30.643047835791499</v>
      </c>
      <c r="C31" s="605">
        <v>26.254103024202372</v>
      </c>
      <c r="D31" s="605">
        <v>37</v>
      </c>
      <c r="E31" s="605">
        <v>31</v>
      </c>
      <c r="F31" s="605">
        <v>41</v>
      </c>
      <c r="G31" s="605">
        <v>11</v>
      </c>
    </row>
    <row r="32" spans="1:7" ht="15" customHeight="1">
      <c r="A32" s="607" t="s">
        <v>830</v>
      </c>
      <c r="B32" s="605">
        <v>34.384809987503573</v>
      </c>
      <c r="C32" s="605">
        <v>28.858907716619548</v>
      </c>
      <c r="D32" s="605">
        <v>41</v>
      </c>
      <c r="E32" s="605">
        <v>35</v>
      </c>
      <c r="F32" s="605">
        <v>48</v>
      </c>
      <c r="G32" s="605">
        <v>12</v>
      </c>
    </row>
    <row r="33" spans="1:7" ht="15" customHeight="1">
      <c r="A33" s="604" t="s">
        <v>829</v>
      </c>
      <c r="B33" s="608">
        <v>30.217093775071973</v>
      </c>
      <c r="C33" s="608">
        <v>25.761102458822975</v>
      </c>
      <c r="D33" s="608">
        <v>30.943616236162363</v>
      </c>
      <c r="E33" s="608">
        <v>24.406838868388682</v>
      </c>
      <c r="F33" s="608">
        <v>33.73644251626898</v>
      </c>
      <c r="G33" s="608">
        <v>14.296818510484455</v>
      </c>
    </row>
    <row r="34" spans="1:7" ht="15" customHeight="1">
      <c r="A34" s="604" t="s">
        <v>828</v>
      </c>
      <c r="B34" s="606">
        <v>25</v>
      </c>
      <c r="C34" s="606">
        <v>22</v>
      </c>
      <c r="D34" s="606">
        <v>26</v>
      </c>
      <c r="E34" s="606">
        <v>22</v>
      </c>
      <c r="F34" s="606">
        <v>35</v>
      </c>
      <c r="G34" s="606">
        <v>11</v>
      </c>
    </row>
    <row r="35" spans="1:7" ht="15" customHeight="1">
      <c r="A35" s="601" t="s">
        <v>18</v>
      </c>
      <c r="B35" s="602"/>
      <c r="C35" s="602"/>
      <c r="D35" s="602"/>
      <c r="E35" s="602"/>
      <c r="F35" s="602"/>
      <c r="G35" s="603"/>
    </row>
    <row r="36" spans="1:7" ht="15" customHeight="1">
      <c r="A36" s="604" t="s">
        <v>832</v>
      </c>
      <c r="B36" s="355">
        <v>58.736763861202149</v>
      </c>
      <c r="C36" s="355">
        <v>54.179376288137313</v>
      </c>
      <c r="D36" s="355">
        <v>70</v>
      </c>
      <c r="E36" s="355">
        <v>65</v>
      </c>
      <c r="F36" s="356">
        <v>71</v>
      </c>
      <c r="G36" s="355">
        <v>27</v>
      </c>
    </row>
    <row r="37" spans="1:7" ht="15" customHeight="1">
      <c r="A37" s="604" t="s">
        <v>831</v>
      </c>
      <c r="B37" s="605">
        <v>60.756446124763706</v>
      </c>
      <c r="C37" s="605">
        <v>56.471909262759922</v>
      </c>
      <c r="D37" s="605">
        <v>71</v>
      </c>
      <c r="E37" s="605">
        <v>66</v>
      </c>
      <c r="F37" s="605">
        <v>96</v>
      </c>
      <c r="G37" s="605">
        <v>43</v>
      </c>
    </row>
    <row r="38" spans="1:7" ht="15" customHeight="1">
      <c r="A38" s="607" t="s">
        <v>830</v>
      </c>
      <c r="B38" s="605">
        <v>66.866584256765705</v>
      </c>
      <c r="C38" s="605">
        <v>61.439936426647833</v>
      </c>
      <c r="D38" s="605">
        <v>77</v>
      </c>
      <c r="E38" s="605">
        <v>70</v>
      </c>
      <c r="F38" s="605">
        <v>106</v>
      </c>
      <c r="G38" s="605">
        <v>32</v>
      </c>
    </row>
    <row r="39" spans="1:7" ht="15" customHeight="1">
      <c r="A39" s="607" t="s">
        <v>829</v>
      </c>
      <c r="B39" s="608">
        <v>70.258229793774817</v>
      </c>
      <c r="C39" s="608">
        <v>64.50006404508774</v>
      </c>
      <c r="D39" s="608">
        <v>72.868378290542736</v>
      </c>
      <c r="E39" s="608">
        <v>63.229537118714887</v>
      </c>
      <c r="F39" s="608">
        <v>75.769982748706155</v>
      </c>
      <c r="G39" s="608">
        <v>43.615296147211041</v>
      </c>
    </row>
    <row r="40" spans="1:7" ht="15" customHeight="1">
      <c r="A40" s="604" t="s">
        <v>828</v>
      </c>
      <c r="B40" s="606">
        <v>54</v>
      </c>
      <c r="C40" s="606">
        <v>50</v>
      </c>
      <c r="D40" s="606">
        <v>55</v>
      </c>
      <c r="E40" s="606">
        <v>52</v>
      </c>
      <c r="F40" s="606">
        <v>37</v>
      </c>
      <c r="G40" s="606">
        <v>15</v>
      </c>
    </row>
    <row r="41" spans="1:7" ht="15" customHeight="1">
      <c r="A41" s="601" t="s">
        <v>19</v>
      </c>
      <c r="B41" s="602"/>
      <c r="C41" s="602"/>
      <c r="D41" s="602"/>
      <c r="E41" s="602"/>
      <c r="F41" s="602"/>
      <c r="G41" s="603"/>
    </row>
    <row r="42" spans="1:7" ht="15" customHeight="1">
      <c r="A42" s="604" t="s">
        <v>832</v>
      </c>
      <c r="B42" s="355">
        <v>28.338735387885229</v>
      </c>
      <c r="C42" s="355">
        <v>20.299681190223168</v>
      </c>
      <c r="D42" s="355">
        <v>54</v>
      </c>
      <c r="E42" s="355">
        <v>38</v>
      </c>
      <c r="F42" s="356">
        <v>32</v>
      </c>
      <c r="G42" s="355">
        <v>13</v>
      </c>
    </row>
    <row r="43" spans="1:7" ht="15" customHeight="1">
      <c r="A43" s="604" t="s">
        <v>831</v>
      </c>
      <c r="B43" s="605">
        <v>28.031993204983014</v>
      </c>
      <c r="C43" s="605">
        <v>21.093714609286522</v>
      </c>
      <c r="D43" s="605">
        <v>50</v>
      </c>
      <c r="E43" s="605">
        <v>38</v>
      </c>
      <c r="F43" s="605">
        <v>31</v>
      </c>
      <c r="G43" s="605">
        <v>15</v>
      </c>
    </row>
    <row r="44" spans="1:7" ht="15" customHeight="1">
      <c r="A44" s="607" t="s">
        <v>830</v>
      </c>
      <c r="B44" s="605">
        <v>31.108009525033342</v>
      </c>
      <c r="C44" s="605">
        <v>22.270560965362559</v>
      </c>
      <c r="D44" s="605">
        <v>56</v>
      </c>
      <c r="E44" s="605">
        <v>40</v>
      </c>
      <c r="F44" s="605">
        <v>37</v>
      </c>
      <c r="G44" s="605">
        <v>16</v>
      </c>
    </row>
    <row r="45" spans="1:7" ht="15" customHeight="1">
      <c r="A45" s="607" t="s">
        <v>829</v>
      </c>
      <c r="B45" s="608">
        <v>30.756023177798109</v>
      </c>
      <c r="C45" s="608">
        <v>22.474839890210429</v>
      </c>
      <c r="D45" s="608">
        <v>32.433322357589724</v>
      </c>
      <c r="E45" s="608">
        <v>16.163977609483041</v>
      </c>
      <c r="F45" s="608">
        <v>19.244507441530828</v>
      </c>
      <c r="G45" s="608">
        <v>15.773210489014883</v>
      </c>
    </row>
    <row r="46" spans="1:7" ht="15" customHeight="1">
      <c r="A46" s="604" t="s">
        <v>828</v>
      </c>
      <c r="B46" s="606">
        <v>31</v>
      </c>
      <c r="C46" s="606">
        <v>22</v>
      </c>
      <c r="D46" s="606">
        <v>32</v>
      </c>
      <c r="E46" s="606">
        <v>22</v>
      </c>
      <c r="F46" s="606">
        <v>36</v>
      </c>
      <c r="G46" s="606">
        <v>16</v>
      </c>
    </row>
    <row r="47" spans="1:7" ht="15" customHeight="1">
      <c r="A47" s="601" t="s">
        <v>56</v>
      </c>
      <c r="B47" s="602"/>
      <c r="C47" s="602"/>
      <c r="D47" s="602"/>
      <c r="E47" s="602"/>
      <c r="F47" s="602"/>
      <c r="G47" s="603"/>
    </row>
    <row r="48" spans="1:7" ht="15" customHeight="1">
      <c r="A48" s="604" t="s">
        <v>832</v>
      </c>
      <c r="B48" s="355">
        <v>26.372610748819429</v>
      </c>
      <c r="C48" s="355">
        <v>22.668540589161232</v>
      </c>
      <c r="D48" s="355">
        <v>30</v>
      </c>
      <c r="E48" s="355">
        <v>26</v>
      </c>
      <c r="F48" s="356">
        <v>49</v>
      </c>
      <c r="G48" s="355">
        <v>18</v>
      </c>
    </row>
    <row r="49" spans="1:7" ht="15" customHeight="1">
      <c r="A49" s="604" t="s">
        <v>831</v>
      </c>
      <c r="B49" s="605">
        <v>28.450024236548714</v>
      </c>
      <c r="C49" s="605">
        <v>23.38788172564227</v>
      </c>
      <c r="D49" s="605">
        <v>33</v>
      </c>
      <c r="E49" s="605">
        <v>27</v>
      </c>
      <c r="F49" s="605">
        <v>67</v>
      </c>
      <c r="G49" s="605">
        <v>21</v>
      </c>
    </row>
    <row r="50" spans="1:7" ht="15" customHeight="1">
      <c r="A50" s="607" t="s">
        <v>830</v>
      </c>
      <c r="B50" s="605">
        <v>29.269908350305499</v>
      </c>
      <c r="C50" s="605">
        <v>23.113391038696538</v>
      </c>
      <c r="D50" s="605">
        <v>33</v>
      </c>
      <c r="E50" s="605">
        <v>26</v>
      </c>
      <c r="F50" s="605">
        <v>88</v>
      </c>
      <c r="G50" s="605">
        <v>21</v>
      </c>
    </row>
    <row r="51" spans="1:7" ht="15" customHeight="1">
      <c r="A51" s="607" t="s">
        <v>829</v>
      </c>
      <c r="B51" s="608">
        <v>26.836580260827564</v>
      </c>
      <c r="C51" s="608">
        <v>23.008586915687221</v>
      </c>
      <c r="D51" s="608">
        <v>27.524903355930306</v>
      </c>
      <c r="E51" s="608">
        <v>21.58535492184436</v>
      </c>
      <c r="F51" s="608">
        <v>40.642165242165241</v>
      </c>
      <c r="G51" s="608">
        <v>19.765242165242164</v>
      </c>
    </row>
    <row r="52" spans="1:7" ht="15" customHeight="1">
      <c r="A52" s="604" t="s">
        <v>828</v>
      </c>
      <c r="B52" s="606">
        <v>23</v>
      </c>
      <c r="C52" s="606">
        <v>20</v>
      </c>
      <c r="D52" s="606">
        <v>23</v>
      </c>
      <c r="E52" s="606">
        <v>20</v>
      </c>
      <c r="F52" s="606">
        <v>53</v>
      </c>
      <c r="G52" s="606">
        <v>18</v>
      </c>
    </row>
    <row r="53" spans="1:7" ht="15" customHeight="1">
      <c r="A53" s="601" t="s">
        <v>155</v>
      </c>
      <c r="B53" s="602"/>
      <c r="C53" s="602"/>
      <c r="D53" s="602"/>
      <c r="E53" s="602"/>
      <c r="F53" s="602"/>
      <c r="G53" s="603"/>
    </row>
    <row r="54" spans="1:7" ht="15" customHeight="1">
      <c r="A54" s="604" t="s">
        <v>832</v>
      </c>
      <c r="B54" s="355">
        <v>27.204255319148935</v>
      </c>
      <c r="C54" s="355">
        <v>27.204255319148935</v>
      </c>
      <c r="D54" s="355">
        <v>28</v>
      </c>
      <c r="E54" s="355">
        <v>28</v>
      </c>
      <c r="F54" s="356">
        <v>20</v>
      </c>
      <c r="G54" s="355">
        <v>20</v>
      </c>
    </row>
    <row r="55" spans="1:7" ht="15" customHeight="1">
      <c r="A55" s="604" t="s">
        <v>831</v>
      </c>
      <c r="B55" s="605">
        <v>28.514018691588785</v>
      </c>
      <c r="C55" s="605">
        <v>28.514018691588785</v>
      </c>
      <c r="D55" s="605">
        <v>29</v>
      </c>
      <c r="E55" s="605">
        <v>29</v>
      </c>
      <c r="F55" s="605">
        <v>15</v>
      </c>
      <c r="G55" s="605">
        <v>15</v>
      </c>
    </row>
    <row r="56" spans="1:7" ht="15" customHeight="1">
      <c r="A56" s="607" t="s">
        <v>830</v>
      </c>
      <c r="B56" s="605">
        <v>28.175609756097561</v>
      </c>
      <c r="C56" s="605">
        <v>28.175609756097561</v>
      </c>
      <c r="D56" s="605">
        <v>29</v>
      </c>
      <c r="E56" s="605">
        <v>29</v>
      </c>
      <c r="F56" s="605">
        <v>13</v>
      </c>
      <c r="G56" s="605">
        <v>13</v>
      </c>
    </row>
    <row r="57" spans="1:7" ht="15" customHeight="1">
      <c r="A57" s="607" t="s">
        <v>829</v>
      </c>
      <c r="B57" s="608">
        <v>28.704081632653061</v>
      </c>
      <c r="C57" s="608">
        <v>28.607142857142858</v>
      </c>
      <c r="D57" s="608">
        <v>28.654450261780106</v>
      </c>
      <c r="E57" s="608">
        <v>27.994764397905758</v>
      </c>
      <c r="F57" s="608">
        <v>2.375</v>
      </c>
      <c r="G57" s="608">
        <v>13.375</v>
      </c>
    </row>
    <row r="58" spans="1:7" ht="15" customHeight="1">
      <c r="A58" s="604" t="s">
        <v>828</v>
      </c>
      <c r="B58" s="606">
        <v>27</v>
      </c>
      <c r="C58" s="606">
        <v>27</v>
      </c>
      <c r="D58" s="606">
        <v>27</v>
      </c>
      <c r="E58" s="606">
        <v>27</v>
      </c>
      <c r="F58" s="606">
        <v>18</v>
      </c>
      <c r="G58" s="606">
        <v>17</v>
      </c>
    </row>
    <row r="59" spans="1:7" ht="15" customHeight="1">
      <c r="A59" s="601" t="s">
        <v>156</v>
      </c>
      <c r="B59" s="602"/>
      <c r="C59" s="602"/>
      <c r="D59" s="602"/>
      <c r="E59" s="602"/>
      <c r="F59" s="602"/>
      <c r="G59" s="603"/>
    </row>
    <row r="60" spans="1:7" ht="15" customHeight="1">
      <c r="A60" s="604" t="s">
        <v>832</v>
      </c>
      <c r="B60" s="355">
        <v>14.455882352941176</v>
      </c>
      <c r="C60" s="355">
        <v>14.455882352941176</v>
      </c>
      <c r="D60" s="355">
        <v>14</v>
      </c>
      <c r="E60" s="355">
        <v>14</v>
      </c>
      <c r="F60" s="356" t="s">
        <v>806</v>
      </c>
      <c r="G60" s="355" t="s">
        <v>806</v>
      </c>
    </row>
    <row r="61" spans="1:7" ht="15" customHeight="1">
      <c r="A61" s="604" t="s">
        <v>831</v>
      </c>
      <c r="B61" s="605">
        <v>13.889795918367346</v>
      </c>
      <c r="C61" s="605">
        <v>13.889795918367346</v>
      </c>
      <c r="D61" s="605">
        <v>14</v>
      </c>
      <c r="E61" s="605">
        <v>14</v>
      </c>
      <c r="F61" s="605">
        <v>0</v>
      </c>
      <c r="G61" s="605">
        <v>0</v>
      </c>
    </row>
    <row r="62" spans="1:7" ht="15" customHeight="1">
      <c r="A62" s="607" t="s">
        <v>830</v>
      </c>
      <c r="B62" s="605">
        <v>13.856502242152466</v>
      </c>
      <c r="C62" s="605">
        <v>13.856502242152466</v>
      </c>
      <c r="D62" s="605">
        <v>14</v>
      </c>
      <c r="E62" s="605">
        <v>14</v>
      </c>
      <c r="F62" s="605">
        <v>0</v>
      </c>
      <c r="G62" s="605">
        <v>0</v>
      </c>
    </row>
    <row r="63" spans="1:7" ht="15" customHeight="1">
      <c r="A63" s="607" t="s">
        <v>829</v>
      </c>
      <c r="B63" s="608">
        <v>15.913265306122449</v>
      </c>
      <c r="C63" s="608">
        <v>15.913265306122449</v>
      </c>
      <c r="D63" s="608">
        <v>16.688524590163933</v>
      </c>
      <c r="E63" s="608">
        <v>16.688524590163933</v>
      </c>
      <c r="F63" s="605">
        <v>0</v>
      </c>
      <c r="G63" s="605">
        <v>0</v>
      </c>
    </row>
    <row r="64" spans="1:7" ht="15" customHeight="1">
      <c r="A64" s="604" t="s">
        <v>828</v>
      </c>
      <c r="B64" s="606">
        <v>16</v>
      </c>
      <c r="C64" s="606">
        <v>16</v>
      </c>
      <c r="D64" s="606">
        <v>17</v>
      </c>
      <c r="E64" s="606">
        <v>17</v>
      </c>
      <c r="F64" s="606">
        <v>0</v>
      </c>
      <c r="G64" s="606">
        <v>0</v>
      </c>
    </row>
    <row r="65" spans="1:7" ht="15" customHeight="1">
      <c r="A65" s="601" t="s">
        <v>23</v>
      </c>
      <c r="B65" s="602"/>
      <c r="C65" s="602"/>
      <c r="D65" s="602"/>
      <c r="E65" s="602"/>
      <c r="F65" s="602"/>
      <c r="G65" s="603"/>
    </row>
    <row r="66" spans="1:7" ht="15" customHeight="1">
      <c r="A66" s="604" t="s">
        <v>832</v>
      </c>
      <c r="B66" s="355">
        <v>52.05661244370922</v>
      </c>
      <c r="C66" s="355">
        <v>20.74892013601691</v>
      </c>
      <c r="D66" s="355">
        <v>80</v>
      </c>
      <c r="E66" s="355">
        <v>30</v>
      </c>
      <c r="F66" s="356">
        <v>125</v>
      </c>
      <c r="G66" s="355">
        <v>21</v>
      </c>
    </row>
    <row r="67" spans="1:7" ht="15" customHeight="1">
      <c r="A67" s="604" t="s">
        <v>831</v>
      </c>
      <c r="B67" s="605">
        <v>52.189470625272435</v>
      </c>
      <c r="C67" s="605">
        <v>21.06703153000436</v>
      </c>
      <c r="D67" s="605">
        <v>76</v>
      </c>
      <c r="E67" s="605">
        <v>29</v>
      </c>
      <c r="F67" s="605">
        <v>139</v>
      </c>
      <c r="G67" s="605">
        <v>22</v>
      </c>
    </row>
    <row r="68" spans="1:7" ht="15" customHeight="1">
      <c r="A68" s="607" t="s">
        <v>830</v>
      </c>
      <c r="B68" s="605">
        <v>60.781515214711881</v>
      </c>
      <c r="C68" s="605">
        <v>24.451455826863544</v>
      </c>
      <c r="D68" s="605">
        <v>82</v>
      </c>
      <c r="E68" s="605">
        <v>32</v>
      </c>
      <c r="F68" s="605">
        <v>199</v>
      </c>
      <c r="G68" s="605">
        <v>31</v>
      </c>
    </row>
    <row r="69" spans="1:7" ht="15" customHeight="1">
      <c r="A69" s="607" t="s">
        <v>829</v>
      </c>
      <c r="B69" s="608">
        <v>56.872841965471444</v>
      </c>
      <c r="C69" s="608">
        <v>22.058543603364321</v>
      </c>
      <c r="D69" s="608">
        <v>60.883262583383868</v>
      </c>
      <c r="E69" s="608">
        <v>16.203941782898728</v>
      </c>
      <c r="F69" s="608">
        <v>145.53735831598428</v>
      </c>
      <c r="G69" s="608">
        <v>24.891047883414295</v>
      </c>
    </row>
    <row r="70" spans="1:7" ht="15" customHeight="1">
      <c r="A70" s="604" t="s">
        <v>828</v>
      </c>
      <c r="B70" s="606">
        <v>51</v>
      </c>
      <c r="C70" s="606">
        <v>19</v>
      </c>
      <c r="D70" s="606">
        <v>54</v>
      </c>
      <c r="E70" s="606">
        <v>19</v>
      </c>
      <c r="F70" s="606">
        <v>121</v>
      </c>
      <c r="G70" s="606">
        <v>16</v>
      </c>
    </row>
    <row r="71" spans="1:7" ht="15" customHeight="1">
      <c r="A71" s="601" t="s">
        <v>24</v>
      </c>
      <c r="B71" s="602"/>
      <c r="C71" s="602"/>
      <c r="D71" s="602"/>
      <c r="E71" s="602"/>
      <c r="F71" s="602"/>
      <c r="G71" s="603"/>
    </row>
    <row r="72" spans="1:7" ht="15" customHeight="1">
      <c r="A72" s="604" t="s">
        <v>832</v>
      </c>
      <c r="B72" s="355">
        <v>14.504534212695795</v>
      </c>
      <c r="C72" s="355">
        <v>13.153888430887607</v>
      </c>
      <c r="D72" s="355">
        <v>17</v>
      </c>
      <c r="E72" s="355">
        <v>15</v>
      </c>
      <c r="F72" s="356">
        <v>31</v>
      </c>
      <c r="G72" s="355">
        <v>12</v>
      </c>
    </row>
    <row r="73" spans="1:7" ht="15" customHeight="1">
      <c r="A73" s="604" t="s">
        <v>831</v>
      </c>
      <c r="B73" s="605">
        <v>15.997659449970744</v>
      </c>
      <c r="C73" s="605">
        <v>14.521650087770626</v>
      </c>
      <c r="D73" s="605">
        <v>19</v>
      </c>
      <c r="E73" s="605">
        <v>17</v>
      </c>
      <c r="F73" s="605">
        <v>33</v>
      </c>
      <c r="G73" s="605">
        <v>12</v>
      </c>
    </row>
    <row r="74" spans="1:7" ht="15" customHeight="1">
      <c r="A74" s="607" t="s">
        <v>830</v>
      </c>
      <c r="B74" s="605">
        <v>17.182804718110937</v>
      </c>
      <c r="C74" s="605">
        <v>15.192842793569572</v>
      </c>
      <c r="D74" s="605">
        <v>19</v>
      </c>
      <c r="E74" s="605">
        <v>16</v>
      </c>
      <c r="F74" s="605">
        <v>67</v>
      </c>
      <c r="G74" s="605">
        <v>21</v>
      </c>
    </row>
    <row r="75" spans="1:7" ht="15" customHeight="1">
      <c r="A75" s="607" t="s">
        <v>829</v>
      </c>
      <c r="B75" s="608">
        <v>17.788377192982455</v>
      </c>
      <c r="C75" s="608">
        <v>15.558845029239766</v>
      </c>
      <c r="D75" s="608">
        <v>19.79467680608365</v>
      </c>
      <c r="E75" s="608">
        <v>15.537547528517111</v>
      </c>
      <c r="F75" s="608">
        <v>43.262411347517734</v>
      </c>
      <c r="G75" s="608">
        <v>20.26241134751773</v>
      </c>
    </row>
    <row r="76" spans="1:7" ht="15" customHeight="1">
      <c r="A76" s="604" t="s">
        <v>828</v>
      </c>
      <c r="B76" s="606">
        <v>18</v>
      </c>
      <c r="C76" s="606">
        <v>15</v>
      </c>
      <c r="D76" s="606">
        <v>19</v>
      </c>
      <c r="E76" s="606">
        <v>15</v>
      </c>
      <c r="F76" s="606">
        <v>61</v>
      </c>
      <c r="G76" s="606">
        <v>14</v>
      </c>
    </row>
    <row r="77" spans="1:7" ht="15" customHeight="1">
      <c r="A77" s="601" t="s">
        <v>25</v>
      </c>
      <c r="B77" s="602"/>
      <c r="C77" s="602"/>
      <c r="D77" s="602"/>
      <c r="E77" s="602"/>
      <c r="F77" s="602"/>
      <c r="G77" s="603"/>
    </row>
    <row r="78" spans="1:7" ht="15" customHeight="1">
      <c r="A78" s="604" t="s">
        <v>832</v>
      </c>
      <c r="B78" s="355">
        <v>25.581903689474728</v>
      </c>
      <c r="C78" s="355">
        <v>24.536811949393918</v>
      </c>
      <c r="D78" s="355">
        <v>34</v>
      </c>
      <c r="E78" s="355">
        <v>32</v>
      </c>
      <c r="F78" s="356">
        <v>25</v>
      </c>
      <c r="G78" s="355">
        <v>20</v>
      </c>
    </row>
    <row r="79" spans="1:7" ht="15" customHeight="1">
      <c r="A79" s="604" t="s">
        <v>831</v>
      </c>
      <c r="B79" s="605">
        <v>25.692294321124997</v>
      </c>
      <c r="C79" s="605">
        <v>24.443150411097012</v>
      </c>
      <c r="D79" s="605">
        <v>33</v>
      </c>
      <c r="E79" s="605">
        <v>32</v>
      </c>
      <c r="F79" s="605">
        <v>27</v>
      </c>
      <c r="G79" s="605">
        <v>21</v>
      </c>
    </row>
    <row r="80" spans="1:7" ht="15" customHeight="1">
      <c r="A80" s="607" t="s">
        <v>830</v>
      </c>
      <c r="B80" s="605">
        <v>26.781692866225605</v>
      </c>
      <c r="C80" s="605">
        <v>25.578276173451524</v>
      </c>
      <c r="D80" s="605">
        <v>32</v>
      </c>
      <c r="E80" s="605">
        <v>30</v>
      </c>
      <c r="F80" s="605">
        <v>30</v>
      </c>
      <c r="G80" s="605">
        <v>23</v>
      </c>
    </row>
    <row r="81" spans="1:7" ht="15" customHeight="1">
      <c r="A81" s="607" t="s">
        <v>829</v>
      </c>
      <c r="B81" s="608">
        <v>28.349581008302064</v>
      </c>
      <c r="C81" s="608">
        <v>26.79244842805203</v>
      </c>
      <c r="D81" s="608">
        <v>30.286800101342791</v>
      </c>
      <c r="E81" s="608">
        <v>23.944113672831687</v>
      </c>
      <c r="F81" s="608">
        <v>9.8419104035542393</v>
      </c>
      <c r="G81" s="608">
        <v>27.232629890164137</v>
      </c>
    </row>
    <row r="82" spans="1:7" ht="15" customHeight="1">
      <c r="A82" s="604" t="s">
        <v>828</v>
      </c>
      <c r="B82" s="606">
        <v>27</v>
      </c>
      <c r="C82" s="606">
        <v>25</v>
      </c>
      <c r="D82" s="606">
        <v>28</v>
      </c>
      <c r="E82" s="606">
        <v>26</v>
      </c>
      <c r="F82" s="606">
        <v>32</v>
      </c>
      <c r="G82" s="606">
        <v>23</v>
      </c>
    </row>
    <row r="83" spans="1:7" ht="15" customHeight="1">
      <c r="A83" s="601" t="s">
        <v>26</v>
      </c>
      <c r="B83" s="602"/>
      <c r="C83" s="602"/>
      <c r="D83" s="602"/>
      <c r="E83" s="602"/>
      <c r="F83" s="602"/>
      <c r="G83" s="603"/>
    </row>
    <row r="84" spans="1:7" ht="15" customHeight="1">
      <c r="A84" s="604" t="s">
        <v>832</v>
      </c>
      <c r="B84" s="355">
        <v>23.796003160765721</v>
      </c>
      <c r="C84" s="355">
        <v>20.184445973847211</v>
      </c>
      <c r="D84" s="355">
        <v>32</v>
      </c>
      <c r="E84" s="355">
        <v>27</v>
      </c>
      <c r="F84" s="356">
        <v>33</v>
      </c>
      <c r="G84" s="355">
        <v>16</v>
      </c>
    </row>
    <row r="85" spans="1:7" ht="15" customHeight="1">
      <c r="A85" s="604" t="s">
        <v>831</v>
      </c>
      <c r="B85" s="605">
        <v>26.036185777952181</v>
      </c>
      <c r="C85" s="605">
        <v>22.676598368696919</v>
      </c>
      <c r="D85" s="605">
        <v>35</v>
      </c>
      <c r="E85" s="605">
        <v>30</v>
      </c>
      <c r="F85" s="605">
        <v>33</v>
      </c>
      <c r="G85" s="605">
        <v>17</v>
      </c>
    </row>
    <row r="86" spans="1:7" ht="15" customHeight="1">
      <c r="A86" s="607" t="s">
        <v>830</v>
      </c>
      <c r="B86" s="605">
        <v>29.401416796648562</v>
      </c>
      <c r="C86" s="605">
        <v>24.92903363712751</v>
      </c>
      <c r="D86" s="605">
        <v>38</v>
      </c>
      <c r="E86" s="605">
        <v>32</v>
      </c>
      <c r="F86" s="605">
        <v>43</v>
      </c>
      <c r="G86" s="605">
        <v>19</v>
      </c>
    </row>
    <row r="87" spans="1:7" ht="15" customHeight="1">
      <c r="A87" s="607" t="s">
        <v>829</v>
      </c>
      <c r="B87" s="608">
        <v>25.707498680298947</v>
      </c>
      <c r="C87" s="608">
        <v>20.827772066790764</v>
      </c>
      <c r="D87" s="608">
        <v>27.625688421852249</v>
      </c>
      <c r="E87" s="608">
        <v>18.794422991707286</v>
      </c>
      <c r="F87" s="608">
        <v>29.226440226440225</v>
      </c>
      <c r="G87" s="608">
        <v>17.229603729603731</v>
      </c>
    </row>
    <row r="88" spans="1:7" ht="15" customHeight="1">
      <c r="A88" s="604" t="s">
        <v>828</v>
      </c>
      <c r="B88" s="606">
        <v>18</v>
      </c>
      <c r="C88" s="606">
        <v>17</v>
      </c>
      <c r="D88" s="606">
        <v>19</v>
      </c>
      <c r="E88" s="606">
        <v>18</v>
      </c>
      <c r="F88" s="606">
        <v>18</v>
      </c>
      <c r="G88" s="606">
        <v>14</v>
      </c>
    </row>
    <row r="89" spans="1:7" ht="15" customHeight="1">
      <c r="A89" s="601" t="s">
        <v>27</v>
      </c>
      <c r="B89" s="602"/>
      <c r="C89" s="602"/>
      <c r="D89" s="602"/>
      <c r="E89" s="602"/>
      <c r="F89" s="602"/>
      <c r="G89" s="603"/>
    </row>
    <row r="90" spans="1:7" ht="15" customHeight="1">
      <c r="A90" s="604" t="s">
        <v>832</v>
      </c>
      <c r="B90" s="355">
        <v>26.851683517298952</v>
      </c>
      <c r="C90" s="355">
        <v>22.57156107967721</v>
      </c>
      <c r="D90" s="355">
        <v>42</v>
      </c>
      <c r="E90" s="355">
        <v>35</v>
      </c>
      <c r="F90" s="356">
        <v>31</v>
      </c>
      <c r="G90" s="355">
        <v>15</v>
      </c>
    </row>
    <row r="91" spans="1:7" ht="15" customHeight="1">
      <c r="A91" s="604" t="s">
        <v>831</v>
      </c>
      <c r="B91" s="605">
        <v>27.265392373451157</v>
      </c>
      <c r="C91" s="605">
        <v>23.479396791854768</v>
      </c>
      <c r="D91" s="605">
        <v>42</v>
      </c>
      <c r="E91" s="605">
        <v>36</v>
      </c>
      <c r="F91" s="605">
        <v>30</v>
      </c>
      <c r="G91" s="605">
        <v>16</v>
      </c>
    </row>
    <row r="92" spans="1:7" ht="15" customHeight="1">
      <c r="A92" s="607" t="s">
        <v>830</v>
      </c>
      <c r="B92" s="605">
        <v>27.139285362732551</v>
      </c>
      <c r="C92" s="605">
        <v>23.31892902844768</v>
      </c>
      <c r="D92" s="605">
        <v>43</v>
      </c>
      <c r="E92" s="605">
        <v>37</v>
      </c>
      <c r="F92" s="605">
        <v>29</v>
      </c>
      <c r="G92" s="605">
        <v>15</v>
      </c>
    </row>
    <row r="93" spans="1:7" ht="15" customHeight="1">
      <c r="A93" s="607" t="s">
        <v>829</v>
      </c>
      <c r="B93" s="608">
        <v>27.088721804511277</v>
      </c>
      <c r="C93" s="608">
        <v>23.027067669172933</v>
      </c>
      <c r="D93" s="608">
        <v>29.912317571511966</v>
      </c>
      <c r="E93" s="608">
        <v>20.575248102743725</v>
      </c>
      <c r="F93" s="608">
        <v>14.829795021961933</v>
      </c>
      <c r="G93" s="608">
        <v>14.442532942898975</v>
      </c>
    </row>
    <row r="94" spans="1:7" ht="15" customHeight="1">
      <c r="A94" s="604" t="s">
        <v>828</v>
      </c>
      <c r="B94" s="606">
        <v>22</v>
      </c>
      <c r="C94" s="606">
        <v>19</v>
      </c>
      <c r="D94" s="606">
        <v>24</v>
      </c>
      <c r="E94" s="606">
        <v>20</v>
      </c>
      <c r="F94" s="606">
        <v>24</v>
      </c>
      <c r="G94" s="606">
        <v>13</v>
      </c>
    </row>
    <row r="95" spans="1:7" ht="15" customHeight="1">
      <c r="A95" s="601" t="s">
        <v>57</v>
      </c>
      <c r="B95" s="602"/>
      <c r="C95" s="602"/>
      <c r="D95" s="602"/>
      <c r="E95" s="602"/>
      <c r="F95" s="602"/>
      <c r="G95" s="603"/>
    </row>
    <row r="96" spans="1:7" ht="15" customHeight="1">
      <c r="A96" s="604" t="s">
        <v>832</v>
      </c>
      <c r="B96" s="355">
        <v>34.927656567441041</v>
      </c>
      <c r="C96" s="355">
        <v>24.528133557106262</v>
      </c>
      <c r="D96" s="355">
        <v>51</v>
      </c>
      <c r="E96" s="355">
        <v>35</v>
      </c>
      <c r="F96" s="356">
        <v>61</v>
      </c>
      <c r="G96" s="355">
        <v>14</v>
      </c>
    </row>
    <row r="97" spans="1:7" ht="15" customHeight="1">
      <c r="A97" s="604" t="s">
        <v>831</v>
      </c>
      <c r="B97" s="605">
        <v>35.181128369933937</v>
      </c>
      <c r="C97" s="605">
        <v>24.703535083020888</v>
      </c>
      <c r="D97" s="605">
        <v>51</v>
      </c>
      <c r="E97" s="605">
        <v>35</v>
      </c>
      <c r="F97" s="605">
        <v>63</v>
      </c>
      <c r="G97" s="605">
        <v>14</v>
      </c>
    </row>
    <row r="98" spans="1:7" ht="15" customHeight="1">
      <c r="A98" s="607" t="s">
        <v>830</v>
      </c>
      <c r="B98" s="605">
        <v>36.757373326965777</v>
      </c>
      <c r="C98" s="605">
        <v>26.151418144319713</v>
      </c>
      <c r="D98" s="605">
        <v>53</v>
      </c>
      <c r="E98" s="605">
        <v>37</v>
      </c>
      <c r="F98" s="605">
        <v>62</v>
      </c>
      <c r="G98" s="605">
        <v>14</v>
      </c>
    </row>
    <row r="99" spans="1:7" ht="15" customHeight="1">
      <c r="A99" s="607" t="s">
        <v>829</v>
      </c>
      <c r="B99" s="608">
        <v>37.757040679481449</v>
      </c>
      <c r="C99" s="608">
        <v>27.077223960661602</v>
      </c>
      <c r="D99" s="608">
        <v>41.195731324544887</v>
      </c>
      <c r="E99" s="608">
        <v>25.613559322033897</v>
      </c>
      <c r="F99" s="608">
        <v>47.544051767048281</v>
      </c>
      <c r="G99" s="608">
        <v>14.233947237431558</v>
      </c>
    </row>
    <row r="100" spans="1:7" ht="15" customHeight="1">
      <c r="A100" s="604" t="s">
        <v>828</v>
      </c>
      <c r="B100" s="606">
        <v>31</v>
      </c>
      <c r="C100" s="606">
        <v>21</v>
      </c>
      <c r="D100" s="606">
        <v>33</v>
      </c>
      <c r="E100" s="606">
        <v>23</v>
      </c>
      <c r="F100" s="606">
        <v>61</v>
      </c>
      <c r="G100" s="606">
        <v>12</v>
      </c>
    </row>
    <row r="101" spans="1:7" ht="15" customHeight="1">
      <c r="A101" s="601" t="s">
        <v>29</v>
      </c>
      <c r="B101" s="602"/>
      <c r="C101" s="602"/>
      <c r="D101" s="602"/>
      <c r="E101" s="602"/>
      <c r="F101" s="602"/>
      <c r="G101" s="603"/>
    </row>
    <row r="102" spans="1:7" ht="15" customHeight="1">
      <c r="A102" s="604" t="s">
        <v>832</v>
      </c>
      <c r="B102" s="355">
        <v>59.728229105786092</v>
      </c>
      <c r="C102" s="355">
        <v>54.290838690824081</v>
      </c>
      <c r="D102" s="355">
        <v>85</v>
      </c>
      <c r="E102" s="355">
        <v>77</v>
      </c>
      <c r="F102" s="356">
        <v>64</v>
      </c>
      <c r="G102" s="355">
        <v>37</v>
      </c>
    </row>
    <row r="103" spans="1:7" ht="15" customHeight="1">
      <c r="A103" s="604" t="s">
        <v>831</v>
      </c>
      <c r="B103" s="605">
        <v>59.799773572699337</v>
      </c>
      <c r="C103" s="605">
        <v>54.077551350477115</v>
      </c>
      <c r="D103" s="605">
        <v>81</v>
      </c>
      <c r="E103" s="605">
        <v>73</v>
      </c>
      <c r="F103" s="605">
        <v>62</v>
      </c>
      <c r="G103" s="605">
        <v>29</v>
      </c>
    </row>
    <row r="104" spans="1:7" ht="15" customHeight="1">
      <c r="A104" s="607" t="s">
        <v>830</v>
      </c>
      <c r="B104" s="605">
        <v>59.20418091803753</v>
      </c>
      <c r="C104" s="605">
        <v>55.520006586394793</v>
      </c>
      <c r="D104" s="605">
        <v>77</v>
      </c>
      <c r="E104" s="605">
        <v>72</v>
      </c>
      <c r="F104" s="605">
        <v>49</v>
      </c>
      <c r="G104" s="605">
        <v>26</v>
      </c>
    </row>
    <row r="105" spans="1:7" ht="15" customHeight="1">
      <c r="A105" s="607" t="s">
        <v>829</v>
      </c>
      <c r="B105" s="608">
        <v>61.46153141601026</v>
      </c>
      <c r="C105" s="608">
        <v>56.422971240153878</v>
      </c>
      <c r="D105" s="608">
        <v>66.430253994264646</v>
      </c>
      <c r="E105" s="608">
        <v>56.168988119623108</v>
      </c>
      <c r="F105" s="608">
        <v>33.873768472906406</v>
      </c>
      <c r="G105" s="608">
        <v>27.820197044334975</v>
      </c>
    </row>
    <row r="106" spans="1:7" ht="15" customHeight="1">
      <c r="A106" s="604" t="s">
        <v>828</v>
      </c>
      <c r="B106" s="606">
        <v>52</v>
      </c>
      <c r="C106" s="606">
        <v>48</v>
      </c>
      <c r="D106" s="606">
        <v>54</v>
      </c>
      <c r="E106" s="606">
        <v>50</v>
      </c>
      <c r="F106" s="606">
        <v>51</v>
      </c>
      <c r="G106" s="606">
        <v>24</v>
      </c>
    </row>
    <row r="107" spans="1:7" ht="15" customHeight="1">
      <c r="A107" s="601" t="s">
        <v>30</v>
      </c>
      <c r="B107" s="602"/>
      <c r="C107" s="602"/>
      <c r="D107" s="602"/>
      <c r="E107" s="602"/>
      <c r="F107" s="602"/>
      <c r="G107" s="603"/>
    </row>
    <row r="108" spans="1:7" ht="15" customHeight="1">
      <c r="A108" s="604" t="s">
        <v>832</v>
      </c>
      <c r="B108" s="355">
        <v>14.746387361156044</v>
      </c>
      <c r="C108" s="355">
        <v>14.167488946403537</v>
      </c>
      <c r="D108" s="355">
        <v>18</v>
      </c>
      <c r="E108" s="355">
        <v>18</v>
      </c>
      <c r="F108" s="356">
        <v>17</v>
      </c>
      <c r="G108" s="355">
        <v>13</v>
      </c>
    </row>
    <row r="109" spans="1:7" ht="15" customHeight="1">
      <c r="A109" s="604" t="s">
        <v>831</v>
      </c>
      <c r="B109" s="605">
        <v>14.913294884390679</v>
      </c>
      <c r="C109" s="605">
        <v>14.473514478351845</v>
      </c>
      <c r="D109" s="605">
        <v>18</v>
      </c>
      <c r="E109" s="605">
        <v>17</v>
      </c>
      <c r="F109" s="605">
        <v>17</v>
      </c>
      <c r="G109" s="605">
        <v>14</v>
      </c>
    </row>
    <row r="110" spans="1:7" ht="15" customHeight="1">
      <c r="A110" s="607" t="s">
        <v>830</v>
      </c>
      <c r="B110" s="605">
        <v>16.181536676830362</v>
      </c>
      <c r="C110" s="605">
        <v>15.670839753548531</v>
      </c>
      <c r="D110" s="605">
        <v>18</v>
      </c>
      <c r="E110" s="605">
        <v>18</v>
      </c>
      <c r="F110" s="605">
        <v>19</v>
      </c>
      <c r="G110" s="605">
        <v>14</v>
      </c>
    </row>
    <row r="111" spans="1:7" ht="15" customHeight="1">
      <c r="A111" s="607" t="s">
        <v>829</v>
      </c>
      <c r="B111" s="608">
        <v>14.630342832571049</v>
      </c>
      <c r="C111" s="608">
        <v>14.139681795082288</v>
      </c>
      <c r="D111" s="608">
        <v>15.491769337183284</v>
      </c>
      <c r="E111" s="608">
        <v>13.276778668053144</v>
      </c>
      <c r="F111" s="608">
        <v>4.7295817490494301</v>
      </c>
      <c r="G111" s="608">
        <v>13.412623574144487</v>
      </c>
    </row>
    <row r="112" spans="1:7" ht="15" customHeight="1">
      <c r="A112" s="604" t="s">
        <v>828</v>
      </c>
      <c r="B112" s="606">
        <v>14</v>
      </c>
      <c r="C112" s="606">
        <v>13</v>
      </c>
      <c r="D112" s="606">
        <v>14</v>
      </c>
      <c r="E112" s="606">
        <v>13</v>
      </c>
      <c r="F112" s="606">
        <v>15</v>
      </c>
      <c r="G112" s="606">
        <v>11</v>
      </c>
    </row>
    <row r="113" spans="1:7" ht="15" customHeight="1">
      <c r="A113" s="601" t="s">
        <v>31</v>
      </c>
      <c r="B113" s="602"/>
      <c r="C113" s="602"/>
      <c r="D113" s="602"/>
      <c r="E113" s="602"/>
      <c r="F113" s="602"/>
      <c r="G113" s="603"/>
    </row>
    <row r="114" spans="1:7" ht="15" customHeight="1">
      <c r="A114" s="604" t="s">
        <v>832</v>
      </c>
      <c r="B114" s="355">
        <v>18.484242503005294</v>
      </c>
      <c r="C114" s="355">
        <v>14.319454823093668</v>
      </c>
      <c r="D114" s="355">
        <v>20</v>
      </c>
      <c r="E114" s="355">
        <v>16</v>
      </c>
      <c r="F114" s="356">
        <v>67</v>
      </c>
      <c r="G114" s="355">
        <v>12</v>
      </c>
    </row>
    <row r="115" spans="1:7" ht="15" customHeight="1">
      <c r="A115" s="604" t="s">
        <v>831</v>
      </c>
      <c r="B115" s="605">
        <v>18.499594840975082</v>
      </c>
      <c r="C115" s="605">
        <v>14.319721115537849</v>
      </c>
      <c r="D115" s="605">
        <v>21</v>
      </c>
      <c r="E115" s="605">
        <v>16</v>
      </c>
      <c r="F115" s="605">
        <v>67</v>
      </c>
      <c r="G115" s="605">
        <v>12</v>
      </c>
    </row>
    <row r="116" spans="1:7" ht="15" customHeight="1">
      <c r="A116" s="607" t="s">
        <v>830</v>
      </c>
      <c r="B116" s="605">
        <v>19.590730305395542</v>
      </c>
      <c r="C116" s="605">
        <v>15.055082567638427</v>
      </c>
      <c r="D116" s="605">
        <v>22</v>
      </c>
      <c r="E116" s="605">
        <v>16</v>
      </c>
      <c r="F116" s="605">
        <v>70</v>
      </c>
      <c r="G116" s="605">
        <v>12</v>
      </c>
    </row>
    <row r="117" spans="1:7" ht="15" customHeight="1">
      <c r="A117" s="607" t="s">
        <v>829</v>
      </c>
      <c r="B117" s="608">
        <v>18.783735136904113</v>
      </c>
      <c r="C117" s="608">
        <v>14.509508745136541</v>
      </c>
      <c r="D117" s="608">
        <v>19.248853689037098</v>
      </c>
      <c r="E117" s="608">
        <v>13.4991166954485</v>
      </c>
      <c r="F117" s="608">
        <v>59.757375381485247</v>
      </c>
      <c r="G117" s="608">
        <v>13.911495422177008</v>
      </c>
    </row>
    <row r="118" spans="1:7" ht="15" customHeight="1">
      <c r="A118" s="604" t="s">
        <v>828</v>
      </c>
      <c r="B118" s="606">
        <v>16</v>
      </c>
      <c r="C118" s="606">
        <v>13</v>
      </c>
      <c r="D118" s="606">
        <v>16</v>
      </c>
      <c r="E118" s="606">
        <v>13</v>
      </c>
      <c r="F118" s="606">
        <v>53</v>
      </c>
      <c r="G118" s="606">
        <v>13</v>
      </c>
    </row>
    <row r="119" spans="1:7" ht="15" customHeight="1">
      <c r="A119" s="601" t="s">
        <v>761</v>
      </c>
      <c r="B119" s="609"/>
      <c r="C119" s="609"/>
      <c r="D119" s="609"/>
      <c r="E119" s="609"/>
      <c r="F119" s="609"/>
      <c r="G119" s="610"/>
    </row>
    <row r="120" spans="1:7" ht="15" customHeight="1">
      <c r="A120" s="604" t="s">
        <v>832</v>
      </c>
      <c r="B120" s="355">
        <v>14.557788944723619</v>
      </c>
      <c r="C120" s="355">
        <v>14.557788944723619</v>
      </c>
      <c r="D120" s="355">
        <v>28</v>
      </c>
      <c r="E120" s="355">
        <v>28</v>
      </c>
      <c r="F120" s="356">
        <v>7</v>
      </c>
      <c r="G120" s="355">
        <v>7</v>
      </c>
    </row>
    <row r="121" spans="1:7" ht="15" customHeight="1">
      <c r="A121" s="601" t="s">
        <v>139</v>
      </c>
      <c r="B121" s="602"/>
      <c r="C121" s="602"/>
      <c r="D121" s="602"/>
      <c r="E121" s="602"/>
      <c r="F121" s="602"/>
      <c r="G121" s="603"/>
    </row>
    <row r="122" spans="1:7" ht="15" customHeight="1">
      <c r="A122" s="604" t="s">
        <v>832</v>
      </c>
      <c r="B122" s="355">
        <v>12.444444444444445</v>
      </c>
      <c r="C122" s="355">
        <v>12.444444444444445</v>
      </c>
      <c r="D122" s="355">
        <v>0</v>
      </c>
      <c r="E122" s="355">
        <v>0</v>
      </c>
      <c r="F122" s="356">
        <v>12</v>
      </c>
      <c r="G122" s="355">
        <v>12</v>
      </c>
    </row>
    <row r="123" spans="1:7" ht="15" customHeight="1">
      <c r="A123" s="604" t="s">
        <v>831</v>
      </c>
      <c r="B123" s="605">
        <v>12.111111111111111</v>
      </c>
      <c r="C123" s="605">
        <v>12.111111111111111</v>
      </c>
      <c r="D123" s="605">
        <v>0</v>
      </c>
      <c r="E123" s="605">
        <v>0</v>
      </c>
      <c r="F123" s="605">
        <v>12</v>
      </c>
      <c r="G123" s="605">
        <v>12</v>
      </c>
    </row>
    <row r="124" spans="1:7" ht="15" customHeight="1">
      <c r="A124" s="607" t="s">
        <v>830</v>
      </c>
      <c r="B124" s="605">
        <v>12.266666666666667</v>
      </c>
      <c r="C124" s="605">
        <v>12.266666666666667</v>
      </c>
      <c r="D124" s="605">
        <v>0</v>
      </c>
      <c r="E124" s="605">
        <v>0</v>
      </c>
      <c r="F124" s="605">
        <v>12</v>
      </c>
      <c r="G124" s="605">
        <v>12</v>
      </c>
    </row>
    <row r="125" spans="1:7" ht="15" customHeight="1">
      <c r="A125" s="607" t="s">
        <v>829</v>
      </c>
      <c r="B125" s="608">
        <v>14.162162162162161</v>
      </c>
      <c r="C125" s="608">
        <v>14.162162162162161</v>
      </c>
      <c r="D125" s="608">
        <v>14.162162162162161</v>
      </c>
      <c r="E125" s="608">
        <v>0</v>
      </c>
      <c r="F125" s="608">
        <v>0</v>
      </c>
      <c r="G125" s="608">
        <v>14.162162162162161</v>
      </c>
    </row>
    <row r="126" spans="1:7" ht="15" customHeight="1">
      <c r="A126" s="604" t="s">
        <v>828</v>
      </c>
      <c r="B126" s="606">
        <v>13</v>
      </c>
      <c r="C126" s="606">
        <v>13</v>
      </c>
      <c r="D126" s="606">
        <v>13</v>
      </c>
      <c r="E126" s="606">
        <v>13</v>
      </c>
      <c r="F126" s="606">
        <v>13</v>
      </c>
      <c r="G126" s="606">
        <v>13</v>
      </c>
    </row>
    <row r="127" spans="1:7" ht="15" customHeight="1">
      <c r="A127" s="601" t="s">
        <v>33</v>
      </c>
      <c r="B127" s="602"/>
      <c r="C127" s="602"/>
      <c r="D127" s="602"/>
      <c r="E127" s="602"/>
      <c r="F127" s="602"/>
      <c r="G127" s="603"/>
    </row>
    <row r="128" spans="1:7" ht="15" customHeight="1">
      <c r="A128" s="604" t="s">
        <v>832</v>
      </c>
      <c r="B128" s="355">
        <v>34.039777867906281</v>
      </c>
      <c r="C128" s="355">
        <v>31.601862540167847</v>
      </c>
      <c r="D128" s="355">
        <v>44</v>
      </c>
      <c r="E128" s="355">
        <v>41</v>
      </c>
      <c r="F128" s="356">
        <v>40</v>
      </c>
      <c r="G128" s="355">
        <v>28</v>
      </c>
    </row>
    <row r="129" spans="1:7" ht="15" customHeight="1">
      <c r="A129" s="604" t="s">
        <v>831</v>
      </c>
      <c r="B129" s="605">
        <v>32.599080832657478</v>
      </c>
      <c r="C129" s="605">
        <v>29.487074209245741</v>
      </c>
      <c r="D129" s="605">
        <v>41</v>
      </c>
      <c r="E129" s="605">
        <v>37</v>
      </c>
      <c r="F129" s="605">
        <v>47</v>
      </c>
      <c r="G129" s="605">
        <v>30</v>
      </c>
    </row>
    <row r="130" spans="1:7" ht="15" customHeight="1">
      <c r="A130" s="607" t="s">
        <v>830</v>
      </c>
      <c r="B130" s="605">
        <v>34.602291409058132</v>
      </c>
      <c r="C130" s="605">
        <v>31.293207173418566</v>
      </c>
      <c r="D130" s="605">
        <v>43</v>
      </c>
      <c r="E130" s="605">
        <v>39</v>
      </c>
      <c r="F130" s="605">
        <v>59</v>
      </c>
      <c r="G130" s="605">
        <v>40</v>
      </c>
    </row>
    <row r="131" spans="1:7" ht="15" customHeight="1">
      <c r="A131" s="607" t="s">
        <v>829</v>
      </c>
      <c r="B131" s="608">
        <v>27.689339641791978</v>
      </c>
      <c r="C131" s="608">
        <v>25.230774035383583</v>
      </c>
      <c r="D131" s="608">
        <v>28.583422433503856</v>
      </c>
      <c r="E131" s="608">
        <v>20.555261296530851</v>
      </c>
      <c r="F131" s="608">
        <v>15.390909090909091</v>
      </c>
      <c r="G131" s="608">
        <v>32.317399804496581</v>
      </c>
    </row>
    <row r="132" spans="1:7" ht="15" customHeight="1">
      <c r="A132" s="604" t="s">
        <v>828</v>
      </c>
      <c r="B132" s="606">
        <v>24</v>
      </c>
      <c r="C132" s="606">
        <v>21</v>
      </c>
      <c r="D132" s="606">
        <v>24</v>
      </c>
      <c r="E132" s="606">
        <v>21</v>
      </c>
      <c r="F132" s="606">
        <v>45</v>
      </c>
      <c r="G132" s="606">
        <v>28</v>
      </c>
    </row>
    <row r="133" spans="1:7" ht="15" customHeight="1">
      <c r="A133" s="601" t="s">
        <v>34</v>
      </c>
      <c r="B133" s="602"/>
      <c r="C133" s="602"/>
      <c r="D133" s="602"/>
      <c r="E133" s="602"/>
      <c r="F133" s="602"/>
      <c r="G133" s="603"/>
    </row>
    <row r="134" spans="1:7" ht="15" customHeight="1">
      <c r="A134" s="604" t="s">
        <v>832</v>
      </c>
      <c r="B134" s="355">
        <v>26.147365323786872</v>
      </c>
      <c r="C134" s="355">
        <v>22.066001765441484</v>
      </c>
      <c r="D134" s="355">
        <v>33</v>
      </c>
      <c r="E134" s="355">
        <v>27</v>
      </c>
      <c r="F134" s="356">
        <v>62</v>
      </c>
      <c r="G134" s="355">
        <v>19</v>
      </c>
    </row>
    <row r="135" spans="1:7" ht="15" customHeight="1">
      <c r="A135" s="604" t="s">
        <v>831</v>
      </c>
      <c r="B135" s="605">
        <v>26.616035082641769</v>
      </c>
      <c r="C135" s="605">
        <v>22.582676372696444</v>
      </c>
      <c r="D135" s="605">
        <v>33</v>
      </c>
      <c r="E135" s="605">
        <v>28</v>
      </c>
      <c r="F135" s="605">
        <v>58</v>
      </c>
      <c r="G135" s="605">
        <v>19</v>
      </c>
    </row>
    <row r="136" spans="1:7" ht="15" customHeight="1">
      <c r="A136" s="607" t="s">
        <v>830</v>
      </c>
      <c r="B136" s="605">
        <v>27.075376968915201</v>
      </c>
      <c r="C136" s="605">
        <v>22.361565878628049</v>
      </c>
      <c r="D136" s="605">
        <v>32</v>
      </c>
      <c r="E136" s="605">
        <v>26</v>
      </c>
      <c r="F136" s="605">
        <v>62</v>
      </c>
      <c r="G136" s="605">
        <v>15</v>
      </c>
    </row>
    <row r="137" spans="1:7" ht="15" customHeight="1">
      <c r="A137" s="607" t="s">
        <v>829</v>
      </c>
      <c r="B137" s="608">
        <v>26.657036093080059</v>
      </c>
      <c r="C137" s="608">
        <v>22.017621759388316</v>
      </c>
      <c r="D137" s="608">
        <v>30.001002992801101</v>
      </c>
      <c r="E137" s="608">
        <v>22.393787915554476</v>
      </c>
      <c r="F137" s="608">
        <v>50.148161447859813</v>
      </c>
      <c r="G137" s="608">
        <v>17.395647802355644</v>
      </c>
    </row>
    <row r="138" spans="1:7" ht="15" customHeight="1">
      <c r="A138" s="604" t="s">
        <v>828</v>
      </c>
      <c r="B138" s="606">
        <v>24</v>
      </c>
      <c r="C138" s="606">
        <v>20</v>
      </c>
      <c r="D138" s="606">
        <v>26</v>
      </c>
      <c r="E138" s="606">
        <v>22</v>
      </c>
      <c r="F138" s="606">
        <v>47</v>
      </c>
      <c r="G138" s="606">
        <v>13</v>
      </c>
    </row>
    <row r="139" spans="1:7" ht="15" customHeight="1">
      <c r="A139" s="601" t="s">
        <v>35</v>
      </c>
      <c r="B139" s="602"/>
      <c r="C139" s="602"/>
      <c r="D139" s="602"/>
      <c r="E139" s="602"/>
      <c r="F139" s="602"/>
      <c r="G139" s="603"/>
    </row>
    <row r="140" spans="1:7" ht="15" customHeight="1">
      <c r="A140" s="604" t="s">
        <v>832</v>
      </c>
      <c r="B140" s="355">
        <v>22.668001456133965</v>
      </c>
      <c r="C140" s="355">
        <v>21.585729887149618</v>
      </c>
      <c r="D140" s="355">
        <v>28</v>
      </c>
      <c r="E140" s="355">
        <v>26</v>
      </c>
      <c r="F140" s="356">
        <v>19</v>
      </c>
      <c r="G140" s="355">
        <v>12</v>
      </c>
    </row>
    <row r="141" spans="1:7" ht="15" customHeight="1">
      <c r="A141" s="604" t="s">
        <v>831</v>
      </c>
      <c r="B141" s="605">
        <v>21.921946375372393</v>
      </c>
      <c r="C141" s="605">
        <v>20.725719960278052</v>
      </c>
      <c r="D141" s="605">
        <v>26</v>
      </c>
      <c r="E141" s="605">
        <v>25</v>
      </c>
      <c r="F141" s="605">
        <v>20</v>
      </c>
      <c r="G141" s="605">
        <v>12</v>
      </c>
    </row>
    <row r="142" spans="1:7" ht="15" customHeight="1">
      <c r="A142" s="607" t="s">
        <v>830</v>
      </c>
      <c r="B142" s="605">
        <v>30.788226800366761</v>
      </c>
      <c r="C142" s="605">
        <v>28.852050329778525</v>
      </c>
      <c r="D142" s="605">
        <v>38</v>
      </c>
      <c r="E142" s="605">
        <v>35</v>
      </c>
      <c r="F142" s="605">
        <v>24</v>
      </c>
      <c r="G142" s="605">
        <v>12</v>
      </c>
    </row>
    <row r="143" spans="1:7" ht="15" customHeight="1">
      <c r="A143" s="607" t="s">
        <v>829</v>
      </c>
      <c r="B143" s="608">
        <v>22.614007607965988</v>
      </c>
      <c r="C143" s="608">
        <v>21.155292011635712</v>
      </c>
      <c r="D143" s="608">
        <v>23.142824074074074</v>
      </c>
      <c r="E143" s="608">
        <v>20.174305555555556</v>
      </c>
      <c r="F143" s="608">
        <v>12.072222222222223</v>
      </c>
      <c r="G143" s="608">
        <v>11.675925925925926</v>
      </c>
    </row>
    <row r="144" spans="1:7" ht="15" customHeight="1">
      <c r="A144" s="604" t="s">
        <v>828</v>
      </c>
      <c r="B144" s="606">
        <v>21</v>
      </c>
      <c r="C144" s="606">
        <v>19</v>
      </c>
      <c r="D144" s="606">
        <v>21</v>
      </c>
      <c r="E144" s="606">
        <v>19</v>
      </c>
      <c r="F144" s="606">
        <v>37</v>
      </c>
      <c r="G144" s="606">
        <v>15</v>
      </c>
    </row>
    <row r="145" spans="1:7" ht="15" customHeight="1">
      <c r="A145" s="601" t="s">
        <v>36</v>
      </c>
      <c r="B145" s="602"/>
      <c r="C145" s="602"/>
      <c r="D145" s="602"/>
      <c r="E145" s="602"/>
      <c r="F145" s="602"/>
      <c r="G145" s="603"/>
    </row>
    <row r="146" spans="1:7" ht="15" customHeight="1">
      <c r="A146" s="604" t="s">
        <v>832</v>
      </c>
      <c r="B146" s="355">
        <v>24.155905077262695</v>
      </c>
      <c r="C146" s="355">
        <v>22.227649006622517</v>
      </c>
      <c r="D146" s="355">
        <v>37</v>
      </c>
      <c r="E146" s="355">
        <v>34</v>
      </c>
      <c r="F146" s="356">
        <v>20</v>
      </c>
      <c r="G146" s="355">
        <v>14</v>
      </c>
    </row>
    <row r="147" spans="1:7" ht="15" customHeight="1">
      <c r="A147" s="604" t="s">
        <v>831</v>
      </c>
      <c r="B147" s="605">
        <v>26.247282608695652</v>
      </c>
      <c r="C147" s="605">
        <v>23.905797101449274</v>
      </c>
      <c r="D147" s="605">
        <v>41</v>
      </c>
      <c r="E147" s="605">
        <v>37</v>
      </c>
      <c r="F147" s="605">
        <v>21</v>
      </c>
      <c r="G147" s="605">
        <v>13</v>
      </c>
    </row>
    <row r="148" spans="1:7" ht="15" customHeight="1">
      <c r="A148" s="607" t="s">
        <v>830</v>
      </c>
      <c r="B148" s="605">
        <v>29.893653123389921</v>
      </c>
      <c r="C148" s="605">
        <v>26.821613180451262</v>
      </c>
      <c r="D148" s="605">
        <v>46</v>
      </c>
      <c r="E148" s="605">
        <v>41</v>
      </c>
      <c r="F148" s="605">
        <v>26</v>
      </c>
      <c r="G148" s="605">
        <v>14</v>
      </c>
    </row>
    <row r="149" spans="1:7" ht="15" customHeight="1">
      <c r="A149" s="607" t="s">
        <v>829</v>
      </c>
      <c r="B149" s="608">
        <v>26.666223845898372</v>
      </c>
      <c r="C149" s="608">
        <v>23.756559282630356</v>
      </c>
      <c r="D149" s="608">
        <v>28.617614678899084</v>
      </c>
      <c r="E149" s="608">
        <v>21.685504587155965</v>
      </c>
      <c r="F149" s="608">
        <v>11.712566844919786</v>
      </c>
      <c r="G149" s="608">
        <v>13.541443850267379</v>
      </c>
    </row>
    <row r="150" spans="1:7" ht="15" customHeight="1">
      <c r="A150" s="604" t="s">
        <v>828</v>
      </c>
      <c r="B150" s="606">
        <v>24</v>
      </c>
      <c r="C150" s="606">
        <v>21</v>
      </c>
      <c r="D150" s="606">
        <v>25</v>
      </c>
      <c r="E150" s="606">
        <v>22</v>
      </c>
      <c r="F150" s="606">
        <v>25</v>
      </c>
      <c r="G150" s="606">
        <v>13</v>
      </c>
    </row>
    <row r="151" spans="1:7" ht="15" customHeight="1">
      <c r="A151" s="601" t="s">
        <v>37</v>
      </c>
      <c r="B151" s="602"/>
      <c r="C151" s="602"/>
      <c r="D151" s="602"/>
      <c r="E151" s="602"/>
      <c r="F151" s="602"/>
      <c r="G151" s="603"/>
    </row>
    <row r="152" spans="1:7" ht="15" customHeight="1">
      <c r="A152" s="604" t="s">
        <v>832</v>
      </c>
      <c r="B152" s="355">
        <v>17.247535028541776</v>
      </c>
      <c r="C152" s="355">
        <v>13.503892060197197</v>
      </c>
      <c r="D152" s="355">
        <v>22</v>
      </c>
      <c r="E152" s="355">
        <v>17</v>
      </c>
      <c r="F152" s="356">
        <v>38</v>
      </c>
      <c r="G152" s="355">
        <v>14</v>
      </c>
    </row>
    <row r="153" spans="1:7" ht="15" customHeight="1">
      <c r="A153" s="604" t="s">
        <v>831</v>
      </c>
      <c r="B153" s="605">
        <v>17.579229122055676</v>
      </c>
      <c r="C153" s="605">
        <v>13.702355460385439</v>
      </c>
      <c r="D153" s="605">
        <v>23</v>
      </c>
      <c r="E153" s="605">
        <v>18</v>
      </c>
      <c r="F153" s="605">
        <v>39</v>
      </c>
      <c r="G153" s="605">
        <v>15</v>
      </c>
    </row>
    <row r="154" spans="1:7" ht="15" customHeight="1">
      <c r="A154" s="607" t="s">
        <v>830</v>
      </c>
      <c r="B154" s="605">
        <v>17.019619157530293</v>
      </c>
      <c r="C154" s="605">
        <v>14.109059434506635</v>
      </c>
      <c r="D154" s="605">
        <v>23</v>
      </c>
      <c r="E154" s="605">
        <v>19</v>
      </c>
      <c r="F154" s="605">
        <v>31</v>
      </c>
      <c r="G154" s="605">
        <v>14</v>
      </c>
    </row>
    <row r="155" spans="1:7" ht="15" customHeight="1">
      <c r="A155" s="607" t="s">
        <v>829</v>
      </c>
      <c r="B155" s="608">
        <v>18.970693779904305</v>
      </c>
      <c r="C155" s="608">
        <v>15.232655502392344</v>
      </c>
      <c r="D155" s="608">
        <v>20.287868403015764</v>
      </c>
      <c r="E155" s="608">
        <v>13.527073337902673</v>
      </c>
      <c r="F155" s="608">
        <v>20.982456140350877</v>
      </c>
      <c r="G155" s="608">
        <v>13.628070175438596</v>
      </c>
    </row>
    <row r="156" spans="1:7" ht="15" customHeight="1">
      <c r="A156" s="604" t="s">
        <v>828</v>
      </c>
      <c r="B156" s="606">
        <v>19</v>
      </c>
      <c r="C156" s="606">
        <v>15</v>
      </c>
      <c r="D156" s="606">
        <v>19</v>
      </c>
      <c r="E156" s="606">
        <v>15</v>
      </c>
      <c r="F156" s="606">
        <v>33</v>
      </c>
      <c r="G156" s="606">
        <v>13</v>
      </c>
    </row>
    <row r="157" spans="1:7" ht="15" customHeight="1">
      <c r="A157" s="601" t="s">
        <v>38</v>
      </c>
      <c r="B157" s="602"/>
      <c r="C157" s="602"/>
      <c r="D157" s="602"/>
      <c r="E157" s="602"/>
      <c r="F157" s="602"/>
      <c r="G157" s="603"/>
    </row>
    <row r="158" spans="1:7" ht="15" customHeight="1">
      <c r="A158" s="604" t="s">
        <v>832</v>
      </c>
      <c r="B158" s="355">
        <v>18.406030565881867</v>
      </c>
      <c r="C158" s="355">
        <v>17.06030565881867</v>
      </c>
      <c r="D158" s="355">
        <v>24</v>
      </c>
      <c r="E158" s="355">
        <v>22</v>
      </c>
      <c r="F158" s="356">
        <v>22</v>
      </c>
      <c r="G158" s="355">
        <v>15</v>
      </c>
    </row>
    <row r="159" spans="1:7" ht="15" customHeight="1">
      <c r="A159" s="604" t="s">
        <v>831</v>
      </c>
      <c r="B159" s="605">
        <v>19.109709962168978</v>
      </c>
      <c r="C159" s="605">
        <v>16.721731820092476</v>
      </c>
      <c r="D159" s="605">
        <v>25</v>
      </c>
      <c r="E159" s="605">
        <v>22</v>
      </c>
      <c r="F159" s="605">
        <v>25</v>
      </c>
      <c r="G159" s="605">
        <v>12</v>
      </c>
    </row>
    <row r="160" spans="1:7" ht="15" customHeight="1">
      <c r="A160" s="607" t="s">
        <v>830</v>
      </c>
      <c r="B160" s="605">
        <v>19.213498014997793</v>
      </c>
      <c r="C160" s="605">
        <v>16.325540361711514</v>
      </c>
      <c r="D160" s="605">
        <v>25</v>
      </c>
      <c r="E160" s="605">
        <v>21</v>
      </c>
      <c r="F160" s="605">
        <v>28</v>
      </c>
      <c r="G160" s="605">
        <v>9</v>
      </c>
    </row>
    <row r="161" spans="1:7" ht="15" customHeight="1">
      <c r="A161" s="607" t="s">
        <v>829</v>
      </c>
      <c r="B161" s="608">
        <v>18.545040946314831</v>
      </c>
      <c r="C161" s="608">
        <v>15.978161965423112</v>
      </c>
      <c r="D161" s="608">
        <v>19.99174406604747</v>
      </c>
      <c r="E161" s="608">
        <v>15.540247678018575</v>
      </c>
      <c r="F161" s="608">
        <v>15.340298507462686</v>
      </c>
      <c r="G161" s="608">
        <v>10.411940298507462</v>
      </c>
    </row>
    <row r="162" spans="1:7" ht="15" customHeight="1">
      <c r="A162" s="604" t="s">
        <v>828</v>
      </c>
      <c r="B162" s="606">
        <v>17</v>
      </c>
      <c r="C162" s="606">
        <v>14</v>
      </c>
      <c r="D162" s="606">
        <v>18</v>
      </c>
      <c r="E162" s="606">
        <v>15</v>
      </c>
      <c r="F162" s="606">
        <v>26</v>
      </c>
      <c r="G162" s="606">
        <v>8</v>
      </c>
    </row>
    <row r="163" spans="1:7" ht="15" customHeight="1">
      <c r="A163" s="601" t="s">
        <v>39</v>
      </c>
      <c r="B163" s="602"/>
      <c r="C163" s="602"/>
      <c r="D163" s="602"/>
      <c r="E163" s="602"/>
      <c r="F163" s="602"/>
      <c r="G163" s="603"/>
    </row>
    <row r="164" spans="1:7" ht="15" customHeight="1">
      <c r="A164" s="604" t="s">
        <v>832</v>
      </c>
      <c r="B164" s="355">
        <v>24.838451168364291</v>
      </c>
      <c r="C164" s="355">
        <v>23.329763331336128</v>
      </c>
      <c r="D164" s="355">
        <v>33</v>
      </c>
      <c r="E164" s="355">
        <v>30</v>
      </c>
      <c r="F164" s="356">
        <v>28</v>
      </c>
      <c r="G164" s="355">
        <v>18</v>
      </c>
    </row>
    <row r="165" spans="1:7" ht="15" customHeight="1">
      <c r="A165" s="604" t="s">
        <v>831</v>
      </c>
      <c r="B165" s="605">
        <v>26.752552694437881</v>
      </c>
      <c r="C165" s="605">
        <v>25.278788356038532</v>
      </c>
      <c r="D165" s="605">
        <v>34</v>
      </c>
      <c r="E165" s="605">
        <v>32</v>
      </c>
      <c r="F165" s="605">
        <v>29</v>
      </c>
      <c r="G165" s="605">
        <v>18</v>
      </c>
    </row>
    <row r="166" spans="1:7" ht="15" customHeight="1">
      <c r="A166" s="607" t="s">
        <v>830</v>
      </c>
      <c r="B166" s="605">
        <v>27.843990114357936</v>
      </c>
      <c r="C166" s="605">
        <v>26.304805333238999</v>
      </c>
      <c r="D166" s="605">
        <v>35</v>
      </c>
      <c r="E166" s="605">
        <v>33</v>
      </c>
      <c r="F166" s="605">
        <v>30</v>
      </c>
      <c r="G166" s="605">
        <v>17</v>
      </c>
    </row>
    <row r="167" spans="1:7" ht="15" customHeight="1">
      <c r="A167" s="607" t="s">
        <v>829</v>
      </c>
      <c r="B167" s="608">
        <v>26.432280339277948</v>
      </c>
      <c r="C167" s="608">
        <v>25.239234449760765</v>
      </c>
      <c r="D167" s="608">
        <v>28.945770874313233</v>
      </c>
      <c r="E167" s="608">
        <v>24.678966289086347</v>
      </c>
      <c r="F167" s="608">
        <v>10.916188575704664</v>
      </c>
      <c r="G167" s="608">
        <v>20.465951608880019</v>
      </c>
    </row>
    <row r="168" spans="1:7" ht="15" customHeight="1">
      <c r="A168" s="604" t="s">
        <v>828</v>
      </c>
      <c r="B168" s="606">
        <v>21</v>
      </c>
      <c r="C168" s="606">
        <v>20</v>
      </c>
      <c r="D168" s="606">
        <v>23</v>
      </c>
      <c r="E168" s="606">
        <v>22</v>
      </c>
      <c r="F168" s="606">
        <v>24</v>
      </c>
      <c r="G168" s="606">
        <v>16</v>
      </c>
    </row>
    <row r="169" spans="1:7" ht="15" customHeight="1">
      <c r="A169" s="601" t="s">
        <v>40</v>
      </c>
      <c r="B169" s="602"/>
      <c r="C169" s="602"/>
      <c r="D169" s="602"/>
      <c r="E169" s="602"/>
      <c r="F169" s="602"/>
      <c r="G169" s="603"/>
    </row>
    <row r="170" spans="1:7" ht="15" customHeight="1">
      <c r="A170" s="604" t="s">
        <v>832</v>
      </c>
      <c r="B170" s="355">
        <v>12.576361638675246</v>
      </c>
      <c r="C170" s="355">
        <v>10.433526918851044</v>
      </c>
      <c r="D170" s="355">
        <v>19</v>
      </c>
      <c r="E170" s="355">
        <v>16</v>
      </c>
      <c r="F170" s="356">
        <v>15</v>
      </c>
      <c r="G170" s="355">
        <v>8</v>
      </c>
    </row>
    <row r="171" spans="1:7" ht="15" customHeight="1">
      <c r="A171" s="604" t="s">
        <v>831</v>
      </c>
      <c r="B171" s="605">
        <v>13.155638714067019</v>
      </c>
      <c r="C171" s="605">
        <v>11.29817996257867</v>
      </c>
      <c r="D171" s="605">
        <v>18</v>
      </c>
      <c r="E171" s="605">
        <v>15</v>
      </c>
      <c r="F171" s="605">
        <v>17</v>
      </c>
      <c r="G171" s="605">
        <v>9</v>
      </c>
    </row>
    <row r="172" spans="1:7" ht="15" customHeight="1">
      <c r="A172" s="607" t="s">
        <v>830</v>
      </c>
      <c r="B172" s="605">
        <v>13.497251897359586</v>
      </c>
      <c r="C172" s="605">
        <v>11.129433681952232</v>
      </c>
      <c r="D172" s="605">
        <v>15</v>
      </c>
      <c r="E172" s="605">
        <v>12</v>
      </c>
      <c r="F172" s="605">
        <v>19</v>
      </c>
      <c r="G172" s="605">
        <v>9</v>
      </c>
    </row>
    <row r="173" spans="1:7" ht="15" customHeight="1">
      <c r="A173" s="607" t="s">
        <v>829</v>
      </c>
      <c r="B173" s="608">
        <v>11.63791304347826</v>
      </c>
      <c r="C173" s="608">
        <v>10.013739130434782</v>
      </c>
      <c r="D173" s="608">
        <v>11.628343239227341</v>
      </c>
      <c r="E173" s="608">
        <v>7.7434992570579491</v>
      </c>
      <c r="F173" s="608">
        <v>6.682437275985663</v>
      </c>
      <c r="G173" s="608">
        <v>8.3111111111111118</v>
      </c>
    </row>
    <row r="174" spans="1:7" ht="15" customHeight="1">
      <c r="A174" s="604" t="s">
        <v>828</v>
      </c>
      <c r="B174" s="606">
        <v>10</v>
      </c>
      <c r="C174" s="606">
        <v>9</v>
      </c>
      <c r="D174" s="606">
        <v>10</v>
      </c>
      <c r="E174" s="606">
        <v>9</v>
      </c>
      <c r="F174" s="606">
        <v>11</v>
      </c>
      <c r="G174" s="606">
        <v>7</v>
      </c>
    </row>
    <row r="175" spans="1:7" ht="15.75" customHeight="1">
      <c r="A175" s="601" t="s">
        <v>41</v>
      </c>
      <c r="B175" s="602"/>
      <c r="C175" s="602"/>
      <c r="D175" s="602"/>
      <c r="E175" s="602"/>
      <c r="F175" s="602"/>
      <c r="G175" s="603"/>
    </row>
    <row r="176" spans="1:7" ht="15.75" customHeight="1">
      <c r="A176" s="604" t="s">
        <v>832</v>
      </c>
      <c r="B176" s="355">
        <v>16.697322937471192</v>
      </c>
      <c r="C176" s="355">
        <v>15.467660162851436</v>
      </c>
      <c r="D176" s="355">
        <v>24</v>
      </c>
      <c r="E176" s="355">
        <v>22</v>
      </c>
      <c r="F176" s="356">
        <v>23</v>
      </c>
      <c r="G176" s="355">
        <v>17</v>
      </c>
    </row>
    <row r="177" spans="1:7" ht="15" customHeight="1">
      <c r="A177" s="604" t="s">
        <v>831</v>
      </c>
      <c r="B177" s="605">
        <v>17.829878817256422</v>
      </c>
      <c r="C177" s="605">
        <v>17.045254483761511</v>
      </c>
      <c r="D177" s="605">
        <v>25</v>
      </c>
      <c r="E177" s="605">
        <v>24</v>
      </c>
      <c r="F177" s="605">
        <v>22</v>
      </c>
      <c r="G177" s="605">
        <v>17</v>
      </c>
    </row>
    <row r="178" spans="1:7" ht="15" customHeight="1">
      <c r="A178" s="607" t="s">
        <v>830</v>
      </c>
      <c r="B178" s="605">
        <v>20.73148419746936</v>
      </c>
      <c r="C178" s="605">
        <v>20.17988969396923</v>
      </c>
      <c r="D178" s="605">
        <v>27</v>
      </c>
      <c r="E178" s="605">
        <v>26</v>
      </c>
      <c r="F178" s="605">
        <v>31</v>
      </c>
      <c r="G178" s="605">
        <v>27</v>
      </c>
    </row>
    <row r="179" spans="1:7" ht="15" customHeight="1">
      <c r="A179" s="607" t="s">
        <v>829</v>
      </c>
      <c r="B179" s="608">
        <v>17.933858452397239</v>
      </c>
      <c r="C179" s="608">
        <v>16.888063639739656</v>
      </c>
      <c r="D179" s="608">
        <v>19.420013875266143</v>
      </c>
      <c r="E179" s="608">
        <v>14.8176837874692</v>
      </c>
      <c r="F179" s="608">
        <v>6.921862871927555</v>
      </c>
      <c r="G179" s="608">
        <v>17.965847347994824</v>
      </c>
    </row>
    <row r="180" spans="1:7" ht="15" customHeight="1">
      <c r="A180" s="604" t="s">
        <v>828</v>
      </c>
      <c r="B180" s="606">
        <v>16</v>
      </c>
      <c r="C180" s="606">
        <v>15</v>
      </c>
      <c r="D180" s="606">
        <v>17</v>
      </c>
      <c r="E180" s="606">
        <v>16</v>
      </c>
      <c r="F180" s="606">
        <v>22</v>
      </c>
      <c r="G180" s="606">
        <v>17</v>
      </c>
    </row>
    <row r="181" spans="1:7" ht="15" customHeight="1">
      <c r="A181" s="601" t="s">
        <v>42</v>
      </c>
      <c r="B181" s="602"/>
      <c r="C181" s="602"/>
      <c r="D181" s="602"/>
      <c r="E181" s="602"/>
      <c r="F181" s="602"/>
      <c r="G181" s="603"/>
    </row>
    <row r="182" spans="1:7" ht="15" customHeight="1">
      <c r="A182" s="604" t="s">
        <v>832</v>
      </c>
      <c r="B182" s="355">
        <v>28.516445455367876</v>
      </c>
      <c r="C182" s="355">
        <v>26.234798454321052</v>
      </c>
      <c r="D182" s="355">
        <v>37</v>
      </c>
      <c r="E182" s="355">
        <v>34</v>
      </c>
      <c r="F182" s="356">
        <v>32</v>
      </c>
      <c r="G182" s="355">
        <v>19</v>
      </c>
    </row>
    <row r="183" spans="1:7" ht="15" customHeight="1">
      <c r="A183" s="604" t="s">
        <v>831</v>
      </c>
      <c r="B183" s="605">
        <v>29.321587328381725</v>
      </c>
      <c r="C183" s="605">
        <v>27.346092167454422</v>
      </c>
      <c r="D183" s="605">
        <v>38</v>
      </c>
      <c r="E183" s="605">
        <v>36</v>
      </c>
      <c r="F183" s="605">
        <v>29</v>
      </c>
      <c r="G183" s="605">
        <v>18</v>
      </c>
    </row>
    <row r="184" spans="1:7" ht="15" customHeight="1">
      <c r="A184" s="607" t="s">
        <v>830</v>
      </c>
      <c r="B184" s="605">
        <v>32.245882244738198</v>
      </c>
      <c r="C184" s="605">
        <v>29.613389947294618</v>
      </c>
      <c r="D184" s="605">
        <v>41</v>
      </c>
      <c r="E184" s="605">
        <v>38</v>
      </c>
      <c r="F184" s="605">
        <v>40</v>
      </c>
      <c r="G184" s="605">
        <v>24</v>
      </c>
    </row>
    <row r="185" spans="1:7" ht="15" customHeight="1">
      <c r="A185" s="607" t="s">
        <v>829</v>
      </c>
      <c r="B185" s="608">
        <v>27.178403967538323</v>
      </c>
      <c r="C185" s="608">
        <v>24.930132251277428</v>
      </c>
      <c r="D185" s="608">
        <v>28.912355154750262</v>
      </c>
      <c r="E185" s="608">
        <v>23.530742834408102</v>
      </c>
      <c r="F185" s="608">
        <v>16.164666450427074</v>
      </c>
      <c r="G185" s="608">
        <v>18.934803762568926</v>
      </c>
    </row>
    <row r="186" spans="1:7" ht="15" customHeight="1">
      <c r="A186" s="604" t="s">
        <v>828</v>
      </c>
      <c r="B186" s="606">
        <v>26</v>
      </c>
      <c r="C186" s="606">
        <v>24</v>
      </c>
      <c r="D186" s="606">
        <v>27</v>
      </c>
      <c r="E186" s="606">
        <v>26</v>
      </c>
      <c r="F186" s="606">
        <v>36</v>
      </c>
      <c r="G186" s="606">
        <v>26</v>
      </c>
    </row>
    <row r="187" spans="1:7" ht="15" customHeight="1">
      <c r="A187" s="601" t="s">
        <v>43</v>
      </c>
      <c r="B187" s="602"/>
      <c r="C187" s="602"/>
      <c r="D187" s="602"/>
      <c r="E187" s="602"/>
      <c r="F187" s="602"/>
      <c r="G187" s="603"/>
    </row>
    <row r="188" spans="1:7" ht="15" customHeight="1">
      <c r="A188" s="604" t="s">
        <v>832</v>
      </c>
      <c r="B188" s="355">
        <v>33.939801285797778</v>
      </c>
      <c r="C188" s="355">
        <v>13.866160140268848</v>
      </c>
      <c r="D188" s="355">
        <v>97</v>
      </c>
      <c r="E188" s="355">
        <v>38</v>
      </c>
      <c r="F188" s="356">
        <v>44</v>
      </c>
      <c r="G188" s="355">
        <v>10</v>
      </c>
    </row>
    <row r="189" spans="1:7" ht="15" customHeight="1">
      <c r="A189" s="604" t="s">
        <v>831</v>
      </c>
      <c r="B189" s="605">
        <v>26.580562659846546</v>
      </c>
      <c r="C189" s="605">
        <v>14.51918158567775</v>
      </c>
      <c r="D189" s="605">
        <v>82</v>
      </c>
      <c r="E189" s="605">
        <v>44</v>
      </c>
      <c r="F189" s="605">
        <v>30</v>
      </c>
      <c r="G189" s="605">
        <v>10</v>
      </c>
    </row>
    <row r="190" spans="1:7" ht="15" customHeight="1">
      <c r="A190" s="607" t="s">
        <v>830</v>
      </c>
      <c r="B190" s="605">
        <v>19.55520913398512</v>
      </c>
      <c r="C190" s="605">
        <v>13.975977846055249</v>
      </c>
      <c r="D190" s="605">
        <v>30</v>
      </c>
      <c r="E190" s="605">
        <v>21</v>
      </c>
      <c r="F190" s="605">
        <v>19</v>
      </c>
      <c r="G190" s="605">
        <v>10</v>
      </c>
    </row>
    <row r="191" spans="1:7" ht="15" customHeight="1">
      <c r="A191" s="607" t="s">
        <v>829</v>
      </c>
      <c r="B191" s="608">
        <v>22.357910906298002</v>
      </c>
      <c r="C191" s="608">
        <v>14.194316436251921</v>
      </c>
      <c r="D191" s="608">
        <v>23.524050632911393</v>
      </c>
      <c r="E191" s="608">
        <v>8.4109704641350209</v>
      </c>
      <c r="F191" s="608">
        <v>14.040951122853368</v>
      </c>
      <c r="G191" s="608">
        <v>9.6169088507265528</v>
      </c>
    </row>
    <row r="192" spans="1:7" ht="15" customHeight="1">
      <c r="A192" s="604" t="s">
        <v>828</v>
      </c>
      <c r="B192" s="606">
        <v>21</v>
      </c>
      <c r="C192" s="606">
        <v>12</v>
      </c>
      <c r="D192" s="606">
        <v>22</v>
      </c>
      <c r="E192" s="606">
        <v>13</v>
      </c>
      <c r="F192" s="606">
        <v>22</v>
      </c>
      <c r="G192" s="606">
        <v>9</v>
      </c>
    </row>
    <row r="193" spans="1:7" ht="15" customHeight="1">
      <c r="A193" s="601" t="s">
        <v>44</v>
      </c>
      <c r="B193" s="602"/>
      <c r="C193" s="602"/>
      <c r="D193" s="602"/>
      <c r="E193" s="602"/>
      <c r="F193" s="602"/>
      <c r="G193" s="603"/>
    </row>
    <row r="194" spans="1:7" ht="15" customHeight="1">
      <c r="A194" s="604" t="s">
        <v>832</v>
      </c>
      <c r="B194" s="355">
        <v>17.419952000395874</v>
      </c>
      <c r="C194" s="355">
        <v>14.758586733305293</v>
      </c>
      <c r="D194" s="355">
        <v>21</v>
      </c>
      <c r="E194" s="355">
        <v>18</v>
      </c>
      <c r="F194" s="356">
        <v>34</v>
      </c>
      <c r="G194" s="355">
        <v>14</v>
      </c>
    </row>
    <row r="195" spans="1:7" ht="15" customHeight="1">
      <c r="A195" s="604" t="s">
        <v>831</v>
      </c>
      <c r="B195" s="605">
        <v>17.419989489420541</v>
      </c>
      <c r="C195" s="605">
        <v>15.345262330797528</v>
      </c>
      <c r="D195" s="605">
        <v>21</v>
      </c>
      <c r="E195" s="605">
        <v>18</v>
      </c>
      <c r="F195" s="605">
        <v>31</v>
      </c>
      <c r="G195" s="605">
        <v>15</v>
      </c>
    </row>
    <row r="196" spans="1:7" ht="15" customHeight="1">
      <c r="A196" s="607" t="s">
        <v>830</v>
      </c>
      <c r="B196" s="605">
        <v>17.893629462331123</v>
      </c>
      <c r="C196" s="605">
        <v>15.471299769143396</v>
      </c>
      <c r="D196" s="605">
        <v>21</v>
      </c>
      <c r="E196" s="605">
        <v>18</v>
      </c>
      <c r="F196" s="605">
        <v>35</v>
      </c>
      <c r="G196" s="605">
        <v>14</v>
      </c>
    </row>
    <row r="197" spans="1:7" ht="15" customHeight="1">
      <c r="A197" s="607" t="s">
        <v>829</v>
      </c>
      <c r="B197" s="608">
        <v>17.716724822903746</v>
      </c>
      <c r="C197" s="608">
        <v>15.086146553717445</v>
      </c>
      <c r="D197" s="608">
        <v>18.099125487685562</v>
      </c>
      <c r="E197" s="608">
        <v>13.19003128434937</v>
      </c>
      <c r="F197" s="608">
        <v>23.279335844844425</v>
      </c>
      <c r="G197" s="608">
        <v>14.525324403516116</v>
      </c>
    </row>
    <row r="198" spans="1:7" ht="15" customHeight="1">
      <c r="A198" s="604" t="s">
        <v>828</v>
      </c>
      <c r="B198" s="606">
        <v>15</v>
      </c>
      <c r="C198" s="606">
        <v>13</v>
      </c>
      <c r="D198" s="606">
        <v>16</v>
      </c>
      <c r="E198" s="606">
        <v>13</v>
      </c>
      <c r="F198" s="606">
        <v>29</v>
      </c>
      <c r="G198" s="606">
        <v>11</v>
      </c>
    </row>
    <row r="199" spans="1:7" ht="15" customHeight="1">
      <c r="A199" s="601" t="s">
        <v>134</v>
      </c>
      <c r="B199" s="602"/>
      <c r="C199" s="602"/>
      <c r="D199" s="602"/>
      <c r="E199" s="602"/>
      <c r="F199" s="602"/>
      <c r="G199" s="603"/>
    </row>
    <row r="200" spans="1:7" ht="15" customHeight="1">
      <c r="A200" s="604" t="s">
        <v>832</v>
      </c>
      <c r="B200" s="355">
        <v>16.802389272456864</v>
      </c>
      <c r="C200" s="355">
        <v>16.128084833681971</v>
      </c>
      <c r="D200" s="355">
        <v>18</v>
      </c>
      <c r="E200" s="355">
        <v>17</v>
      </c>
      <c r="F200" s="356">
        <v>28</v>
      </c>
      <c r="G200" s="355">
        <v>15</v>
      </c>
    </row>
    <row r="201" spans="1:7" ht="15" customHeight="1">
      <c r="A201" s="604" t="s">
        <v>831</v>
      </c>
      <c r="B201" s="605">
        <v>17.760165840782889</v>
      </c>
      <c r="C201" s="605">
        <v>17.107696904803408</v>
      </c>
      <c r="D201" s="605">
        <v>19</v>
      </c>
      <c r="E201" s="605">
        <v>18</v>
      </c>
      <c r="F201" s="605">
        <v>30</v>
      </c>
      <c r="G201" s="605">
        <v>18</v>
      </c>
    </row>
    <row r="202" spans="1:7" ht="15" customHeight="1">
      <c r="A202" s="607" t="s">
        <v>830</v>
      </c>
      <c r="B202" s="605">
        <v>19.09159021606353</v>
      </c>
      <c r="C202" s="605">
        <v>18.460883482319481</v>
      </c>
      <c r="D202" s="605">
        <v>20</v>
      </c>
      <c r="E202" s="605">
        <v>19</v>
      </c>
      <c r="F202" s="605">
        <v>42</v>
      </c>
      <c r="G202" s="605">
        <v>25</v>
      </c>
    </row>
    <row r="203" spans="1:7" ht="15" customHeight="1">
      <c r="A203" s="607" t="s">
        <v>829</v>
      </c>
      <c r="B203" s="608">
        <v>17.080443531632497</v>
      </c>
      <c r="C203" s="608">
        <v>16.521185283677418</v>
      </c>
      <c r="D203" s="608">
        <v>16.260973195446613</v>
      </c>
      <c r="E203" s="608">
        <v>14.919234676600068</v>
      </c>
      <c r="F203" s="608">
        <v>15.734134936539746</v>
      </c>
      <c r="G203" s="608">
        <v>18.673346693386772</v>
      </c>
    </row>
    <row r="204" spans="1:7" ht="15" customHeight="1">
      <c r="A204" s="604" t="s">
        <v>828</v>
      </c>
      <c r="B204" s="606">
        <v>16</v>
      </c>
      <c r="C204" s="606">
        <v>14</v>
      </c>
      <c r="D204" s="606">
        <v>16</v>
      </c>
      <c r="E204" s="606">
        <v>14</v>
      </c>
      <c r="F204" s="606">
        <v>67</v>
      </c>
      <c r="G204" s="606">
        <v>15</v>
      </c>
    </row>
    <row r="205" spans="1:7" ht="15" customHeight="1">
      <c r="A205" s="601" t="s">
        <v>45</v>
      </c>
      <c r="B205" s="602"/>
      <c r="C205" s="602"/>
      <c r="D205" s="602"/>
      <c r="E205" s="602"/>
      <c r="F205" s="602"/>
      <c r="G205" s="603"/>
    </row>
    <row r="206" spans="1:7" ht="15" customHeight="1">
      <c r="A206" s="604" t="s">
        <v>832</v>
      </c>
      <c r="B206" s="355">
        <v>35.772293654085445</v>
      </c>
      <c r="C206" s="355">
        <v>30.459975114060555</v>
      </c>
      <c r="D206" s="355">
        <v>44</v>
      </c>
      <c r="E206" s="355">
        <v>37</v>
      </c>
      <c r="F206" s="356">
        <v>59</v>
      </c>
      <c r="G206" s="355">
        <v>25</v>
      </c>
    </row>
    <row r="207" spans="1:7" ht="15" customHeight="1">
      <c r="A207" s="604" t="s">
        <v>831</v>
      </c>
      <c r="B207" s="605">
        <v>33.160785886126703</v>
      </c>
      <c r="C207" s="605">
        <v>28.120288692862871</v>
      </c>
      <c r="D207" s="605">
        <v>42</v>
      </c>
      <c r="E207" s="605">
        <v>36</v>
      </c>
      <c r="F207" s="605">
        <v>45</v>
      </c>
      <c r="G207" s="605">
        <v>19</v>
      </c>
    </row>
    <row r="208" spans="1:7" ht="15" customHeight="1">
      <c r="A208" s="607" t="s">
        <v>830</v>
      </c>
      <c r="B208" s="605">
        <v>37.42097620150583</v>
      </c>
      <c r="C208" s="605">
        <v>28.205465997424195</v>
      </c>
      <c r="D208" s="605">
        <v>48</v>
      </c>
      <c r="E208" s="605">
        <v>36</v>
      </c>
      <c r="F208" s="605">
        <v>51</v>
      </c>
      <c r="G208" s="605">
        <v>6</v>
      </c>
    </row>
    <row r="209" spans="1:7" ht="15" customHeight="1">
      <c r="A209" s="607" t="s">
        <v>829</v>
      </c>
      <c r="B209" s="608">
        <v>34.728410513141426</v>
      </c>
      <c r="C209" s="608">
        <v>29.76595744680851</v>
      </c>
      <c r="D209" s="608">
        <v>37.031588447653426</v>
      </c>
      <c r="E209" s="608">
        <v>28.317238267148014</v>
      </c>
      <c r="F209" s="608">
        <v>27.697183098591548</v>
      </c>
      <c r="G209" s="608">
        <v>17.633802816901408</v>
      </c>
    </row>
    <row r="210" spans="1:7" ht="15" customHeight="1">
      <c r="A210" s="604" t="s">
        <v>828</v>
      </c>
      <c r="B210" s="606">
        <v>30</v>
      </c>
      <c r="C210" s="606">
        <v>26</v>
      </c>
      <c r="D210" s="606">
        <v>31</v>
      </c>
      <c r="E210" s="606">
        <v>26</v>
      </c>
      <c r="F210" s="606">
        <v>58</v>
      </c>
      <c r="G210" s="606">
        <v>25</v>
      </c>
    </row>
    <row r="211" spans="1:7" ht="15" customHeight="1">
      <c r="A211" s="601" t="s">
        <v>47</v>
      </c>
      <c r="B211" s="602"/>
      <c r="C211" s="602"/>
      <c r="D211" s="602"/>
      <c r="E211" s="602"/>
      <c r="F211" s="602"/>
      <c r="G211" s="603"/>
    </row>
    <row r="212" spans="1:7" ht="15" customHeight="1">
      <c r="A212" s="604" t="s">
        <v>832</v>
      </c>
      <c r="B212" s="355">
        <v>39.570450758490821</v>
      </c>
      <c r="C212" s="355">
        <v>38.787139414887356</v>
      </c>
      <c r="D212" s="355">
        <v>49</v>
      </c>
      <c r="E212" s="355">
        <v>48</v>
      </c>
      <c r="F212" s="356">
        <v>26</v>
      </c>
      <c r="G212" s="355">
        <v>20</v>
      </c>
    </row>
    <row r="213" spans="1:7" ht="15" customHeight="1">
      <c r="A213" s="604" t="s">
        <v>831</v>
      </c>
      <c r="B213" s="605">
        <v>45.6106360027919</v>
      </c>
      <c r="C213" s="605">
        <v>44.164700822763841</v>
      </c>
      <c r="D213" s="605">
        <v>57</v>
      </c>
      <c r="E213" s="605">
        <v>55</v>
      </c>
      <c r="F213" s="605">
        <v>32</v>
      </c>
      <c r="G213" s="605">
        <v>21</v>
      </c>
    </row>
    <row r="214" spans="1:7" ht="15" customHeight="1">
      <c r="A214" s="607" t="s">
        <v>830</v>
      </c>
      <c r="B214" s="605">
        <v>60.09192825364557</v>
      </c>
      <c r="C214" s="605">
        <v>58.353143054669545</v>
      </c>
      <c r="D214" s="605">
        <v>74</v>
      </c>
      <c r="E214" s="605">
        <v>72</v>
      </c>
      <c r="F214" s="605">
        <v>37</v>
      </c>
      <c r="G214" s="605">
        <v>23</v>
      </c>
    </row>
    <row r="215" spans="1:7" ht="15" customHeight="1">
      <c r="A215" s="607" t="s">
        <v>829</v>
      </c>
      <c r="B215" s="608">
        <v>41.546714973889813</v>
      </c>
      <c r="C215" s="608">
        <v>40.769481439501277</v>
      </c>
      <c r="D215" s="608">
        <v>44.453036188305163</v>
      </c>
      <c r="E215" s="608">
        <v>41.131375695496331</v>
      </c>
      <c r="F215" s="608">
        <v>6.7905575087895533</v>
      </c>
      <c r="G215" s="608">
        <v>21.02021597187343</v>
      </c>
    </row>
    <row r="216" spans="1:7" ht="15" customHeight="1">
      <c r="A216" s="604" t="s">
        <v>828</v>
      </c>
      <c r="B216" s="606">
        <v>34</v>
      </c>
      <c r="C216" s="606">
        <v>34</v>
      </c>
      <c r="D216" s="606">
        <v>36</v>
      </c>
      <c r="E216" s="606">
        <v>35</v>
      </c>
      <c r="F216" s="606">
        <v>22</v>
      </c>
      <c r="G216" s="606">
        <v>17</v>
      </c>
    </row>
    <row r="217" spans="1:7" ht="15" customHeight="1">
      <c r="A217" s="601" t="s">
        <v>58</v>
      </c>
      <c r="B217" s="602"/>
      <c r="C217" s="602"/>
      <c r="D217" s="602"/>
      <c r="E217" s="602"/>
      <c r="F217" s="602"/>
      <c r="G217" s="603"/>
    </row>
    <row r="218" spans="1:7" ht="15" customHeight="1">
      <c r="A218" s="604" t="s">
        <v>832</v>
      </c>
      <c r="B218" s="355">
        <v>26.934530959921371</v>
      </c>
      <c r="C218" s="355">
        <v>22.484274325652507</v>
      </c>
      <c r="D218" s="355">
        <v>46</v>
      </c>
      <c r="E218" s="355">
        <v>38</v>
      </c>
      <c r="F218" s="356">
        <v>36</v>
      </c>
      <c r="G218" s="355">
        <v>22</v>
      </c>
    </row>
    <row r="219" spans="1:7" ht="15" customHeight="1">
      <c r="A219" s="604" t="s">
        <v>831</v>
      </c>
      <c r="B219" s="605">
        <v>26.739093193238922</v>
      </c>
      <c r="C219" s="605">
        <v>23.306190041114665</v>
      </c>
      <c r="D219" s="605">
        <v>46</v>
      </c>
      <c r="E219" s="605">
        <v>40</v>
      </c>
      <c r="F219" s="605">
        <v>33</v>
      </c>
      <c r="G219" s="605">
        <v>23</v>
      </c>
    </row>
    <row r="220" spans="1:7" ht="15" customHeight="1">
      <c r="A220" s="607" t="s">
        <v>830</v>
      </c>
      <c r="B220" s="605">
        <v>27.720380157093551</v>
      </c>
      <c r="C220" s="605">
        <v>24.341940080999702</v>
      </c>
      <c r="D220" s="605">
        <v>46</v>
      </c>
      <c r="E220" s="605">
        <v>40</v>
      </c>
      <c r="F220" s="605">
        <v>33</v>
      </c>
      <c r="G220" s="605">
        <v>22</v>
      </c>
    </row>
    <row r="221" spans="1:7" ht="15" customHeight="1">
      <c r="A221" s="607" t="s">
        <v>829</v>
      </c>
      <c r="B221" s="608">
        <v>26.467364290385873</v>
      </c>
      <c r="C221" s="608">
        <v>23.843557880967953</v>
      </c>
      <c r="D221" s="608">
        <v>28.40658929239985</v>
      </c>
      <c r="E221" s="608">
        <v>17.788169225009359</v>
      </c>
      <c r="F221" s="608">
        <v>9.1990804597701157</v>
      </c>
      <c r="G221" s="608">
        <v>23.400689655172414</v>
      </c>
    </row>
    <row r="222" spans="1:7" ht="15" customHeight="1">
      <c r="A222" s="604" t="s">
        <v>828</v>
      </c>
      <c r="B222" s="606">
        <v>22</v>
      </c>
      <c r="C222" s="606">
        <v>20</v>
      </c>
      <c r="D222" s="606">
        <v>23</v>
      </c>
      <c r="E222" s="606">
        <v>22</v>
      </c>
      <c r="F222" s="606">
        <v>24</v>
      </c>
      <c r="G222" s="606">
        <v>18</v>
      </c>
    </row>
    <row r="223" spans="1:7" ht="15" customHeight="1">
      <c r="A223" s="601" t="s">
        <v>48</v>
      </c>
      <c r="B223" s="602"/>
      <c r="C223" s="602"/>
      <c r="D223" s="602"/>
      <c r="E223" s="602"/>
      <c r="F223" s="602"/>
      <c r="G223" s="603"/>
    </row>
    <row r="224" spans="1:7" ht="15" customHeight="1">
      <c r="A224" s="604" t="s">
        <v>832</v>
      </c>
      <c r="B224" s="355">
        <v>32.967580020138527</v>
      </c>
      <c r="C224" s="355">
        <v>30.109190492173436</v>
      </c>
      <c r="D224" s="355">
        <v>40</v>
      </c>
      <c r="E224" s="355">
        <v>36</v>
      </c>
      <c r="F224" s="356">
        <v>43</v>
      </c>
      <c r="G224" s="355">
        <v>19</v>
      </c>
    </row>
    <row r="225" spans="1:7" ht="15" customHeight="1">
      <c r="A225" s="604" t="s">
        <v>831</v>
      </c>
      <c r="B225" s="605">
        <v>34.912610693122048</v>
      </c>
      <c r="C225" s="605">
        <v>31.547556428523869</v>
      </c>
      <c r="D225" s="605">
        <v>42</v>
      </c>
      <c r="E225" s="605">
        <v>38</v>
      </c>
      <c r="F225" s="605">
        <v>50</v>
      </c>
      <c r="G225" s="605">
        <v>21</v>
      </c>
    </row>
    <row r="226" spans="1:7" ht="15" customHeight="1">
      <c r="A226" s="607" t="s">
        <v>830</v>
      </c>
      <c r="B226" s="605">
        <v>36.915814476356253</v>
      </c>
      <c r="C226" s="605">
        <v>33.071946620249491</v>
      </c>
      <c r="D226" s="605">
        <v>44</v>
      </c>
      <c r="E226" s="605">
        <v>39</v>
      </c>
      <c r="F226" s="605">
        <v>58</v>
      </c>
      <c r="G226" s="605">
        <v>20</v>
      </c>
    </row>
    <row r="227" spans="1:7" ht="15" customHeight="1">
      <c r="A227" s="607" t="s">
        <v>829</v>
      </c>
      <c r="B227" s="608">
        <v>41.521553765987683</v>
      </c>
      <c r="C227" s="608">
        <v>37.587131588161391</v>
      </c>
      <c r="D227" s="608">
        <v>45.367948257276318</v>
      </c>
      <c r="E227" s="608">
        <v>38.284848484848482</v>
      </c>
      <c r="F227" s="608">
        <v>37.157303370786515</v>
      </c>
      <c r="G227" s="608">
        <v>21.128523556081213</v>
      </c>
    </row>
    <row r="228" spans="1:7" ht="15" customHeight="1">
      <c r="A228" s="604" t="s">
        <v>828</v>
      </c>
      <c r="B228" s="606">
        <v>36</v>
      </c>
      <c r="C228" s="606">
        <v>32</v>
      </c>
      <c r="D228" s="606">
        <v>38</v>
      </c>
      <c r="E228" s="606">
        <v>34</v>
      </c>
      <c r="F228" s="606">
        <v>38</v>
      </c>
      <c r="G228" s="606">
        <v>13</v>
      </c>
    </row>
  </sheetData>
  <mergeCells count="4">
    <mergeCell ref="A2:A3"/>
    <mergeCell ref="B2:C2"/>
    <mergeCell ref="D2:E2"/>
    <mergeCell ref="F2:G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4" firstPageNumber="2" pageOrder="overThenDown" orientation="portrait" useFirstPageNumber="1" r:id="rId1"/>
  <headerFooter alignWithMargins="0">
    <oddFooter>&amp;L     AISHE 2019-20&amp;CT-49</oddFooter>
  </headerFooter>
  <rowBreaks count="3" manualBreakCount="3">
    <brk id="64" max="6" man="1"/>
    <brk id="126" max="6" man="1"/>
    <brk id="186" max="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7030A0"/>
  </sheetPr>
  <dimension ref="A1:AB78"/>
  <sheetViews>
    <sheetView showZeros="0" view="pageBreakPreview" zoomScale="85" zoomScaleSheetLayoutView="85" workbookViewId="0">
      <pane xSplit="1" ySplit="3" topLeftCell="S51" activePane="bottomRight" state="frozen"/>
      <selection activeCell="A20" sqref="A20"/>
      <selection pane="topRight" activeCell="A20" sqref="A20"/>
      <selection pane="bottomLeft" activeCell="A20" sqref="A20"/>
      <selection pane="bottomRight" activeCell="S36" sqref="S36"/>
    </sheetView>
  </sheetViews>
  <sheetFormatPr defaultColWidth="9.140625" defaultRowHeight="14.25"/>
  <cols>
    <col min="1" max="1" width="31.140625" style="611" customWidth="1"/>
    <col min="2" max="28" width="9.5703125" style="611" customWidth="1"/>
    <col min="29" max="16384" width="9.140625" style="611"/>
  </cols>
  <sheetData>
    <row r="1" spans="1:28" s="597" customFormat="1" ht="24.75" customHeight="1">
      <c r="A1" s="593" t="s">
        <v>845</v>
      </c>
      <c r="B1" s="594" t="s">
        <v>886</v>
      </c>
      <c r="K1" s="594" t="str">
        <f>B1</f>
        <v>Enrolment by University Type at various levels during last 5 years</v>
      </c>
      <c r="T1" s="594" t="str">
        <f>B1</f>
        <v>Enrolment by University Type at various levels during last 5 years</v>
      </c>
      <c r="U1" s="594"/>
      <c r="V1" s="594"/>
      <c r="W1" s="594"/>
      <c r="X1" s="594"/>
      <c r="Y1" s="594"/>
      <c r="Z1" s="594"/>
      <c r="AA1" s="594"/>
    </row>
    <row r="2" spans="1:28" ht="21.75" customHeight="1">
      <c r="A2" s="998" t="s">
        <v>713</v>
      </c>
      <c r="B2" s="999" t="s">
        <v>89</v>
      </c>
      <c r="C2" s="1000"/>
      <c r="D2" s="1000"/>
      <c r="E2" s="999" t="s">
        <v>90</v>
      </c>
      <c r="F2" s="1000"/>
      <c r="G2" s="1000"/>
      <c r="H2" s="999" t="s">
        <v>85</v>
      </c>
      <c r="I2" s="1000"/>
      <c r="J2" s="1000"/>
      <c r="K2" s="999" t="s">
        <v>86</v>
      </c>
      <c r="L2" s="1000"/>
      <c r="M2" s="1000"/>
      <c r="N2" s="999" t="s">
        <v>91</v>
      </c>
      <c r="O2" s="1000"/>
      <c r="P2" s="1000"/>
      <c r="Q2" s="999" t="s">
        <v>92</v>
      </c>
      <c r="R2" s="1000"/>
      <c r="S2" s="1000"/>
      <c r="T2" s="999" t="s">
        <v>93</v>
      </c>
      <c r="U2" s="1000"/>
      <c r="V2" s="1000"/>
      <c r="W2" s="999" t="s">
        <v>94</v>
      </c>
      <c r="X2" s="1000"/>
      <c r="Y2" s="1000"/>
      <c r="Z2" s="999" t="s">
        <v>60</v>
      </c>
      <c r="AA2" s="1000"/>
      <c r="AB2" s="1000"/>
    </row>
    <row r="3" spans="1:28" ht="15">
      <c r="A3" s="1001"/>
      <c r="B3" s="688" t="s">
        <v>87</v>
      </c>
      <c r="C3" s="688" t="s">
        <v>88</v>
      </c>
      <c r="D3" s="688" t="s">
        <v>714</v>
      </c>
      <c r="E3" s="688" t="s">
        <v>87</v>
      </c>
      <c r="F3" s="688" t="s">
        <v>88</v>
      </c>
      <c r="G3" s="688" t="s">
        <v>714</v>
      </c>
      <c r="H3" s="688" t="s">
        <v>87</v>
      </c>
      <c r="I3" s="688" t="s">
        <v>88</v>
      </c>
      <c r="J3" s="688" t="s">
        <v>714</v>
      </c>
      <c r="K3" s="688" t="s">
        <v>87</v>
      </c>
      <c r="L3" s="688" t="s">
        <v>88</v>
      </c>
      <c r="M3" s="688" t="s">
        <v>714</v>
      </c>
      <c r="N3" s="688" t="s">
        <v>87</v>
      </c>
      <c r="O3" s="688" t="s">
        <v>88</v>
      </c>
      <c r="P3" s="688" t="s">
        <v>714</v>
      </c>
      <c r="Q3" s="688" t="s">
        <v>87</v>
      </c>
      <c r="R3" s="688" t="s">
        <v>88</v>
      </c>
      <c r="S3" s="688" t="s">
        <v>714</v>
      </c>
      <c r="T3" s="688" t="s">
        <v>87</v>
      </c>
      <c r="U3" s="688" t="s">
        <v>88</v>
      </c>
      <c r="V3" s="688" t="s">
        <v>714</v>
      </c>
      <c r="W3" s="688" t="s">
        <v>87</v>
      </c>
      <c r="X3" s="688" t="s">
        <v>88</v>
      </c>
      <c r="Y3" s="688" t="s">
        <v>714</v>
      </c>
      <c r="Z3" s="688" t="s">
        <v>87</v>
      </c>
      <c r="AA3" s="688" t="s">
        <v>88</v>
      </c>
      <c r="AB3" s="689" t="s">
        <v>714</v>
      </c>
    </row>
    <row r="4" spans="1:28" ht="15">
      <c r="A4" s="732">
        <v>1</v>
      </c>
      <c r="B4" s="733">
        <v>2</v>
      </c>
      <c r="C4" s="732">
        <v>3</v>
      </c>
      <c r="D4" s="733">
        <v>4</v>
      </c>
      <c r="E4" s="732">
        <v>5</v>
      </c>
      <c r="F4" s="733">
        <v>6</v>
      </c>
      <c r="G4" s="732">
        <v>7</v>
      </c>
      <c r="H4" s="733">
        <v>8</v>
      </c>
      <c r="I4" s="732">
        <v>9</v>
      </c>
      <c r="J4" s="733">
        <v>10</v>
      </c>
      <c r="K4" s="732">
        <v>11</v>
      </c>
      <c r="L4" s="733">
        <v>12</v>
      </c>
      <c r="M4" s="732">
        <v>13</v>
      </c>
      <c r="N4" s="733">
        <v>14</v>
      </c>
      <c r="O4" s="732">
        <v>15</v>
      </c>
      <c r="P4" s="733">
        <v>16</v>
      </c>
      <c r="Q4" s="732">
        <v>17</v>
      </c>
      <c r="R4" s="733">
        <v>18</v>
      </c>
      <c r="S4" s="732">
        <v>19</v>
      </c>
      <c r="T4" s="733">
        <v>20</v>
      </c>
      <c r="U4" s="732">
        <v>21</v>
      </c>
      <c r="V4" s="733">
        <v>22</v>
      </c>
      <c r="W4" s="732">
        <v>23</v>
      </c>
      <c r="X4" s="733">
        <v>24</v>
      </c>
      <c r="Y4" s="732">
        <v>25</v>
      </c>
      <c r="Z4" s="733">
        <v>26</v>
      </c>
      <c r="AA4" s="732">
        <v>27</v>
      </c>
      <c r="AB4" s="733">
        <v>28</v>
      </c>
    </row>
    <row r="5" spans="1:28" ht="16.899999999999999" customHeight="1">
      <c r="A5" s="641" t="s">
        <v>846</v>
      </c>
      <c r="B5" s="687"/>
      <c r="C5" s="687"/>
      <c r="D5" s="687"/>
      <c r="E5" s="687"/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</row>
    <row r="6" spans="1:28" ht="16.899999999999999" customHeight="1">
      <c r="A6" s="615" t="s">
        <v>832</v>
      </c>
      <c r="B6" s="616">
        <v>99659</v>
      </c>
      <c r="C6" s="616">
        <v>78217</v>
      </c>
      <c r="D6" s="616">
        <v>177876</v>
      </c>
      <c r="E6" s="616">
        <v>6461</v>
      </c>
      <c r="F6" s="616">
        <v>9413</v>
      </c>
      <c r="G6" s="616">
        <v>15874</v>
      </c>
      <c r="H6" s="616">
        <v>983466</v>
      </c>
      <c r="I6" s="616">
        <v>1113085</v>
      </c>
      <c r="J6" s="616">
        <v>2096551</v>
      </c>
      <c r="K6" s="616">
        <v>3160539</v>
      </c>
      <c r="L6" s="616">
        <v>2061807</v>
      </c>
      <c r="M6" s="616">
        <v>5222346</v>
      </c>
      <c r="N6" s="616">
        <v>74632</v>
      </c>
      <c r="O6" s="616">
        <v>63053</v>
      </c>
      <c r="P6" s="616">
        <v>137685</v>
      </c>
      <c r="Q6" s="616">
        <v>171993</v>
      </c>
      <c r="R6" s="616">
        <v>104165</v>
      </c>
      <c r="S6" s="616">
        <v>276158</v>
      </c>
      <c r="T6" s="616">
        <v>32798</v>
      </c>
      <c r="U6" s="616">
        <v>28051</v>
      </c>
      <c r="V6" s="616">
        <v>60849</v>
      </c>
      <c r="W6" s="616">
        <v>87722</v>
      </c>
      <c r="X6" s="616">
        <v>63307</v>
      </c>
      <c r="Y6" s="616">
        <v>151029</v>
      </c>
      <c r="Z6" s="616">
        <v>4617270</v>
      </c>
      <c r="AA6" s="616">
        <v>3521098</v>
      </c>
      <c r="AB6" s="616">
        <v>8138368</v>
      </c>
    </row>
    <row r="7" spans="1:28" ht="16.899999999999999" customHeight="1">
      <c r="A7" s="612" t="s">
        <v>831</v>
      </c>
      <c r="B7" s="613">
        <v>83960</v>
      </c>
      <c r="C7" s="613">
        <v>62513</v>
      </c>
      <c r="D7" s="613">
        <v>146473</v>
      </c>
      <c r="E7" s="613">
        <v>7850</v>
      </c>
      <c r="F7" s="613">
        <v>10799</v>
      </c>
      <c r="G7" s="613">
        <v>18649</v>
      </c>
      <c r="H7" s="613">
        <v>891697</v>
      </c>
      <c r="I7" s="613">
        <v>997794</v>
      </c>
      <c r="J7" s="613">
        <v>1889491</v>
      </c>
      <c r="K7" s="613">
        <v>2928657</v>
      </c>
      <c r="L7" s="613">
        <v>1898976</v>
      </c>
      <c r="M7" s="613">
        <v>4827633</v>
      </c>
      <c r="N7" s="613">
        <v>82634</v>
      </c>
      <c r="O7" s="613">
        <v>67497</v>
      </c>
      <c r="P7" s="613">
        <v>150131</v>
      </c>
      <c r="Q7" s="613">
        <v>169584</v>
      </c>
      <c r="R7" s="613">
        <v>93413</v>
      </c>
      <c r="S7" s="613">
        <v>262997</v>
      </c>
      <c r="T7" s="613">
        <v>30118</v>
      </c>
      <c r="U7" s="613">
        <v>29173</v>
      </c>
      <c r="V7" s="613">
        <v>59291</v>
      </c>
      <c r="W7" s="613">
        <v>77518</v>
      </c>
      <c r="X7" s="613">
        <v>54612</v>
      </c>
      <c r="Y7" s="613">
        <v>132130</v>
      </c>
      <c r="Z7" s="613">
        <v>4272018</v>
      </c>
      <c r="AA7" s="613">
        <v>3214777</v>
      </c>
      <c r="AB7" s="613">
        <v>7486795</v>
      </c>
    </row>
    <row r="8" spans="1:28" ht="16.899999999999999" customHeight="1">
      <c r="A8" s="612" t="s">
        <v>830</v>
      </c>
      <c r="B8" s="379">
        <v>81705</v>
      </c>
      <c r="C8" s="379">
        <v>57513</v>
      </c>
      <c r="D8" s="379">
        <v>139218</v>
      </c>
      <c r="E8" s="379">
        <v>7424</v>
      </c>
      <c r="F8" s="379">
        <v>10488</v>
      </c>
      <c r="G8" s="379">
        <v>17912</v>
      </c>
      <c r="H8" s="379">
        <v>1006848</v>
      </c>
      <c r="I8" s="379">
        <v>968276</v>
      </c>
      <c r="J8" s="379">
        <v>1975124</v>
      </c>
      <c r="K8" s="379">
        <v>2796525</v>
      </c>
      <c r="L8" s="379">
        <v>1737629</v>
      </c>
      <c r="M8" s="379">
        <v>4534154</v>
      </c>
      <c r="N8" s="379">
        <v>81900</v>
      </c>
      <c r="O8" s="379">
        <v>71557</v>
      </c>
      <c r="P8" s="379">
        <v>153457</v>
      </c>
      <c r="Q8" s="379">
        <v>175091</v>
      </c>
      <c r="R8" s="379">
        <v>88806</v>
      </c>
      <c r="S8" s="379">
        <v>263897</v>
      </c>
      <c r="T8" s="379">
        <v>29307</v>
      </c>
      <c r="U8" s="379">
        <v>38717</v>
      </c>
      <c r="V8" s="379">
        <v>68024</v>
      </c>
      <c r="W8" s="379">
        <v>67630</v>
      </c>
      <c r="X8" s="379">
        <v>45981</v>
      </c>
      <c r="Y8" s="379">
        <v>113611</v>
      </c>
      <c r="Z8" s="379">
        <v>4246430</v>
      </c>
      <c r="AA8" s="379">
        <v>3018967</v>
      </c>
      <c r="AB8" s="379">
        <v>7265397</v>
      </c>
    </row>
    <row r="9" spans="1:28" ht="16.899999999999999" customHeight="1">
      <c r="A9" s="612" t="s">
        <v>829</v>
      </c>
      <c r="B9" s="613">
        <v>72797</v>
      </c>
      <c r="C9" s="613">
        <v>50915</v>
      </c>
      <c r="D9" s="613">
        <v>123712</v>
      </c>
      <c r="E9" s="613">
        <v>10661</v>
      </c>
      <c r="F9" s="613">
        <v>14374</v>
      </c>
      <c r="G9" s="613">
        <v>25035</v>
      </c>
      <c r="H9" s="613">
        <v>941467</v>
      </c>
      <c r="I9" s="613">
        <v>1016658</v>
      </c>
      <c r="J9" s="613">
        <v>1958125</v>
      </c>
      <c r="K9" s="613">
        <v>2663542</v>
      </c>
      <c r="L9" s="613">
        <v>1749997</v>
      </c>
      <c r="M9" s="613">
        <v>4413539</v>
      </c>
      <c r="N9" s="613">
        <v>78041</v>
      </c>
      <c r="O9" s="613">
        <v>58972</v>
      </c>
      <c r="P9" s="613">
        <v>137013</v>
      </c>
      <c r="Q9" s="613">
        <v>170392</v>
      </c>
      <c r="R9" s="613">
        <v>76837</v>
      </c>
      <c r="S9" s="613">
        <v>247229</v>
      </c>
      <c r="T9" s="613">
        <v>40433</v>
      </c>
      <c r="U9" s="613">
        <v>25260</v>
      </c>
      <c r="V9" s="613">
        <v>65693</v>
      </c>
      <c r="W9" s="613">
        <v>60963</v>
      </c>
      <c r="X9" s="613">
        <v>40975</v>
      </c>
      <c r="Y9" s="613">
        <v>101938</v>
      </c>
      <c r="Z9" s="613">
        <v>4038296</v>
      </c>
      <c r="AA9" s="613">
        <v>3033988</v>
      </c>
      <c r="AB9" s="613">
        <v>7072284</v>
      </c>
    </row>
    <row r="10" spans="1:28" ht="16.899999999999999" customHeight="1">
      <c r="A10" s="690" t="s">
        <v>828</v>
      </c>
      <c r="B10" s="691">
        <v>65620</v>
      </c>
      <c r="C10" s="691">
        <v>43932</v>
      </c>
      <c r="D10" s="691">
        <v>109552</v>
      </c>
      <c r="E10" s="691">
        <v>11302</v>
      </c>
      <c r="F10" s="691">
        <v>13576</v>
      </c>
      <c r="G10" s="691">
        <v>24878</v>
      </c>
      <c r="H10" s="691">
        <v>912648</v>
      </c>
      <c r="I10" s="691">
        <v>963917</v>
      </c>
      <c r="J10" s="691">
        <v>1876565</v>
      </c>
      <c r="K10" s="691">
        <v>2454795</v>
      </c>
      <c r="L10" s="691">
        <v>1644141</v>
      </c>
      <c r="M10" s="691">
        <v>4098936</v>
      </c>
      <c r="N10" s="691">
        <v>83864</v>
      </c>
      <c r="O10" s="691">
        <v>75509</v>
      </c>
      <c r="P10" s="691">
        <v>159373</v>
      </c>
      <c r="Q10" s="691">
        <v>191519</v>
      </c>
      <c r="R10" s="691">
        <v>86445</v>
      </c>
      <c r="S10" s="691">
        <v>277964</v>
      </c>
      <c r="T10" s="691">
        <v>21706</v>
      </c>
      <c r="U10" s="691">
        <v>27398</v>
      </c>
      <c r="V10" s="691">
        <v>49104</v>
      </c>
      <c r="W10" s="691">
        <v>56635</v>
      </c>
      <c r="X10" s="691">
        <v>36189</v>
      </c>
      <c r="Y10" s="691">
        <v>92824</v>
      </c>
      <c r="Z10" s="691">
        <v>3798089</v>
      </c>
      <c r="AA10" s="691">
        <v>2891107</v>
      </c>
      <c r="AB10" s="691">
        <v>6689196</v>
      </c>
    </row>
    <row r="11" spans="1:28" ht="16.899999999999999" customHeight="1">
      <c r="A11" s="641" t="s">
        <v>123</v>
      </c>
      <c r="B11" s="687"/>
      <c r="C11" s="687"/>
      <c r="D11" s="687"/>
      <c r="E11" s="687"/>
      <c r="F11" s="687"/>
      <c r="G11" s="687"/>
      <c r="H11" s="687"/>
      <c r="I11" s="687"/>
      <c r="J11" s="687"/>
      <c r="K11" s="687"/>
      <c r="L11" s="687"/>
      <c r="M11" s="687"/>
      <c r="N11" s="687"/>
      <c r="O11" s="687"/>
      <c r="P11" s="687"/>
      <c r="Q11" s="687"/>
      <c r="R11" s="687"/>
      <c r="S11" s="687"/>
      <c r="T11" s="687"/>
      <c r="U11" s="687"/>
      <c r="V11" s="687"/>
      <c r="W11" s="687"/>
      <c r="X11" s="687"/>
      <c r="Y11" s="687"/>
      <c r="Z11" s="687"/>
      <c r="AA11" s="687"/>
      <c r="AB11" s="687"/>
    </row>
    <row r="12" spans="1:28" ht="16.899999999999999" customHeight="1">
      <c r="A12" s="615" t="s">
        <v>832</v>
      </c>
      <c r="B12" s="692">
        <v>13253</v>
      </c>
      <c r="C12" s="692">
        <v>10941</v>
      </c>
      <c r="D12" s="693">
        <v>24194</v>
      </c>
      <c r="E12" s="692">
        <v>1193</v>
      </c>
      <c r="F12" s="692">
        <v>1083</v>
      </c>
      <c r="G12" s="693">
        <v>2276</v>
      </c>
      <c r="H12" s="692">
        <v>63195</v>
      </c>
      <c r="I12" s="692">
        <v>60610</v>
      </c>
      <c r="J12" s="693">
        <v>123805</v>
      </c>
      <c r="K12" s="692">
        <v>277315</v>
      </c>
      <c r="L12" s="692">
        <v>262955</v>
      </c>
      <c r="M12" s="693">
        <v>540270</v>
      </c>
      <c r="N12" s="692">
        <v>2713</v>
      </c>
      <c r="O12" s="692">
        <v>2235</v>
      </c>
      <c r="P12" s="693">
        <v>4948</v>
      </c>
      <c r="Q12" s="692">
        <v>6127</v>
      </c>
      <c r="R12" s="692">
        <v>2266</v>
      </c>
      <c r="S12" s="693">
        <v>8393</v>
      </c>
      <c r="T12" s="692">
        <v>3275</v>
      </c>
      <c r="U12" s="692">
        <v>1497</v>
      </c>
      <c r="V12" s="693">
        <v>4772</v>
      </c>
      <c r="W12" s="692">
        <v>6295</v>
      </c>
      <c r="X12" s="692">
        <v>5072</v>
      </c>
      <c r="Y12" s="693">
        <v>11367</v>
      </c>
      <c r="Z12" s="693">
        <v>373366</v>
      </c>
      <c r="AA12" s="693">
        <v>346659</v>
      </c>
      <c r="AB12" s="693">
        <v>720025</v>
      </c>
    </row>
    <row r="13" spans="1:28" ht="16.899999999999999" customHeight="1">
      <c r="A13" s="612" t="s">
        <v>831</v>
      </c>
      <c r="B13" s="613">
        <v>8618</v>
      </c>
      <c r="C13" s="613">
        <v>6854</v>
      </c>
      <c r="D13" s="613">
        <v>15472</v>
      </c>
      <c r="E13" s="613">
        <v>2757</v>
      </c>
      <c r="F13" s="613">
        <v>3050</v>
      </c>
      <c r="G13" s="613">
        <v>5807</v>
      </c>
      <c r="H13" s="613">
        <v>57351</v>
      </c>
      <c r="I13" s="613">
        <v>51131</v>
      </c>
      <c r="J13" s="613">
        <v>108482</v>
      </c>
      <c r="K13" s="613">
        <v>282489</v>
      </c>
      <c r="L13" s="613">
        <v>261661</v>
      </c>
      <c r="M13" s="613">
        <v>544150</v>
      </c>
      <c r="N13" s="613">
        <v>2675</v>
      </c>
      <c r="O13" s="613">
        <v>1738</v>
      </c>
      <c r="P13" s="613">
        <v>4413</v>
      </c>
      <c r="Q13" s="613">
        <v>6708</v>
      </c>
      <c r="R13" s="613">
        <v>2004</v>
      </c>
      <c r="S13" s="613">
        <v>8712</v>
      </c>
      <c r="T13" s="613">
        <v>3207</v>
      </c>
      <c r="U13" s="613">
        <v>1261</v>
      </c>
      <c r="V13" s="613">
        <v>4468</v>
      </c>
      <c r="W13" s="613">
        <v>6982</v>
      </c>
      <c r="X13" s="613">
        <v>6096</v>
      </c>
      <c r="Y13" s="613">
        <v>13078</v>
      </c>
      <c r="Z13" s="613">
        <v>370787</v>
      </c>
      <c r="AA13" s="613">
        <v>333795</v>
      </c>
      <c r="AB13" s="613">
        <v>704582</v>
      </c>
    </row>
    <row r="14" spans="1:28" ht="16.899999999999999" customHeight="1">
      <c r="A14" s="612" t="s">
        <v>830</v>
      </c>
      <c r="B14" s="379">
        <v>12394</v>
      </c>
      <c r="C14" s="379">
        <v>9658</v>
      </c>
      <c r="D14" s="209">
        <v>22052</v>
      </c>
      <c r="E14" s="379">
        <v>1804</v>
      </c>
      <c r="F14" s="379">
        <v>1722</v>
      </c>
      <c r="G14" s="209">
        <v>3526</v>
      </c>
      <c r="H14" s="379">
        <v>57914</v>
      </c>
      <c r="I14" s="379">
        <v>51820</v>
      </c>
      <c r="J14" s="209">
        <v>109734</v>
      </c>
      <c r="K14" s="379">
        <v>286779</v>
      </c>
      <c r="L14" s="379">
        <v>273957</v>
      </c>
      <c r="M14" s="209">
        <v>560736</v>
      </c>
      <c r="N14" s="379">
        <v>2132</v>
      </c>
      <c r="O14" s="379">
        <v>1678</v>
      </c>
      <c r="P14" s="209">
        <v>3810</v>
      </c>
      <c r="Q14" s="379">
        <v>6276</v>
      </c>
      <c r="R14" s="379">
        <v>2089</v>
      </c>
      <c r="S14" s="209">
        <v>8365</v>
      </c>
      <c r="T14" s="379">
        <v>2347</v>
      </c>
      <c r="U14" s="379">
        <v>1244</v>
      </c>
      <c r="V14" s="209">
        <v>3591</v>
      </c>
      <c r="W14" s="379">
        <v>6282</v>
      </c>
      <c r="X14" s="379">
        <v>5583</v>
      </c>
      <c r="Y14" s="209">
        <v>11865</v>
      </c>
      <c r="Z14" s="209">
        <v>375928</v>
      </c>
      <c r="AA14" s="209">
        <v>347751</v>
      </c>
      <c r="AB14" s="209">
        <v>723679</v>
      </c>
    </row>
    <row r="15" spans="1:28" ht="16.899999999999999" customHeight="1">
      <c r="A15" s="615" t="s">
        <v>829</v>
      </c>
      <c r="B15" s="616">
        <v>10603</v>
      </c>
      <c r="C15" s="616">
        <v>7112</v>
      </c>
      <c r="D15" s="616">
        <v>17715</v>
      </c>
      <c r="E15" s="616">
        <v>3987</v>
      </c>
      <c r="F15" s="616">
        <v>3987</v>
      </c>
      <c r="G15" s="616">
        <v>7974</v>
      </c>
      <c r="H15" s="616">
        <v>59464</v>
      </c>
      <c r="I15" s="616">
        <v>48563</v>
      </c>
      <c r="J15" s="616">
        <v>108027</v>
      </c>
      <c r="K15" s="616">
        <v>292003</v>
      </c>
      <c r="L15" s="616">
        <v>266055</v>
      </c>
      <c r="M15" s="616">
        <v>558058</v>
      </c>
      <c r="N15" s="616">
        <v>2461</v>
      </c>
      <c r="O15" s="616">
        <v>1555</v>
      </c>
      <c r="P15" s="616">
        <v>4016</v>
      </c>
      <c r="Q15" s="616">
        <v>6710</v>
      </c>
      <c r="R15" s="616">
        <v>1837</v>
      </c>
      <c r="S15" s="616">
        <v>8547</v>
      </c>
      <c r="T15" s="616">
        <v>2641</v>
      </c>
      <c r="U15" s="616">
        <v>1144</v>
      </c>
      <c r="V15" s="616">
        <v>3785</v>
      </c>
      <c r="W15" s="616">
        <v>6082</v>
      </c>
      <c r="X15" s="616">
        <v>5214</v>
      </c>
      <c r="Y15" s="616">
        <v>11296</v>
      </c>
      <c r="Z15" s="617">
        <v>383951</v>
      </c>
      <c r="AA15" s="617">
        <v>335467</v>
      </c>
      <c r="AB15" s="617">
        <v>719418</v>
      </c>
    </row>
    <row r="16" spans="1:28" ht="16.899999999999999" customHeight="1">
      <c r="A16" s="690" t="s">
        <v>828</v>
      </c>
      <c r="B16" s="694">
        <v>9169</v>
      </c>
      <c r="C16" s="694">
        <v>6433</v>
      </c>
      <c r="D16" s="694">
        <v>15602</v>
      </c>
      <c r="E16" s="694">
        <v>3970</v>
      </c>
      <c r="F16" s="694">
        <v>3777</v>
      </c>
      <c r="G16" s="694">
        <v>7747</v>
      </c>
      <c r="H16" s="694">
        <v>61576</v>
      </c>
      <c r="I16" s="694">
        <v>45417</v>
      </c>
      <c r="J16" s="694">
        <v>106993</v>
      </c>
      <c r="K16" s="694">
        <v>296437</v>
      </c>
      <c r="L16" s="694">
        <v>265663</v>
      </c>
      <c r="M16" s="694">
        <v>562100</v>
      </c>
      <c r="N16" s="694">
        <v>2419</v>
      </c>
      <c r="O16" s="694">
        <v>1384</v>
      </c>
      <c r="P16" s="694">
        <v>3803</v>
      </c>
      <c r="Q16" s="694">
        <v>6514</v>
      </c>
      <c r="R16" s="694">
        <v>2005</v>
      </c>
      <c r="S16" s="694">
        <v>8519</v>
      </c>
      <c r="T16" s="694">
        <v>2281</v>
      </c>
      <c r="U16" s="694">
        <v>1068</v>
      </c>
      <c r="V16" s="694">
        <v>3349</v>
      </c>
      <c r="W16" s="694">
        <v>5787</v>
      </c>
      <c r="X16" s="694">
        <v>4841</v>
      </c>
      <c r="Y16" s="694">
        <v>10628</v>
      </c>
      <c r="Z16" s="694">
        <v>388153</v>
      </c>
      <c r="AA16" s="694">
        <v>330588</v>
      </c>
      <c r="AB16" s="694">
        <v>718741</v>
      </c>
    </row>
    <row r="17" spans="1:28" ht="16.899999999999999" customHeight="1">
      <c r="A17" s="641" t="s">
        <v>124</v>
      </c>
      <c r="B17" s="687"/>
      <c r="C17" s="687"/>
      <c r="D17" s="687"/>
      <c r="E17" s="687"/>
      <c r="F17" s="687"/>
      <c r="G17" s="687"/>
      <c r="H17" s="687"/>
      <c r="I17" s="687"/>
      <c r="J17" s="687"/>
      <c r="K17" s="687"/>
      <c r="L17" s="687"/>
      <c r="M17" s="687"/>
      <c r="N17" s="687"/>
      <c r="O17" s="687"/>
      <c r="P17" s="687"/>
      <c r="Q17" s="687"/>
      <c r="R17" s="687"/>
      <c r="S17" s="687"/>
      <c r="T17" s="687"/>
      <c r="U17" s="687"/>
      <c r="V17" s="687"/>
      <c r="W17" s="687"/>
      <c r="X17" s="687"/>
      <c r="Y17" s="687"/>
      <c r="Z17" s="687"/>
      <c r="AA17" s="687"/>
      <c r="AB17" s="687"/>
    </row>
    <row r="18" spans="1:28" ht="16.899999999999999" customHeight="1">
      <c r="A18" s="615" t="s">
        <v>832</v>
      </c>
      <c r="B18" s="692">
        <v>21</v>
      </c>
      <c r="C18" s="692">
        <v>52</v>
      </c>
      <c r="D18" s="693">
        <v>73</v>
      </c>
      <c r="E18" s="692">
        <v>1</v>
      </c>
      <c r="F18" s="692">
        <v>0</v>
      </c>
      <c r="G18" s="693">
        <v>1</v>
      </c>
      <c r="H18" s="692">
        <v>169982</v>
      </c>
      <c r="I18" s="692">
        <v>226624</v>
      </c>
      <c r="J18" s="693">
        <v>396606</v>
      </c>
      <c r="K18" s="692">
        <v>447586</v>
      </c>
      <c r="L18" s="692">
        <v>260436</v>
      </c>
      <c r="M18" s="693">
        <v>708022</v>
      </c>
      <c r="N18" s="692">
        <v>18123</v>
      </c>
      <c r="O18" s="692">
        <v>10989</v>
      </c>
      <c r="P18" s="693">
        <v>29112</v>
      </c>
      <c r="Q18" s="692">
        <v>9732</v>
      </c>
      <c r="R18" s="692">
        <v>23299</v>
      </c>
      <c r="S18" s="693">
        <v>33031</v>
      </c>
      <c r="T18" s="692">
        <v>223</v>
      </c>
      <c r="U18" s="692">
        <v>268</v>
      </c>
      <c r="V18" s="693">
        <v>491</v>
      </c>
      <c r="W18" s="692">
        <v>0</v>
      </c>
      <c r="X18" s="692">
        <v>0</v>
      </c>
      <c r="Y18" s="693">
        <v>0</v>
      </c>
      <c r="Z18" s="693">
        <v>645668</v>
      </c>
      <c r="AA18" s="693">
        <v>521668</v>
      </c>
      <c r="AB18" s="693">
        <v>1167336</v>
      </c>
    </row>
    <row r="19" spans="1:28" ht="16.899999999999999" customHeight="1">
      <c r="A19" s="612" t="s">
        <v>831</v>
      </c>
      <c r="B19" s="613">
        <v>67</v>
      </c>
      <c r="C19" s="613">
        <v>63</v>
      </c>
      <c r="D19" s="613">
        <v>130</v>
      </c>
      <c r="E19" s="613">
        <v>11</v>
      </c>
      <c r="F19" s="613">
        <v>13</v>
      </c>
      <c r="G19" s="613">
        <v>24</v>
      </c>
      <c r="H19" s="613">
        <v>153742</v>
      </c>
      <c r="I19" s="613">
        <v>202662</v>
      </c>
      <c r="J19" s="613">
        <v>356404</v>
      </c>
      <c r="K19" s="613">
        <v>395161</v>
      </c>
      <c r="L19" s="613">
        <v>231907</v>
      </c>
      <c r="M19" s="613">
        <v>627068</v>
      </c>
      <c r="N19" s="613">
        <v>17723</v>
      </c>
      <c r="O19" s="613">
        <v>10389</v>
      </c>
      <c r="P19" s="613">
        <v>28112</v>
      </c>
      <c r="Q19" s="613">
        <v>9074</v>
      </c>
      <c r="R19" s="613">
        <v>13581</v>
      </c>
      <c r="S19" s="613">
        <v>22655</v>
      </c>
      <c r="T19" s="613">
        <v>383</v>
      </c>
      <c r="U19" s="613">
        <v>305</v>
      </c>
      <c r="V19" s="613">
        <v>688</v>
      </c>
      <c r="W19" s="613">
        <v>0</v>
      </c>
      <c r="X19" s="613">
        <v>0</v>
      </c>
      <c r="Y19" s="613">
        <v>0</v>
      </c>
      <c r="Z19" s="613">
        <v>576161</v>
      </c>
      <c r="AA19" s="613">
        <v>458920</v>
      </c>
      <c r="AB19" s="613">
        <v>1035081</v>
      </c>
    </row>
    <row r="20" spans="1:28" ht="16.899999999999999" customHeight="1">
      <c r="A20" s="612" t="s">
        <v>830</v>
      </c>
      <c r="B20" s="379">
        <v>181</v>
      </c>
      <c r="C20" s="379">
        <v>184</v>
      </c>
      <c r="D20" s="209">
        <v>365</v>
      </c>
      <c r="E20" s="379">
        <v>32</v>
      </c>
      <c r="F20" s="379">
        <v>24</v>
      </c>
      <c r="G20" s="209">
        <v>56</v>
      </c>
      <c r="H20" s="379">
        <v>194363</v>
      </c>
      <c r="I20" s="379">
        <v>146381</v>
      </c>
      <c r="J20" s="209">
        <v>340744</v>
      </c>
      <c r="K20" s="379">
        <v>338319</v>
      </c>
      <c r="L20" s="379">
        <v>142411</v>
      </c>
      <c r="M20" s="209">
        <v>480730</v>
      </c>
      <c r="N20" s="379">
        <v>13071</v>
      </c>
      <c r="O20" s="379">
        <v>7938</v>
      </c>
      <c r="P20" s="209">
        <v>21009</v>
      </c>
      <c r="Q20" s="379">
        <v>8143</v>
      </c>
      <c r="R20" s="379">
        <v>10078</v>
      </c>
      <c r="S20" s="209">
        <v>18221</v>
      </c>
      <c r="T20" s="379">
        <v>55</v>
      </c>
      <c r="U20" s="379">
        <v>95</v>
      </c>
      <c r="V20" s="209">
        <v>150</v>
      </c>
      <c r="W20" s="379">
        <v>0</v>
      </c>
      <c r="X20" s="379">
        <v>0</v>
      </c>
      <c r="Y20" s="209">
        <v>0</v>
      </c>
      <c r="Z20" s="209">
        <v>554164</v>
      </c>
      <c r="AA20" s="209">
        <v>307111</v>
      </c>
      <c r="AB20" s="209">
        <v>861275</v>
      </c>
    </row>
    <row r="21" spans="1:28" ht="16.899999999999999" customHeight="1">
      <c r="A21" s="615" t="s">
        <v>829</v>
      </c>
      <c r="B21" s="616">
        <v>416</v>
      </c>
      <c r="C21" s="616">
        <v>330</v>
      </c>
      <c r="D21" s="616">
        <v>746</v>
      </c>
      <c r="E21" s="616">
        <v>38</v>
      </c>
      <c r="F21" s="616">
        <v>45</v>
      </c>
      <c r="G21" s="616">
        <v>83</v>
      </c>
      <c r="H21" s="616">
        <v>137091</v>
      </c>
      <c r="I21" s="616">
        <v>181202</v>
      </c>
      <c r="J21" s="616">
        <v>318293</v>
      </c>
      <c r="K21" s="616">
        <v>296523</v>
      </c>
      <c r="L21" s="616">
        <v>159590</v>
      </c>
      <c r="M21" s="616">
        <v>456113</v>
      </c>
      <c r="N21" s="616">
        <v>19162</v>
      </c>
      <c r="O21" s="616">
        <v>8768</v>
      </c>
      <c r="P21" s="616">
        <v>27930</v>
      </c>
      <c r="Q21" s="616">
        <v>4236</v>
      </c>
      <c r="R21" s="616">
        <v>8292</v>
      </c>
      <c r="S21" s="616">
        <v>12528</v>
      </c>
      <c r="T21" s="616">
        <v>159</v>
      </c>
      <c r="U21" s="616">
        <v>94</v>
      </c>
      <c r="V21" s="616">
        <v>253</v>
      </c>
      <c r="W21" s="616">
        <v>0</v>
      </c>
      <c r="X21" s="616">
        <v>0</v>
      </c>
      <c r="Y21" s="616">
        <v>0</v>
      </c>
      <c r="Z21" s="617">
        <v>457625</v>
      </c>
      <c r="AA21" s="617">
        <v>358321</v>
      </c>
      <c r="AB21" s="617">
        <v>815946</v>
      </c>
    </row>
    <row r="22" spans="1:28" ht="16.899999999999999" customHeight="1">
      <c r="A22" s="612" t="s">
        <v>828</v>
      </c>
      <c r="B22" s="618">
        <v>12</v>
      </c>
      <c r="C22" s="618">
        <v>10</v>
      </c>
      <c r="D22" s="618">
        <v>22</v>
      </c>
      <c r="E22" s="618">
        <v>13</v>
      </c>
      <c r="F22" s="618">
        <v>11</v>
      </c>
      <c r="G22" s="618">
        <v>24</v>
      </c>
      <c r="H22" s="618">
        <v>134447</v>
      </c>
      <c r="I22" s="618">
        <v>171896</v>
      </c>
      <c r="J22" s="618">
        <v>306343</v>
      </c>
      <c r="K22" s="618">
        <v>249412</v>
      </c>
      <c r="L22" s="618">
        <v>145735</v>
      </c>
      <c r="M22" s="618">
        <v>395147</v>
      </c>
      <c r="N22" s="618">
        <v>11261</v>
      </c>
      <c r="O22" s="618">
        <v>6536</v>
      </c>
      <c r="P22" s="618">
        <v>17797</v>
      </c>
      <c r="Q22" s="618">
        <v>4427</v>
      </c>
      <c r="R22" s="618">
        <v>8262</v>
      </c>
      <c r="S22" s="618">
        <v>12689</v>
      </c>
      <c r="T22" s="618">
        <v>155</v>
      </c>
      <c r="U22" s="618">
        <v>114</v>
      </c>
      <c r="V22" s="618">
        <v>269</v>
      </c>
      <c r="W22" s="618">
        <v>0</v>
      </c>
      <c r="X22" s="618">
        <v>0</v>
      </c>
      <c r="Y22" s="618">
        <v>0</v>
      </c>
      <c r="Z22" s="618">
        <v>399727</v>
      </c>
      <c r="AA22" s="618">
        <v>332564</v>
      </c>
      <c r="AB22" s="618">
        <v>732291</v>
      </c>
    </row>
    <row r="23" spans="1:28" ht="16.899999999999999" customHeight="1">
      <c r="A23" s="641" t="s">
        <v>125</v>
      </c>
      <c r="B23" s="687"/>
      <c r="C23" s="687"/>
      <c r="D23" s="687"/>
      <c r="E23" s="687"/>
      <c r="F23" s="687"/>
      <c r="G23" s="687"/>
      <c r="H23" s="687"/>
      <c r="I23" s="687"/>
      <c r="J23" s="687"/>
      <c r="K23" s="687"/>
      <c r="L23" s="687"/>
      <c r="M23" s="687"/>
      <c r="N23" s="687"/>
      <c r="O23" s="687"/>
      <c r="P23" s="687"/>
      <c r="Q23" s="687"/>
      <c r="R23" s="687"/>
      <c r="S23" s="687"/>
      <c r="T23" s="687"/>
      <c r="U23" s="687"/>
      <c r="V23" s="687"/>
      <c r="W23" s="687"/>
      <c r="X23" s="687"/>
      <c r="Y23" s="687"/>
      <c r="Z23" s="687"/>
      <c r="AA23" s="687"/>
      <c r="AB23" s="687"/>
    </row>
    <row r="24" spans="1:28" ht="16.899999999999999" customHeight="1">
      <c r="A24" s="615" t="s">
        <v>832</v>
      </c>
      <c r="B24" s="692">
        <v>27993</v>
      </c>
      <c r="C24" s="692">
        <v>13305</v>
      </c>
      <c r="D24" s="693">
        <v>41298</v>
      </c>
      <c r="E24" s="692">
        <v>78</v>
      </c>
      <c r="F24" s="692">
        <v>172</v>
      </c>
      <c r="G24" s="693">
        <v>250</v>
      </c>
      <c r="H24" s="692">
        <v>62418</v>
      </c>
      <c r="I24" s="692">
        <v>21405</v>
      </c>
      <c r="J24" s="693">
        <v>83823</v>
      </c>
      <c r="K24" s="692">
        <v>112467</v>
      </c>
      <c r="L24" s="692">
        <v>32401</v>
      </c>
      <c r="M24" s="693">
        <v>144868</v>
      </c>
      <c r="N24" s="692">
        <v>992</v>
      </c>
      <c r="O24" s="692">
        <v>517</v>
      </c>
      <c r="P24" s="693">
        <v>1509</v>
      </c>
      <c r="Q24" s="692">
        <v>242</v>
      </c>
      <c r="R24" s="692">
        <v>90</v>
      </c>
      <c r="S24" s="693">
        <v>332</v>
      </c>
      <c r="T24" s="692">
        <v>1775</v>
      </c>
      <c r="U24" s="692">
        <v>567</v>
      </c>
      <c r="V24" s="693">
        <v>2342</v>
      </c>
      <c r="W24" s="692">
        <v>14819</v>
      </c>
      <c r="X24" s="692">
        <v>4095</v>
      </c>
      <c r="Y24" s="693">
        <v>18914</v>
      </c>
      <c r="Z24" s="693">
        <v>220784</v>
      </c>
      <c r="AA24" s="693">
        <v>72552</v>
      </c>
      <c r="AB24" s="693">
        <v>293336</v>
      </c>
    </row>
    <row r="25" spans="1:28" ht="16.899999999999999" customHeight="1">
      <c r="A25" s="612" t="s">
        <v>831</v>
      </c>
      <c r="B25" s="613">
        <v>21670</v>
      </c>
      <c r="C25" s="613">
        <v>10036</v>
      </c>
      <c r="D25" s="613">
        <v>31706</v>
      </c>
      <c r="E25" s="613">
        <v>32</v>
      </c>
      <c r="F25" s="613">
        <v>64</v>
      </c>
      <c r="G25" s="613">
        <v>96</v>
      </c>
      <c r="H25" s="613">
        <v>37382</v>
      </c>
      <c r="I25" s="613">
        <v>12819</v>
      </c>
      <c r="J25" s="613">
        <v>50201</v>
      </c>
      <c r="K25" s="613">
        <v>96724</v>
      </c>
      <c r="L25" s="613">
        <v>26736</v>
      </c>
      <c r="M25" s="613">
        <v>123460</v>
      </c>
      <c r="N25" s="613">
        <v>1882</v>
      </c>
      <c r="O25" s="613">
        <v>575</v>
      </c>
      <c r="P25" s="613">
        <v>2457</v>
      </c>
      <c r="Q25" s="613">
        <v>14</v>
      </c>
      <c r="R25" s="613">
        <v>58</v>
      </c>
      <c r="S25" s="613">
        <v>72</v>
      </c>
      <c r="T25" s="613">
        <v>1793</v>
      </c>
      <c r="U25" s="613">
        <v>544</v>
      </c>
      <c r="V25" s="613">
        <v>2337</v>
      </c>
      <c r="W25" s="613">
        <v>14255</v>
      </c>
      <c r="X25" s="613">
        <v>3847</v>
      </c>
      <c r="Y25" s="613">
        <v>18102</v>
      </c>
      <c r="Z25" s="613">
        <v>173752</v>
      </c>
      <c r="AA25" s="613">
        <v>54679</v>
      </c>
      <c r="AB25" s="613">
        <v>228431</v>
      </c>
    </row>
    <row r="26" spans="1:28" ht="16.899999999999999" customHeight="1">
      <c r="A26" s="612" t="s">
        <v>830</v>
      </c>
      <c r="B26" s="379">
        <v>19512</v>
      </c>
      <c r="C26" s="379">
        <v>8871</v>
      </c>
      <c r="D26" s="209">
        <v>28383</v>
      </c>
      <c r="E26" s="379">
        <v>39</v>
      </c>
      <c r="F26" s="379">
        <v>46</v>
      </c>
      <c r="G26" s="209">
        <v>85</v>
      </c>
      <c r="H26" s="379">
        <v>29894</v>
      </c>
      <c r="I26" s="379">
        <v>10626</v>
      </c>
      <c r="J26" s="209">
        <v>40520</v>
      </c>
      <c r="K26" s="379">
        <v>91439</v>
      </c>
      <c r="L26" s="379">
        <v>25883</v>
      </c>
      <c r="M26" s="209">
        <v>117322</v>
      </c>
      <c r="N26" s="379">
        <v>56</v>
      </c>
      <c r="O26" s="379">
        <v>47</v>
      </c>
      <c r="P26" s="209">
        <v>103</v>
      </c>
      <c r="Q26" s="379">
        <v>16</v>
      </c>
      <c r="R26" s="379">
        <v>55</v>
      </c>
      <c r="S26" s="209">
        <v>71</v>
      </c>
      <c r="T26" s="379">
        <v>9</v>
      </c>
      <c r="U26" s="379">
        <v>6</v>
      </c>
      <c r="V26" s="209">
        <v>15</v>
      </c>
      <c r="W26" s="379">
        <v>13337</v>
      </c>
      <c r="X26" s="379">
        <v>3361</v>
      </c>
      <c r="Y26" s="209">
        <v>16698</v>
      </c>
      <c r="Z26" s="209">
        <v>154302</v>
      </c>
      <c r="AA26" s="209">
        <v>48895</v>
      </c>
      <c r="AB26" s="209">
        <v>203197</v>
      </c>
    </row>
    <row r="27" spans="1:28" ht="16.899999999999999" customHeight="1">
      <c r="A27" s="615" t="s">
        <v>829</v>
      </c>
      <c r="B27" s="616">
        <v>18048</v>
      </c>
      <c r="C27" s="616">
        <v>7964</v>
      </c>
      <c r="D27" s="616">
        <v>26012</v>
      </c>
      <c r="E27" s="616">
        <v>78</v>
      </c>
      <c r="F27" s="616">
        <v>98</v>
      </c>
      <c r="G27" s="616">
        <v>176</v>
      </c>
      <c r="H27" s="616">
        <v>29414</v>
      </c>
      <c r="I27" s="616">
        <v>11916</v>
      </c>
      <c r="J27" s="616">
        <v>41330</v>
      </c>
      <c r="K27" s="616">
        <v>88227</v>
      </c>
      <c r="L27" s="616">
        <v>25458</v>
      </c>
      <c r="M27" s="616">
        <v>113685</v>
      </c>
      <c r="N27" s="616">
        <v>134</v>
      </c>
      <c r="O27" s="616">
        <v>81</v>
      </c>
      <c r="P27" s="616">
        <v>215</v>
      </c>
      <c r="Q27" s="616">
        <v>14</v>
      </c>
      <c r="R27" s="616">
        <v>79</v>
      </c>
      <c r="S27" s="616">
        <v>93</v>
      </c>
      <c r="T27" s="616">
        <v>11</v>
      </c>
      <c r="U27" s="616">
        <v>6</v>
      </c>
      <c r="V27" s="616">
        <v>17</v>
      </c>
      <c r="W27" s="616">
        <v>12205</v>
      </c>
      <c r="X27" s="616">
        <v>2931</v>
      </c>
      <c r="Y27" s="616">
        <v>15136</v>
      </c>
      <c r="Z27" s="617">
        <v>148131</v>
      </c>
      <c r="AA27" s="617">
        <v>48533</v>
      </c>
      <c r="AB27" s="617">
        <v>196664</v>
      </c>
    </row>
    <row r="28" spans="1:28" ht="16.899999999999999" customHeight="1">
      <c r="A28" s="690" t="s">
        <v>828</v>
      </c>
      <c r="B28" s="694">
        <v>17559</v>
      </c>
      <c r="C28" s="694">
        <v>7544</v>
      </c>
      <c r="D28" s="694">
        <v>25103</v>
      </c>
      <c r="E28" s="694">
        <v>105</v>
      </c>
      <c r="F28" s="694">
        <v>240</v>
      </c>
      <c r="G28" s="694">
        <v>345</v>
      </c>
      <c r="H28" s="694">
        <v>31796</v>
      </c>
      <c r="I28" s="694">
        <v>11563</v>
      </c>
      <c r="J28" s="694">
        <v>43359</v>
      </c>
      <c r="K28" s="694">
        <v>81893</v>
      </c>
      <c r="L28" s="694">
        <v>16910</v>
      </c>
      <c r="M28" s="694">
        <v>98803</v>
      </c>
      <c r="N28" s="694">
        <v>78</v>
      </c>
      <c r="O28" s="694">
        <v>59</v>
      </c>
      <c r="P28" s="694">
        <v>137</v>
      </c>
      <c r="Q28" s="694">
        <v>25</v>
      </c>
      <c r="R28" s="694">
        <v>41</v>
      </c>
      <c r="S28" s="694">
        <v>66</v>
      </c>
      <c r="T28" s="694">
        <v>8</v>
      </c>
      <c r="U28" s="694">
        <v>3</v>
      </c>
      <c r="V28" s="694">
        <v>11</v>
      </c>
      <c r="W28" s="694">
        <v>10923</v>
      </c>
      <c r="X28" s="694">
        <v>2663</v>
      </c>
      <c r="Y28" s="694">
        <v>13586</v>
      </c>
      <c r="Z28" s="694">
        <v>142387</v>
      </c>
      <c r="AA28" s="694">
        <v>39023</v>
      </c>
      <c r="AB28" s="694">
        <v>181410</v>
      </c>
    </row>
    <row r="29" spans="1:28" s="619" customFormat="1" ht="16.899999999999999" customHeight="1">
      <c r="A29" s="698" t="s">
        <v>11</v>
      </c>
      <c r="B29" s="695"/>
      <c r="C29" s="695"/>
      <c r="D29" s="695"/>
      <c r="E29" s="695"/>
      <c r="F29" s="695"/>
      <c r="G29" s="695"/>
      <c r="H29" s="695"/>
      <c r="I29" s="695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</row>
    <row r="30" spans="1:28" s="619" customFormat="1" ht="16.899999999999999" customHeight="1">
      <c r="A30" s="696" t="s">
        <v>828</v>
      </c>
      <c r="B30" s="697">
        <v>19</v>
      </c>
      <c r="C30" s="697">
        <v>6</v>
      </c>
      <c r="D30" s="697">
        <v>25</v>
      </c>
      <c r="E30" s="697">
        <v>0</v>
      </c>
      <c r="F30" s="697">
        <v>0</v>
      </c>
      <c r="G30" s="697">
        <v>0</v>
      </c>
      <c r="H30" s="697">
        <v>299</v>
      </c>
      <c r="I30" s="697">
        <v>550</v>
      </c>
      <c r="J30" s="697">
        <v>849</v>
      </c>
      <c r="K30" s="697">
        <v>3143</v>
      </c>
      <c r="L30" s="697">
        <v>4689</v>
      </c>
      <c r="M30" s="697">
        <v>7832</v>
      </c>
      <c r="N30" s="697">
        <v>0</v>
      </c>
      <c r="O30" s="697">
        <v>0</v>
      </c>
      <c r="P30" s="697">
        <v>0</v>
      </c>
      <c r="Q30" s="697">
        <v>0</v>
      </c>
      <c r="R30" s="697">
        <v>0</v>
      </c>
      <c r="S30" s="697">
        <v>0</v>
      </c>
      <c r="T30" s="697">
        <v>0</v>
      </c>
      <c r="U30" s="697">
        <v>0</v>
      </c>
      <c r="V30" s="697">
        <v>0</v>
      </c>
      <c r="W30" s="697">
        <v>0</v>
      </c>
      <c r="X30" s="697">
        <v>0</v>
      </c>
      <c r="Y30" s="697">
        <v>0</v>
      </c>
      <c r="Z30" s="697">
        <v>3461</v>
      </c>
      <c r="AA30" s="697">
        <v>5245</v>
      </c>
      <c r="AB30" s="697">
        <v>8706</v>
      </c>
    </row>
    <row r="31" spans="1:28" ht="16.899999999999999" customHeight="1">
      <c r="A31" s="641" t="s">
        <v>130</v>
      </c>
      <c r="B31" s="687"/>
      <c r="C31" s="687"/>
      <c r="D31" s="687"/>
      <c r="E31" s="687"/>
      <c r="F31" s="687"/>
      <c r="G31" s="687"/>
      <c r="H31" s="687"/>
      <c r="I31" s="687"/>
      <c r="J31" s="687"/>
      <c r="K31" s="687"/>
      <c r="L31" s="687"/>
      <c r="M31" s="687"/>
      <c r="N31" s="687"/>
      <c r="O31" s="687"/>
      <c r="P31" s="687"/>
      <c r="Q31" s="687"/>
      <c r="R31" s="687"/>
      <c r="S31" s="687"/>
      <c r="T31" s="687"/>
      <c r="U31" s="687"/>
      <c r="V31" s="687"/>
      <c r="W31" s="687"/>
      <c r="X31" s="687"/>
      <c r="Y31" s="687"/>
      <c r="Z31" s="687"/>
      <c r="AA31" s="687"/>
      <c r="AB31" s="687"/>
    </row>
    <row r="32" spans="1:28" ht="16.899999999999999" customHeight="1">
      <c r="A32" s="615" t="s">
        <v>832</v>
      </c>
      <c r="B32" s="692">
        <v>5341</v>
      </c>
      <c r="C32" s="692">
        <v>2627</v>
      </c>
      <c r="D32" s="693">
        <v>7968</v>
      </c>
      <c r="E32" s="692">
        <v>138</v>
      </c>
      <c r="F32" s="692">
        <v>144</v>
      </c>
      <c r="G32" s="693">
        <v>282</v>
      </c>
      <c r="H32" s="692">
        <v>7663</v>
      </c>
      <c r="I32" s="692">
        <v>4793</v>
      </c>
      <c r="J32" s="693">
        <v>12456</v>
      </c>
      <c r="K32" s="692">
        <v>10000</v>
      </c>
      <c r="L32" s="692">
        <v>4539</v>
      </c>
      <c r="M32" s="693">
        <v>14539</v>
      </c>
      <c r="N32" s="692">
        <v>488</v>
      </c>
      <c r="O32" s="692">
        <v>239</v>
      </c>
      <c r="P32" s="693">
        <v>727</v>
      </c>
      <c r="Q32" s="692">
        <v>1609</v>
      </c>
      <c r="R32" s="692">
        <v>515</v>
      </c>
      <c r="S32" s="693">
        <v>2124</v>
      </c>
      <c r="T32" s="692">
        <v>374</v>
      </c>
      <c r="U32" s="692">
        <v>187</v>
      </c>
      <c r="V32" s="693">
        <v>561</v>
      </c>
      <c r="W32" s="692">
        <v>839</v>
      </c>
      <c r="X32" s="692">
        <v>231</v>
      </c>
      <c r="Y32" s="693">
        <v>1070</v>
      </c>
      <c r="Z32" s="693">
        <v>26452</v>
      </c>
      <c r="AA32" s="693">
        <v>13275</v>
      </c>
      <c r="AB32" s="693">
        <v>39727</v>
      </c>
    </row>
    <row r="33" spans="1:28" ht="16.899999999999999" customHeight="1">
      <c r="A33" s="612" t="s">
        <v>831</v>
      </c>
      <c r="B33" s="613">
        <v>5214</v>
      </c>
      <c r="C33" s="613">
        <v>2458</v>
      </c>
      <c r="D33" s="613">
        <v>7672</v>
      </c>
      <c r="E33" s="613">
        <v>202</v>
      </c>
      <c r="F33" s="613">
        <v>158</v>
      </c>
      <c r="G33" s="613">
        <v>360</v>
      </c>
      <c r="H33" s="613">
        <v>6306</v>
      </c>
      <c r="I33" s="613">
        <v>4171</v>
      </c>
      <c r="J33" s="613">
        <v>10477</v>
      </c>
      <c r="K33" s="613">
        <v>9881</v>
      </c>
      <c r="L33" s="613">
        <v>4607</v>
      </c>
      <c r="M33" s="613">
        <v>14488</v>
      </c>
      <c r="N33" s="613">
        <v>502</v>
      </c>
      <c r="O33" s="613">
        <v>261</v>
      </c>
      <c r="P33" s="613">
        <v>763</v>
      </c>
      <c r="Q33" s="613">
        <v>1828</v>
      </c>
      <c r="R33" s="613">
        <v>576</v>
      </c>
      <c r="S33" s="613">
        <v>2404</v>
      </c>
      <c r="T33" s="613">
        <v>354</v>
      </c>
      <c r="U33" s="613">
        <v>118</v>
      </c>
      <c r="V33" s="613">
        <v>472</v>
      </c>
      <c r="W33" s="613">
        <v>625</v>
      </c>
      <c r="X33" s="613">
        <v>235</v>
      </c>
      <c r="Y33" s="613">
        <v>860</v>
      </c>
      <c r="Z33" s="613">
        <v>24912</v>
      </c>
      <c r="AA33" s="613">
        <v>12584</v>
      </c>
      <c r="AB33" s="613">
        <v>37496</v>
      </c>
    </row>
    <row r="34" spans="1:28" ht="16.899999999999999" customHeight="1">
      <c r="A34" s="612" t="s">
        <v>830</v>
      </c>
      <c r="B34" s="379">
        <v>6820</v>
      </c>
      <c r="C34" s="379">
        <v>2681</v>
      </c>
      <c r="D34" s="209">
        <v>9501</v>
      </c>
      <c r="E34" s="379">
        <v>164</v>
      </c>
      <c r="F34" s="379">
        <v>166</v>
      </c>
      <c r="G34" s="209">
        <v>330</v>
      </c>
      <c r="H34" s="379">
        <v>7631</v>
      </c>
      <c r="I34" s="379">
        <v>4099</v>
      </c>
      <c r="J34" s="209">
        <v>11730</v>
      </c>
      <c r="K34" s="379">
        <v>11888</v>
      </c>
      <c r="L34" s="379">
        <v>4138</v>
      </c>
      <c r="M34" s="209">
        <v>16026</v>
      </c>
      <c r="N34" s="379">
        <v>906</v>
      </c>
      <c r="O34" s="379">
        <v>394</v>
      </c>
      <c r="P34" s="209">
        <v>1300</v>
      </c>
      <c r="Q34" s="379">
        <v>1818</v>
      </c>
      <c r="R34" s="379">
        <v>554</v>
      </c>
      <c r="S34" s="209">
        <v>2372</v>
      </c>
      <c r="T34" s="379">
        <v>353</v>
      </c>
      <c r="U34" s="379">
        <v>101</v>
      </c>
      <c r="V34" s="209">
        <v>454</v>
      </c>
      <c r="W34" s="379">
        <v>935</v>
      </c>
      <c r="X34" s="379">
        <v>273</v>
      </c>
      <c r="Y34" s="209">
        <v>1208</v>
      </c>
      <c r="Z34" s="209">
        <v>30515</v>
      </c>
      <c r="AA34" s="209">
        <v>12406</v>
      </c>
      <c r="AB34" s="209">
        <v>42921</v>
      </c>
    </row>
    <row r="35" spans="1:28" ht="16.899999999999999" customHeight="1">
      <c r="A35" s="615" t="s">
        <v>829</v>
      </c>
      <c r="B35" s="616">
        <v>5417</v>
      </c>
      <c r="C35" s="616">
        <v>2710</v>
      </c>
      <c r="D35" s="616">
        <v>8127</v>
      </c>
      <c r="E35" s="616">
        <v>170</v>
      </c>
      <c r="F35" s="616">
        <v>174</v>
      </c>
      <c r="G35" s="616">
        <v>344</v>
      </c>
      <c r="H35" s="616">
        <v>8383</v>
      </c>
      <c r="I35" s="616">
        <v>4031</v>
      </c>
      <c r="J35" s="616">
        <v>12414</v>
      </c>
      <c r="K35" s="616">
        <v>12768</v>
      </c>
      <c r="L35" s="616">
        <v>4272</v>
      </c>
      <c r="M35" s="616">
        <v>17040</v>
      </c>
      <c r="N35" s="616">
        <v>813</v>
      </c>
      <c r="O35" s="616">
        <v>352</v>
      </c>
      <c r="P35" s="616">
        <v>1165</v>
      </c>
      <c r="Q35" s="616">
        <v>1832</v>
      </c>
      <c r="R35" s="616">
        <v>486</v>
      </c>
      <c r="S35" s="616">
        <v>2318</v>
      </c>
      <c r="T35" s="616">
        <v>334</v>
      </c>
      <c r="U35" s="616">
        <v>98</v>
      </c>
      <c r="V35" s="616">
        <v>432</v>
      </c>
      <c r="W35" s="616">
        <v>1649</v>
      </c>
      <c r="X35" s="616">
        <v>670</v>
      </c>
      <c r="Y35" s="616">
        <v>2319</v>
      </c>
      <c r="Z35" s="617">
        <v>31366</v>
      </c>
      <c r="AA35" s="617">
        <v>12793</v>
      </c>
      <c r="AB35" s="617">
        <v>44159</v>
      </c>
    </row>
    <row r="36" spans="1:28" ht="16.899999999999999" customHeight="1">
      <c r="A36" s="690" t="s">
        <v>828</v>
      </c>
      <c r="B36" s="694">
        <v>5598</v>
      </c>
      <c r="C36" s="694">
        <v>2592</v>
      </c>
      <c r="D36" s="694">
        <v>8190</v>
      </c>
      <c r="E36" s="694">
        <v>219</v>
      </c>
      <c r="F36" s="694">
        <v>176</v>
      </c>
      <c r="G36" s="694">
        <v>395</v>
      </c>
      <c r="H36" s="694">
        <v>7544</v>
      </c>
      <c r="I36" s="694">
        <v>3696</v>
      </c>
      <c r="J36" s="694">
        <v>11240</v>
      </c>
      <c r="K36" s="694">
        <v>11257</v>
      </c>
      <c r="L36" s="694">
        <v>3700</v>
      </c>
      <c r="M36" s="694">
        <v>14957</v>
      </c>
      <c r="N36" s="694">
        <v>711</v>
      </c>
      <c r="O36" s="694">
        <v>228</v>
      </c>
      <c r="P36" s="694">
        <v>939</v>
      </c>
      <c r="Q36" s="694">
        <v>1632</v>
      </c>
      <c r="R36" s="694">
        <v>438</v>
      </c>
      <c r="S36" s="694">
        <v>2070</v>
      </c>
      <c r="T36" s="694">
        <v>373</v>
      </c>
      <c r="U36" s="694">
        <v>106</v>
      </c>
      <c r="V36" s="694">
        <v>479</v>
      </c>
      <c r="W36" s="694">
        <v>1430</v>
      </c>
      <c r="X36" s="694">
        <v>625</v>
      </c>
      <c r="Y36" s="694">
        <v>2055</v>
      </c>
      <c r="Z36" s="694">
        <v>28764</v>
      </c>
      <c r="AA36" s="694">
        <v>11561</v>
      </c>
      <c r="AB36" s="694">
        <v>40325</v>
      </c>
    </row>
    <row r="37" spans="1:28" ht="16.899999999999999" customHeight="1">
      <c r="A37" s="641" t="s">
        <v>126</v>
      </c>
      <c r="B37" s="687"/>
      <c r="C37" s="687"/>
      <c r="D37" s="687"/>
      <c r="E37" s="687"/>
      <c r="F37" s="687"/>
      <c r="G37" s="687"/>
      <c r="H37" s="687"/>
      <c r="I37" s="687"/>
      <c r="J37" s="687"/>
      <c r="K37" s="687"/>
      <c r="L37" s="687"/>
      <c r="M37" s="687"/>
      <c r="N37" s="687"/>
      <c r="O37" s="687"/>
      <c r="P37" s="687"/>
      <c r="Q37" s="687"/>
      <c r="R37" s="687"/>
      <c r="S37" s="687"/>
      <c r="T37" s="687"/>
      <c r="U37" s="687"/>
      <c r="V37" s="687"/>
      <c r="W37" s="687"/>
      <c r="X37" s="687"/>
      <c r="Y37" s="687"/>
      <c r="Z37" s="687"/>
      <c r="AA37" s="687"/>
      <c r="AB37" s="687"/>
    </row>
    <row r="38" spans="1:28" ht="16.899999999999999" customHeight="1">
      <c r="A38" s="615" t="s">
        <v>832</v>
      </c>
      <c r="B38" s="692">
        <v>27086</v>
      </c>
      <c r="C38" s="692">
        <v>25922</v>
      </c>
      <c r="D38" s="693">
        <v>53008</v>
      </c>
      <c r="E38" s="692">
        <v>3925</v>
      </c>
      <c r="F38" s="692">
        <v>6442</v>
      </c>
      <c r="G38" s="693">
        <v>10367</v>
      </c>
      <c r="H38" s="692">
        <v>387245</v>
      </c>
      <c r="I38" s="692">
        <v>540175</v>
      </c>
      <c r="J38" s="693">
        <v>927420</v>
      </c>
      <c r="K38" s="692">
        <v>768433</v>
      </c>
      <c r="L38" s="692">
        <v>629094</v>
      </c>
      <c r="M38" s="693">
        <v>1397527</v>
      </c>
      <c r="N38" s="692">
        <v>29517</v>
      </c>
      <c r="O38" s="692">
        <v>27798</v>
      </c>
      <c r="P38" s="693">
        <v>57315</v>
      </c>
      <c r="Q38" s="692">
        <v>39233</v>
      </c>
      <c r="R38" s="692">
        <v>27092</v>
      </c>
      <c r="S38" s="693">
        <v>66325</v>
      </c>
      <c r="T38" s="692">
        <v>10200</v>
      </c>
      <c r="U38" s="692">
        <v>14557</v>
      </c>
      <c r="V38" s="693">
        <v>24757</v>
      </c>
      <c r="W38" s="692">
        <v>22021</v>
      </c>
      <c r="X38" s="692">
        <v>19733</v>
      </c>
      <c r="Y38" s="693">
        <v>41754</v>
      </c>
      <c r="Z38" s="693">
        <v>1287660</v>
      </c>
      <c r="AA38" s="693">
        <v>1290813</v>
      </c>
      <c r="AB38" s="693">
        <v>2578473</v>
      </c>
    </row>
    <row r="39" spans="1:28" ht="16.899999999999999" customHeight="1">
      <c r="A39" s="612" t="s">
        <v>831</v>
      </c>
      <c r="B39" s="613">
        <v>27002</v>
      </c>
      <c r="C39" s="613">
        <v>23308</v>
      </c>
      <c r="D39" s="613">
        <v>50310</v>
      </c>
      <c r="E39" s="613">
        <v>3969</v>
      </c>
      <c r="F39" s="613">
        <v>5933</v>
      </c>
      <c r="G39" s="613">
        <v>9902</v>
      </c>
      <c r="H39" s="613">
        <v>368065</v>
      </c>
      <c r="I39" s="613">
        <v>495889</v>
      </c>
      <c r="J39" s="613">
        <v>863954</v>
      </c>
      <c r="K39" s="613">
        <v>681006</v>
      </c>
      <c r="L39" s="613">
        <v>577931</v>
      </c>
      <c r="M39" s="613">
        <v>1258937</v>
      </c>
      <c r="N39" s="613">
        <v>28839</v>
      </c>
      <c r="O39" s="613">
        <v>27724</v>
      </c>
      <c r="P39" s="613">
        <v>56563</v>
      </c>
      <c r="Q39" s="613">
        <v>48627</v>
      </c>
      <c r="R39" s="613">
        <v>30894</v>
      </c>
      <c r="S39" s="613">
        <v>79521</v>
      </c>
      <c r="T39" s="613">
        <v>13639</v>
      </c>
      <c r="U39" s="613">
        <v>16851</v>
      </c>
      <c r="V39" s="613">
        <v>30490</v>
      </c>
      <c r="W39" s="613">
        <v>20421</v>
      </c>
      <c r="X39" s="613">
        <v>17506</v>
      </c>
      <c r="Y39" s="613">
        <v>37927</v>
      </c>
      <c r="Z39" s="613">
        <v>1191568</v>
      </c>
      <c r="AA39" s="613">
        <v>1196036</v>
      </c>
      <c r="AB39" s="613">
        <v>2387604</v>
      </c>
    </row>
    <row r="40" spans="1:28" ht="16.899999999999999" customHeight="1">
      <c r="A40" s="612" t="s">
        <v>830</v>
      </c>
      <c r="B40" s="379">
        <v>24042</v>
      </c>
      <c r="C40" s="379">
        <v>19917</v>
      </c>
      <c r="D40" s="209">
        <v>43959</v>
      </c>
      <c r="E40" s="379">
        <v>4535</v>
      </c>
      <c r="F40" s="379">
        <v>6954</v>
      </c>
      <c r="G40" s="209">
        <v>11489</v>
      </c>
      <c r="H40" s="379">
        <v>440113</v>
      </c>
      <c r="I40" s="379">
        <v>534821</v>
      </c>
      <c r="J40" s="209">
        <v>974934</v>
      </c>
      <c r="K40" s="379">
        <v>716369</v>
      </c>
      <c r="L40" s="379">
        <v>584153</v>
      </c>
      <c r="M40" s="209">
        <v>1300522</v>
      </c>
      <c r="N40" s="379">
        <v>39379</v>
      </c>
      <c r="O40" s="379">
        <v>40377</v>
      </c>
      <c r="P40" s="209">
        <v>79756</v>
      </c>
      <c r="Q40" s="379">
        <v>70633</v>
      </c>
      <c r="R40" s="379">
        <v>39897</v>
      </c>
      <c r="S40" s="209">
        <v>110530</v>
      </c>
      <c r="T40" s="379">
        <v>14790</v>
      </c>
      <c r="U40" s="379">
        <v>25917</v>
      </c>
      <c r="V40" s="209">
        <v>40707</v>
      </c>
      <c r="W40" s="379">
        <v>19453</v>
      </c>
      <c r="X40" s="379">
        <v>15283</v>
      </c>
      <c r="Y40" s="209">
        <v>34736</v>
      </c>
      <c r="Z40" s="209">
        <v>1329314</v>
      </c>
      <c r="AA40" s="209">
        <v>1267319</v>
      </c>
      <c r="AB40" s="209">
        <v>2596633</v>
      </c>
    </row>
    <row r="41" spans="1:28" ht="16.899999999999999" customHeight="1">
      <c r="A41" s="615" t="s">
        <v>829</v>
      </c>
      <c r="B41" s="616">
        <v>22465</v>
      </c>
      <c r="C41" s="616">
        <v>19100</v>
      </c>
      <c r="D41" s="616">
        <v>41565</v>
      </c>
      <c r="E41" s="616">
        <v>5146</v>
      </c>
      <c r="F41" s="616">
        <v>8289</v>
      </c>
      <c r="G41" s="616">
        <v>13435</v>
      </c>
      <c r="H41" s="616">
        <v>451032</v>
      </c>
      <c r="I41" s="616">
        <v>568594</v>
      </c>
      <c r="J41" s="616">
        <v>1019626</v>
      </c>
      <c r="K41" s="616">
        <v>772422</v>
      </c>
      <c r="L41" s="616">
        <v>678820</v>
      </c>
      <c r="M41" s="616">
        <v>1451242</v>
      </c>
      <c r="N41" s="616">
        <v>36591</v>
      </c>
      <c r="O41" s="616">
        <v>33788</v>
      </c>
      <c r="P41" s="616">
        <v>70379</v>
      </c>
      <c r="Q41" s="616">
        <v>66830</v>
      </c>
      <c r="R41" s="616">
        <v>36636</v>
      </c>
      <c r="S41" s="616">
        <v>103466</v>
      </c>
      <c r="T41" s="616">
        <v>10921</v>
      </c>
      <c r="U41" s="616">
        <v>17697</v>
      </c>
      <c r="V41" s="616">
        <v>28618</v>
      </c>
      <c r="W41" s="616">
        <v>18292</v>
      </c>
      <c r="X41" s="616">
        <v>14712</v>
      </c>
      <c r="Y41" s="616">
        <v>33004</v>
      </c>
      <c r="Z41" s="617">
        <v>1383699</v>
      </c>
      <c r="AA41" s="617">
        <v>1377636</v>
      </c>
      <c r="AB41" s="617">
        <v>2761335</v>
      </c>
    </row>
    <row r="42" spans="1:28" ht="16.899999999999999" customHeight="1">
      <c r="A42" s="690" t="s">
        <v>828</v>
      </c>
      <c r="B42" s="694">
        <v>20035</v>
      </c>
      <c r="C42" s="694">
        <v>16389</v>
      </c>
      <c r="D42" s="694">
        <v>36424</v>
      </c>
      <c r="E42" s="694">
        <v>5860</v>
      </c>
      <c r="F42" s="694">
        <v>7907</v>
      </c>
      <c r="G42" s="694">
        <v>13767</v>
      </c>
      <c r="H42" s="694">
        <v>455938</v>
      </c>
      <c r="I42" s="694">
        <v>552384</v>
      </c>
      <c r="J42" s="694">
        <v>1008322</v>
      </c>
      <c r="K42" s="694">
        <v>694102</v>
      </c>
      <c r="L42" s="694">
        <v>570557</v>
      </c>
      <c r="M42" s="694">
        <v>1264659</v>
      </c>
      <c r="N42" s="694">
        <v>50636</v>
      </c>
      <c r="O42" s="694">
        <v>53204</v>
      </c>
      <c r="P42" s="694">
        <v>103840</v>
      </c>
      <c r="Q42" s="694">
        <v>92884</v>
      </c>
      <c r="R42" s="694">
        <v>46274</v>
      </c>
      <c r="S42" s="694">
        <v>139158</v>
      </c>
      <c r="T42" s="694">
        <v>10420</v>
      </c>
      <c r="U42" s="694">
        <v>12323</v>
      </c>
      <c r="V42" s="694">
        <v>22743</v>
      </c>
      <c r="W42" s="694">
        <v>20491</v>
      </c>
      <c r="X42" s="694">
        <v>15060</v>
      </c>
      <c r="Y42" s="694">
        <v>35551</v>
      </c>
      <c r="Z42" s="694">
        <v>1350366</v>
      </c>
      <c r="AA42" s="694">
        <v>1274098</v>
      </c>
      <c r="AB42" s="694">
        <v>2624464</v>
      </c>
    </row>
    <row r="43" spans="1:28" ht="16.899999999999999" customHeight="1">
      <c r="A43" s="641" t="s">
        <v>127</v>
      </c>
      <c r="B43" s="687"/>
      <c r="C43" s="687"/>
      <c r="D43" s="687"/>
      <c r="E43" s="687"/>
      <c r="F43" s="687"/>
      <c r="G43" s="687"/>
      <c r="H43" s="687"/>
      <c r="I43" s="687"/>
      <c r="J43" s="687"/>
      <c r="K43" s="687"/>
      <c r="L43" s="687"/>
      <c r="M43" s="687"/>
      <c r="N43" s="687"/>
      <c r="O43" s="687"/>
      <c r="P43" s="687"/>
      <c r="Q43" s="687"/>
      <c r="R43" s="687"/>
      <c r="S43" s="687"/>
      <c r="T43" s="687"/>
      <c r="U43" s="687"/>
      <c r="V43" s="687"/>
      <c r="W43" s="687"/>
      <c r="X43" s="687"/>
      <c r="Y43" s="687"/>
      <c r="Z43" s="687"/>
      <c r="AA43" s="687"/>
      <c r="AB43" s="687"/>
    </row>
    <row r="44" spans="1:28" ht="16.899999999999999" customHeight="1">
      <c r="A44" s="615" t="s">
        <v>832</v>
      </c>
      <c r="B44" s="692">
        <v>112</v>
      </c>
      <c r="C44" s="692">
        <v>71</v>
      </c>
      <c r="D44" s="693">
        <v>183</v>
      </c>
      <c r="E44" s="692">
        <v>14</v>
      </c>
      <c r="F44" s="692">
        <v>11</v>
      </c>
      <c r="G44" s="693">
        <v>25</v>
      </c>
      <c r="H44" s="692">
        <v>97882</v>
      </c>
      <c r="I44" s="692">
        <v>97968</v>
      </c>
      <c r="J44" s="693">
        <v>195850</v>
      </c>
      <c r="K44" s="692">
        <v>584872</v>
      </c>
      <c r="L44" s="692">
        <v>338072</v>
      </c>
      <c r="M44" s="693">
        <v>922944</v>
      </c>
      <c r="N44" s="692">
        <v>8266</v>
      </c>
      <c r="O44" s="692">
        <v>7616</v>
      </c>
      <c r="P44" s="693">
        <v>15882</v>
      </c>
      <c r="Q44" s="692">
        <v>28729</v>
      </c>
      <c r="R44" s="692">
        <v>22808</v>
      </c>
      <c r="S44" s="693">
        <v>51537</v>
      </c>
      <c r="T44" s="692">
        <v>12800</v>
      </c>
      <c r="U44" s="692">
        <v>8839</v>
      </c>
      <c r="V44" s="693">
        <v>21639</v>
      </c>
      <c r="W44" s="692">
        <v>0</v>
      </c>
      <c r="X44" s="692">
        <v>0</v>
      </c>
      <c r="Y44" s="693">
        <v>0</v>
      </c>
      <c r="Z44" s="693">
        <v>732675</v>
      </c>
      <c r="AA44" s="693">
        <v>475385</v>
      </c>
      <c r="AB44" s="693">
        <v>1208060</v>
      </c>
    </row>
    <row r="45" spans="1:28" ht="16.899999999999999" customHeight="1">
      <c r="A45" s="612" t="s">
        <v>831</v>
      </c>
      <c r="B45" s="613">
        <v>124</v>
      </c>
      <c r="C45" s="613">
        <v>74</v>
      </c>
      <c r="D45" s="613">
        <v>198</v>
      </c>
      <c r="E45" s="613">
        <v>0</v>
      </c>
      <c r="F45" s="613">
        <v>0</v>
      </c>
      <c r="G45" s="613">
        <v>0</v>
      </c>
      <c r="H45" s="613">
        <v>89507</v>
      </c>
      <c r="I45" s="613">
        <v>88333</v>
      </c>
      <c r="J45" s="613">
        <v>177840</v>
      </c>
      <c r="K45" s="613">
        <v>584970</v>
      </c>
      <c r="L45" s="613">
        <v>324191</v>
      </c>
      <c r="M45" s="613">
        <v>909161</v>
      </c>
      <c r="N45" s="613">
        <v>13861</v>
      </c>
      <c r="O45" s="613">
        <v>13120</v>
      </c>
      <c r="P45" s="613">
        <v>26981</v>
      </c>
      <c r="Q45" s="613">
        <v>26192</v>
      </c>
      <c r="R45" s="613">
        <v>17391</v>
      </c>
      <c r="S45" s="613">
        <v>43583</v>
      </c>
      <c r="T45" s="613">
        <v>8656</v>
      </c>
      <c r="U45" s="613">
        <v>8328</v>
      </c>
      <c r="V45" s="613">
        <v>16984</v>
      </c>
      <c r="W45" s="613">
        <v>0</v>
      </c>
      <c r="X45" s="613">
        <v>0</v>
      </c>
      <c r="Y45" s="613">
        <v>0</v>
      </c>
      <c r="Z45" s="613">
        <v>723310</v>
      </c>
      <c r="AA45" s="613">
        <v>451437</v>
      </c>
      <c r="AB45" s="613">
        <v>1174747</v>
      </c>
    </row>
    <row r="46" spans="1:28" ht="16.899999999999999" customHeight="1">
      <c r="A46" s="612" t="s">
        <v>830</v>
      </c>
      <c r="B46" s="379">
        <v>95</v>
      </c>
      <c r="C46" s="379">
        <v>55</v>
      </c>
      <c r="D46" s="209">
        <v>150</v>
      </c>
      <c r="E46" s="379">
        <v>0</v>
      </c>
      <c r="F46" s="379">
        <v>0</v>
      </c>
      <c r="G46" s="209">
        <v>0</v>
      </c>
      <c r="H46" s="379">
        <v>98422</v>
      </c>
      <c r="I46" s="379">
        <v>86079</v>
      </c>
      <c r="J46" s="209">
        <v>184501</v>
      </c>
      <c r="K46" s="379">
        <v>558849</v>
      </c>
      <c r="L46" s="379">
        <v>296255</v>
      </c>
      <c r="M46" s="209">
        <v>855104</v>
      </c>
      <c r="N46" s="379">
        <v>5863</v>
      </c>
      <c r="O46" s="379">
        <v>3819</v>
      </c>
      <c r="P46" s="209">
        <v>9682</v>
      </c>
      <c r="Q46" s="379">
        <v>13351</v>
      </c>
      <c r="R46" s="379">
        <v>8532</v>
      </c>
      <c r="S46" s="209">
        <v>21883</v>
      </c>
      <c r="T46" s="379">
        <v>9168</v>
      </c>
      <c r="U46" s="379">
        <v>9595</v>
      </c>
      <c r="V46" s="209">
        <v>18763</v>
      </c>
      <c r="W46" s="379">
        <v>0</v>
      </c>
      <c r="X46" s="379">
        <v>0</v>
      </c>
      <c r="Y46" s="209">
        <v>0</v>
      </c>
      <c r="Z46" s="209">
        <v>685748</v>
      </c>
      <c r="AA46" s="209">
        <v>404335</v>
      </c>
      <c r="AB46" s="209">
        <v>1090083</v>
      </c>
    </row>
    <row r="47" spans="1:28" ht="16.899999999999999" customHeight="1">
      <c r="A47" s="615" t="s">
        <v>829</v>
      </c>
      <c r="B47" s="616">
        <v>82</v>
      </c>
      <c r="C47" s="616">
        <v>35</v>
      </c>
      <c r="D47" s="616">
        <v>117</v>
      </c>
      <c r="E47" s="616">
        <v>0</v>
      </c>
      <c r="F47" s="616">
        <v>0</v>
      </c>
      <c r="G47" s="616">
        <v>0</v>
      </c>
      <c r="H47" s="616">
        <v>109541</v>
      </c>
      <c r="I47" s="616">
        <v>80947</v>
      </c>
      <c r="J47" s="616">
        <v>190488</v>
      </c>
      <c r="K47" s="616">
        <v>531799</v>
      </c>
      <c r="L47" s="616">
        <v>283596</v>
      </c>
      <c r="M47" s="616">
        <v>815395</v>
      </c>
      <c r="N47" s="616">
        <v>4767</v>
      </c>
      <c r="O47" s="616">
        <v>2622</v>
      </c>
      <c r="P47" s="616">
        <v>7389</v>
      </c>
      <c r="Q47" s="616">
        <v>27472</v>
      </c>
      <c r="R47" s="616">
        <v>11206</v>
      </c>
      <c r="S47" s="616">
        <v>38678</v>
      </c>
      <c r="T47" s="616">
        <v>24153</v>
      </c>
      <c r="U47" s="616">
        <v>4592</v>
      </c>
      <c r="V47" s="616">
        <v>28745</v>
      </c>
      <c r="W47" s="616">
        <v>0</v>
      </c>
      <c r="X47" s="616">
        <v>0</v>
      </c>
      <c r="Y47" s="616">
        <v>0</v>
      </c>
      <c r="Z47" s="617">
        <v>697814</v>
      </c>
      <c r="AA47" s="617">
        <v>382998</v>
      </c>
      <c r="AB47" s="617">
        <v>1080812</v>
      </c>
    </row>
    <row r="48" spans="1:28" ht="16.899999999999999" customHeight="1">
      <c r="A48" s="690" t="s">
        <v>828</v>
      </c>
      <c r="B48" s="694">
        <v>184</v>
      </c>
      <c r="C48" s="694">
        <v>101</v>
      </c>
      <c r="D48" s="694">
        <v>285</v>
      </c>
      <c r="E48" s="694">
        <v>0</v>
      </c>
      <c r="F48" s="694">
        <v>0</v>
      </c>
      <c r="G48" s="694">
        <v>0</v>
      </c>
      <c r="H48" s="694">
        <v>83597</v>
      </c>
      <c r="I48" s="694">
        <v>75512</v>
      </c>
      <c r="J48" s="694">
        <v>159109</v>
      </c>
      <c r="K48" s="694">
        <v>529365</v>
      </c>
      <c r="L48" s="694">
        <v>355575</v>
      </c>
      <c r="M48" s="694">
        <v>884940</v>
      </c>
      <c r="N48" s="694">
        <v>2915</v>
      </c>
      <c r="O48" s="694">
        <v>2037</v>
      </c>
      <c r="P48" s="694">
        <v>4952</v>
      </c>
      <c r="Q48" s="694">
        <v>20741</v>
      </c>
      <c r="R48" s="694">
        <v>13487</v>
      </c>
      <c r="S48" s="694">
        <v>34228</v>
      </c>
      <c r="T48" s="694">
        <v>5837</v>
      </c>
      <c r="U48" s="694">
        <v>11809</v>
      </c>
      <c r="V48" s="694">
        <v>17646</v>
      </c>
      <c r="W48" s="694">
        <v>0</v>
      </c>
      <c r="X48" s="694">
        <v>0</v>
      </c>
      <c r="Y48" s="694">
        <v>0</v>
      </c>
      <c r="Z48" s="694">
        <v>642639</v>
      </c>
      <c r="AA48" s="694">
        <v>458521</v>
      </c>
      <c r="AB48" s="694">
        <v>1101160</v>
      </c>
    </row>
    <row r="49" spans="1:28" ht="30">
      <c r="A49" s="699" t="s">
        <v>129</v>
      </c>
      <c r="B49" s="687"/>
      <c r="C49" s="687"/>
      <c r="D49" s="687"/>
      <c r="E49" s="687"/>
      <c r="F49" s="687"/>
      <c r="G49" s="687"/>
      <c r="H49" s="687"/>
      <c r="I49" s="687"/>
      <c r="J49" s="687"/>
      <c r="K49" s="687"/>
      <c r="L49" s="687"/>
      <c r="M49" s="687"/>
      <c r="N49" s="687"/>
      <c r="O49" s="687"/>
      <c r="P49" s="687"/>
      <c r="Q49" s="687"/>
      <c r="R49" s="687"/>
      <c r="S49" s="687"/>
      <c r="T49" s="687"/>
      <c r="U49" s="687"/>
      <c r="V49" s="687"/>
      <c r="W49" s="687"/>
      <c r="X49" s="687"/>
      <c r="Y49" s="687"/>
      <c r="Z49" s="687"/>
      <c r="AA49" s="687"/>
      <c r="AB49" s="687"/>
    </row>
    <row r="50" spans="1:28" ht="16.899999999999999" customHeight="1">
      <c r="A50" s="615" t="s">
        <v>832</v>
      </c>
      <c r="B50" s="692">
        <v>223</v>
      </c>
      <c r="C50" s="692">
        <v>58</v>
      </c>
      <c r="D50" s="693">
        <v>281</v>
      </c>
      <c r="E50" s="692">
        <v>0</v>
      </c>
      <c r="F50" s="692">
        <v>0</v>
      </c>
      <c r="G50" s="693">
        <v>0</v>
      </c>
      <c r="H50" s="692">
        <v>628</v>
      </c>
      <c r="I50" s="692">
        <v>595</v>
      </c>
      <c r="J50" s="693">
        <v>1223</v>
      </c>
      <c r="K50" s="692">
        <v>1389</v>
      </c>
      <c r="L50" s="692">
        <v>2755</v>
      </c>
      <c r="M50" s="693">
        <v>4144</v>
      </c>
      <c r="N50" s="692">
        <v>26</v>
      </c>
      <c r="O50" s="692">
        <v>56</v>
      </c>
      <c r="P50" s="693">
        <v>82</v>
      </c>
      <c r="Q50" s="692">
        <v>46</v>
      </c>
      <c r="R50" s="692">
        <v>193</v>
      </c>
      <c r="S50" s="693">
        <v>239</v>
      </c>
      <c r="T50" s="692">
        <v>38</v>
      </c>
      <c r="U50" s="692">
        <v>45</v>
      </c>
      <c r="V50" s="693">
        <v>83</v>
      </c>
      <c r="W50" s="692">
        <v>0</v>
      </c>
      <c r="X50" s="692">
        <v>0</v>
      </c>
      <c r="Y50" s="693">
        <v>0</v>
      </c>
      <c r="Z50" s="693">
        <v>2350</v>
      </c>
      <c r="AA50" s="693">
        <v>3702</v>
      </c>
      <c r="AB50" s="693">
        <v>6052</v>
      </c>
    </row>
    <row r="51" spans="1:28" ht="16.899999999999999" customHeight="1">
      <c r="A51" s="612" t="s">
        <v>831</v>
      </c>
      <c r="B51" s="613">
        <v>59</v>
      </c>
      <c r="C51" s="613">
        <v>14</v>
      </c>
      <c r="D51" s="613">
        <v>73</v>
      </c>
      <c r="E51" s="613">
        <v>0</v>
      </c>
      <c r="F51" s="613">
        <v>0</v>
      </c>
      <c r="G51" s="613">
        <v>0</v>
      </c>
      <c r="H51" s="613">
        <v>556</v>
      </c>
      <c r="I51" s="613">
        <v>479</v>
      </c>
      <c r="J51" s="613">
        <v>1035</v>
      </c>
      <c r="K51" s="613">
        <v>1283</v>
      </c>
      <c r="L51" s="613">
        <v>2597</v>
      </c>
      <c r="M51" s="613">
        <v>3880</v>
      </c>
      <c r="N51" s="613">
        <v>48</v>
      </c>
      <c r="O51" s="613">
        <v>31</v>
      </c>
      <c r="P51" s="613">
        <v>79</v>
      </c>
      <c r="Q51" s="613">
        <v>29</v>
      </c>
      <c r="R51" s="613">
        <v>14</v>
      </c>
      <c r="S51" s="613">
        <v>43</v>
      </c>
      <c r="T51" s="613">
        <v>4</v>
      </c>
      <c r="U51" s="613">
        <v>1</v>
      </c>
      <c r="V51" s="613">
        <v>5</v>
      </c>
      <c r="W51" s="613">
        <v>0</v>
      </c>
      <c r="X51" s="613">
        <v>0</v>
      </c>
      <c r="Y51" s="613">
        <v>0</v>
      </c>
      <c r="Z51" s="613">
        <v>1979</v>
      </c>
      <c r="AA51" s="613">
        <v>3136</v>
      </c>
      <c r="AB51" s="613">
        <v>5115</v>
      </c>
    </row>
    <row r="52" spans="1:28" ht="16.899999999999999" customHeight="1">
      <c r="A52" s="612" t="s">
        <v>830</v>
      </c>
      <c r="B52" s="379">
        <v>177</v>
      </c>
      <c r="C52" s="379">
        <v>23</v>
      </c>
      <c r="D52" s="209">
        <v>200</v>
      </c>
      <c r="E52" s="379">
        <v>0</v>
      </c>
      <c r="F52" s="379">
        <v>0</v>
      </c>
      <c r="G52" s="209">
        <v>0</v>
      </c>
      <c r="H52" s="379">
        <v>432</v>
      </c>
      <c r="I52" s="379">
        <v>245</v>
      </c>
      <c r="J52" s="209">
        <v>677</v>
      </c>
      <c r="K52" s="379">
        <v>823</v>
      </c>
      <c r="L52" s="379">
        <v>1727</v>
      </c>
      <c r="M52" s="209">
        <v>2550</v>
      </c>
      <c r="N52" s="379">
        <v>26</v>
      </c>
      <c r="O52" s="379">
        <v>16</v>
      </c>
      <c r="P52" s="209">
        <v>42</v>
      </c>
      <c r="Q52" s="379">
        <v>40</v>
      </c>
      <c r="R52" s="379">
        <v>162</v>
      </c>
      <c r="S52" s="209">
        <v>202</v>
      </c>
      <c r="T52" s="379">
        <v>25</v>
      </c>
      <c r="U52" s="379">
        <v>13</v>
      </c>
      <c r="V52" s="209">
        <v>38</v>
      </c>
      <c r="W52" s="379">
        <v>0</v>
      </c>
      <c r="X52" s="379">
        <v>0</v>
      </c>
      <c r="Y52" s="209">
        <v>0</v>
      </c>
      <c r="Z52" s="209">
        <v>1523</v>
      </c>
      <c r="AA52" s="209">
        <v>2186</v>
      </c>
      <c r="AB52" s="209">
        <v>3709</v>
      </c>
    </row>
    <row r="53" spans="1:28" ht="16.899999999999999" customHeight="1">
      <c r="A53" s="615" t="s">
        <v>829</v>
      </c>
      <c r="B53" s="616">
        <v>220</v>
      </c>
      <c r="C53" s="616">
        <v>36</v>
      </c>
      <c r="D53" s="616">
        <v>256</v>
      </c>
      <c r="E53" s="616">
        <v>0</v>
      </c>
      <c r="F53" s="616">
        <v>0</v>
      </c>
      <c r="G53" s="616">
        <v>0</v>
      </c>
      <c r="H53" s="616">
        <v>343</v>
      </c>
      <c r="I53" s="616">
        <v>333</v>
      </c>
      <c r="J53" s="616">
        <v>676</v>
      </c>
      <c r="K53" s="616">
        <v>784</v>
      </c>
      <c r="L53" s="616">
        <v>1861</v>
      </c>
      <c r="M53" s="616">
        <v>2645</v>
      </c>
      <c r="N53" s="616">
        <v>20</v>
      </c>
      <c r="O53" s="616">
        <v>12</v>
      </c>
      <c r="P53" s="616">
        <v>32</v>
      </c>
      <c r="Q53" s="616">
        <v>13</v>
      </c>
      <c r="R53" s="616">
        <v>9</v>
      </c>
      <c r="S53" s="616">
        <v>22</v>
      </c>
      <c r="T53" s="616">
        <v>25</v>
      </c>
      <c r="U53" s="616">
        <v>13</v>
      </c>
      <c r="V53" s="616">
        <v>38</v>
      </c>
      <c r="W53" s="616">
        <v>0</v>
      </c>
      <c r="X53" s="616">
        <v>0</v>
      </c>
      <c r="Y53" s="616">
        <v>0</v>
      </c>
      <c r="Z53" s="617">
        <v>1405</v>
      </c>
      <c r="AA53" s="617">
        <v>2264</v>
      </c>
      <c r="AB53" s="617">
        <v>3669</v>
      </c>
    </row>
    <row r="54" spans="1:28" ht="16.899999999999999" customHeight="1">
      <c r="A54" s="612" t="s">
        <v>828</v>
      </c>
      <c r="B54" s="618">
        <v>216</v>
      </c>
      <c r="C54" s="618">
        <v>25</v>
      </c>
      <c r="D54" s="618">
        <v>241</v>
      </c>
      <c r="E54" s="618">
        <v>0</v>
      </c>
      <c r="F54" s="618">
        <v>0</v>
      </c>
      <c r="G54" s="618">
        <v>0</v>
      </c>
      <c r="H54" s="618">
        <v>389</v>
      </c>
      <c r="I54" s="618">
        <v>335</v>
      </c>
      <c r="J54" s="618">
        <v>724</v>
      </c>
      <c r="K54" s="618">
        <v>599</v>
      </c>
      <c r="L54" s="618">
        <v>1668</v>
      </c>
      <c r="M54" s="618">
        <v>2267</v>
      </c>
      <c r="N54" s="618">
        <v>58</v>
      </c>
      <c r="O54" s="618">
        <v>189</v>
      </c>
      <c r="P54" s="618">
        <v>247</v>
      </c>
      <c r="Q54" s="618">
        <v>59</v>
      </c>
      <c r="R54" s="618">
        <v>151</v>
      </c>
      <c r="S54" s="618">
        <v>210</v>
      </c>
      <c r="T54" s="618">
        <v>25</v>
      </c>
      <c r="U54" s="618">
        <v>14</v>
      </c>
      <c r="V54" s="618">
        <v>39</v>
      </c>
      <c r="W54" s="618">
        <v>0</v>
      </c>
      <c r="X54" s="618">
        <v>0</v>
      </c>
      <c r="Y54" s="618">
        <v>0</v>
      </c>
      <c r="Z54" s="618">
        <v>1346</v>
      </c>
      <c r="AA54" s="618">
        <v>2382</v>
      </c>
      <c r="AB54" s="618">
        <v>3728</v>
      </c>
    </row>
    <row r="55" spans="1:28" ht="16.899999999999999" customHeight="1">
      <c r="A55" s="641" t="s">
        <v>128</v>
      </c>
      <c r="B55" s="687"/>
      <c r="C55" s="687"/>
      <c r="D55" s="687"/>
      <c r="E55" s="687"/>
      <c r="F55" s="687"/>
      <c r="G55" s="687"/>
      <c r="H55" s="687"/>
      <c r="I55" s="687"/>
      <c r="J55" s="687"/>
      <c r="K55" s="687"/>
      <c r="L55" s="687"/>
      <c r="M55" s="687"/>
      <c r="N55" s="687"/>
      <c r="O55" s="687"/>
      <c r="P55" s="687"/>
      <c r="Q55" s="687"/>
      <c r="R55" s="687"/>
      <c r="S55" s="687"/>
      <c r="T55" s="687"/>
      <c r="U55" s="687"/>
      <c r="V55" s="687"/>
      <c r="W55" s="687"/>
      <c r="X55" s="687"/>
      <c r="Y55" s="687"/>
      <c r="Z55" s="687"/>
      <c r="AA55" s="687"/>
      <c r="AB55" s="687"/>
    </row>
    <row r="56" spans="1:28" ht="16.899999999999999" customHeight="1">
      <c r="A56" s="615" t="s">
        <v>832</v>
      </c>
      <c r="B56" s="692">
        <v>12063</v>
      </c>
      <c r="C56" s="692">
        <v>11343</v>
      </c>
      <c r="D56" s="693">
        <v>23406</v>
      </c>
      <c r="E56" s="692">
        <v>644</v>
      </c>
      <c r="F56" s="692">
        <v>549</v>
      </c>
      <c r="G56" s="693">
        <v>1193</v>
      </c>
      <c r="H56" s="692">
        <v>129672</v>
      </c>
      <c r="I56" s="692">
        <v>93921</v>
      </c>
      <c r="J56" s="693">
        <v>223593</v>
      </c>
      <c r="K56" s="692">
        <v>568894</v>
      </c>
      <c r="L56" s="692">
        <v>278146</v>
      </c>
      <c r="M56" s="693">
        <v>847040</v>
      </c>
      <c r="N56" s="692">
        <v>10593</v>
      </c>
      <c r="O56" s="692">
        <v>10023</v>
      </c>
      <c r="P56" s="693">
        <v>20616</v>
      </c>
      <c r="Q56" s="692">
        <v>79832</v>
      </c>
      <c r="R56" s="692">
        <v>24946</v>
      </c>
      <c r="S56" s="693">
        <v>104778</v>
      </c>
      <c r="T56" s="692">
        <v>3164</v>
      </c>
      <c r="U56" s="692">
        <v>1197</v>
      </c>
      <c r="V56" s="693">
        <v>4361</v>
      </c>
      <c r="W56" s="692">
        <v>28845</v>
      </c>
      <c r="X56" s="692">
        <v>22369</v>
      </c>
      <c r="Y56" s="693">
        <v>51214</v>
      </c>
      <c r="Z56" s="693">
        <v>833707</v>
      </c>
      <c r="AA56" s="693">
        <v>442494</v>
      </c>
      <c r="AB56" s="693">
        <v>1276201</v>
      </c>
    </row>
    <row r="57" spans="1:28" ht="16.899999999999999" customHeight="1">
      <c r="A57" s="612" t="s">
        <v>831</v>
      </c>
      <c r="B57" s="613">
        <v>10426</v>
      </c>
      <c r="C57" s="613">
        <v>9160</v>
      </c>
      <c r="D57" s="613">
        <v>19586</v>
      </c>
      <c r="E57" s="613">
        <v>412</v>
      </c>
      <c r="F57" s="613">
        <v>442</v>
      </c>
      <c r="G57" s="613">
        <v>854</v>
      </c>
      <c r="H57" s="613">
        <v>120127</v>
      </c>
      <c r="I57" s="613">
        <v>84335</v>
      </c>
      <c r="J57" s="613">
        <v>204462</v>
      </c>
      <c r="K57" s="613">
        <v>520804</v>
      </c>
      <c r="L57" s="613">
        <v>249851</v>
      </c>
      <c r="M57" s="613">
        <v>770655</v>
      </c>
      <c r="N57" s="613">
        <v>13958</v>
      </c>
      <c r="O57" s="613">
        <v>11021</v>
      </c>
      <c r="P57" s="613">
        <v>24979</v>
      </c>
      <c r="Q57" s="613">
        <v>70940</v>
      </c>
      <c r="R57" s="613">
        <v>25827</v>
      </c>
      <c r="S57" s="613">
        <v>96767</v>
      </c>
      <c r="T57" s="613">
        <v>358</v>
      </c>
      <c r="U57" s="613">
        <v>272</v>
      </c>
      <c r="V57" s="613">
        <v>630</v>
      </c>
      <c r="W57" s="613">
        <v>22477</v>
      </c>
      <c r="X57" s="613">
        <v>16683</v>
      </c>
      <c r="Y57" s="613">
        <v>39160</v>
      </c>
      <c r="Z57" s="613">
        <v>759502</v>
      </c>
      <c r="AA57" s="613">
        <v>397591</v>
      </c>
      <c r="AB57" s="613">
        <v>1157093</v>
      </c>
    </row>
    <row r="58" spans="1:28" ht="16.899999999999999" customHeight="1">
      <c r="A58" s="612" t="s">
        <v>830</v>
      </c>
      <c r="B58" s="379">
        <v>7083</v>
      </c>
      <c r="C58" s="379">
        <v>6284</v>
      </c>
      <c r="D58" s="209">
        <v>13367</v>
      </c>
      <c r="E58" s="379">
        <v>333</v>
      </c>
      <c r="F58" s="379">
        <v>442</v>
      </c>
      <c r="G58" s="209">
        <v>775</v>
      </c>
      <c r="H58" s="379">
        <v>117798</v>
      </c>
      <c r="I58" s="379">
        <v>78796</v>
      </c>
      <c r="J58" s="209">
        <v>196594</v>
      </c>
      <c r="K58" s="379">
        <v>459409</v>
      </c>
      <c r="L58" s="379">
        <v>210774</v>
      </c>
      <c r="M58" s="209">
        <v>670183</v>
      </c>
      <c r="N58" s="379">
        <v>17331</v>
      </c>
      <c r="O58" s="379">
        <v>14746</v>
      </c>
      <c r="P58" s="209">
        <v>32077</v>
      </c>
      <c r="Q58" s="379">
        <v>66921</v>
      </c>
      <c r="R58" s="379">
        <v>24850</v>
      </c>
      <c r="S58" s="209">
        <v>91771</v>
      </c>
      <c r="T58" s="379">
        <v>712</v>
      </c>
      <c r="U58" s="379">
        <v>285</v>
      </c>
      <c r="V58" s="209">
        <v>997</v>
      </c>
      <c r="W58" s="379">
        <v>16837</v>
      </c>
      <c r="X58" s="379">
        <v>13128</v>
      </c>
      <c r="Y58" s="209">
        <v>29965</v>
      </c>
      <c r="Z58" s="209">
        <v>686424</v>
      </c>
      <c r="AA58" s="209">
        <v>349305</v>
      </c>
      <c r="AB58" s="209">
        <v>1035729</v>
      </c>
    </row>
    <row r="59" spans="1:28" ht="16.899999999999999" customHeight="1">
      <c r="A59" s="615" t="s">
        <v>829</v>
      </c>
      <c r="B59" s="616">
        <v>5565</v>
      </c>
      <c r="C59" s="616">
        <v>4590</v>
      </c>
      <c r="D59" s="616">
        <v>10155</v>
      </c>
      <c r="E59" s="616">
        <v>373</v>
      </c>
      <c r="F59" s="616">
        <v>478</v>
      </c>
      <c r="G59" s="616">
        <v>851</v>
      </c>
      <c r="H59" s="616">
        <v>81204</v>
      </c>
      <c r="I59" s="616">
        <v>60270</v>
      </c>
      <c r="J59" s="616">
        <v>141474</v>
      </c>
      <c r="K59" s="616">
        <v>355481</v>
      </c>
      <c r="L59" s="616">
        <v>147775</v>
      </c>
      <c r="M59" s="616">
        <v>503256</v>
      </c>
      <c r="N59" s="616">
        <v>9067</v>
      </c>
      <c r="O59" s="616">
        <v>8070</v>
      </c>
      <c r="P59" s="616">
        <v>17137</v>
      </c>
      <c r="Q59" s="616">
        <v>55293</v>
      </c>
      <c r="R59" s="616">
        <v>15598</v>
      </c>
      <c r="S59" s="616">
        <v>70891</v>
      </c>
      <c r="T59" s="616">
        <v>418</v>
      </c>
      <c r="U59" s="616">
        <v>84</v>
      </c>
      <c r="V59" s="616">
        <v>502</v>
      </c>
      <c r="W59" s="616">
        <v>13664</v>
      </c>
      <c r="X59" s="616">
        <v>10459</v>
      </c>
      <c r="Y59" s="616">
        <v>24123</v>
      </c>
      <c r="Z59" s="617">
        <v>521065</v>
      </c>
      <c r="AA59" s="617">
        <v>247324</v>
      </c>
      <c r="AB59" s="617">
        <v>768389</v>
      </c>
    </row>
    <row r="60" spans="1:28" ht="16.899999999999999" customHeight="1">
      <c r="A60" s="690" t="s">
        <v>828</v>
      </c>
      <c r="B60" s="694">
        <v>4112</v>
      </c>
      <c r="C60" s="694">
        <v>3052</v>
      </c>
      <c r="D60" s="694">
        <v>7164</v>
      </c>
      <c r="E60" s="694">
        <v>416</v>
      </c>
      <c r="F60" s="694">
        <v>448</v>
      </c>
      <c r="G60" s="694">
        <v>864</v>
      </c>
      <c r="H60" s="694">
        <v>67434</v>
      </c>
      <c r="I60" s="694">
        <v>43622</v>
      </c>
      <c r="J60" s="694">
        <v>111056</v>
      </c>
      <c r="K60" s="694">
        <v>282332</v>
      </c>
      <c r="L60" s="694">
        <v>103064</v>
      </c>
      <c r="M60" s="694">
        <v>385396</v>
      </c>
      <c r="N60" s="694">
        <v>7440</v>
      </c>
      <c r="O60" s="694">
        <v>7145</v>
      </c>
      <c r="P60" s="694">
        <v>14585</v>
      </c>
      <c r="Q60" s="694">
        <v>54920</v>
      </c>
      <c r="R60" s="694">
        <v>12677</v>
      </c>
      <c r="S60" s="694">
        <v>67597</v>
      </c>
      <c r="T60" s="694">
        <v>496</v>
      </c>
      <c r="U60" s="694">
        <v>179</v>
      </c>
      <c r="V60" s="694">
        <v>675</v>
      </c>
      <c r="W60" s="694">
        <v>9619</v>
      </c>
      <c r="X60" s="694">
        <v>6920</v>
      </c>
      <c r="Y60" s="694">
        <v>16539</v>
      </c>
      <c r="Z60" s="694">
        <v>426769</v>
      </c>
      <c r="AA60" s="694">
        <v>177107</v>
      </c>
      <c r="AB60" s="694">
        <v>603876</v>
      </c>
    </row>
    <row r="61" spans="1:28" ht="30">
      <c r="A61" s="699" t="s">
        <v>131</v>
      </c>
      <c r="B61" s="687"/>
      <c r="C61" s="687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687"/>
      <c r="S61" s="687"/>
      <c r="T61" s="687"/>
      <c r="U61" s="687"/>
      <c r="V61" s="687"/>
      <c r="W61" s="687"/>
      <c r="X61" s="687"/>
      <c r="Y61" s="687"/>
      <c r="Z61" s="687"/>
      <c r="AA61" s="687"/>
      <c r="AB61" s="687"/>
    </row>
    <row r="62" spans="1:28" ht="16.899999999999999" customHeight="1">
      <c r="A62" s="615" t="s">
        <v>832</v>
      </c>
      <c r="B62" s="692">
        <v>997</v>
      </c>
      <c r="C62" s="692">
        <v>1654</v>
      </c>
      <c r="D62" s="693">
        <v>2651</v>
      </c>
      <c r="E62" s="692">
        <v>145</v>
      </c>
      <c r="F62" s="692">
        <v>290</v>
      </c>
      <c r="G62" s="693">
        <v>435</v>
      </c>
      <c r="H62" s="692">
        <v>5542</v>
      </c>
      <c r="I62" s="692">
        <v>6900</v>
      </c>
      <c r="J62" s="693">
        <v>12442</v>
      </c>
      <c r="K62" s="692">
        <v>16704</v>
      </c>
      <c r="L62" s="692">
        <v>17252</v>
      </c>
      <c r="M62" s="693">
        <v>33956</v>
      </c>
      <c r="N62" s="692">
        <v>317</v>
      </c>
      <c r="O62" s="692">
        <v>276</v>
      </c>
      <c r="P62" s="693">
        <v>593</v>
      </c>
      <c r="Q62" s="692">
        <v>2756</v>
      </c>
      <c r="R62" s="692">
        <v>917</v>
      </c>
      <c r="S62" s="693">
        <v>3673</v>
      </c>
      <c r="T62" s="692">
        <v>803</v>
      </c>
      <c r="U62" s="692">
        <v>702</v>
      </c>
      <c r="V62" s="693">
        <v>1505</v>
      </c>
      <c r="W62" s="692">
        <v>384</v>
      </c>
      <c r="X62" s="692">
        <v>530</v>
      </c>
      <c r="Y62" s="693">
        <v>914</v>
      </c>
      <c r="Z62" s="693">
        <v>27648</v>
      </c>
      <c r="AA62" s="693">
        <v>28521</v>
      </c>
      <c r="AB62" s="693">
        <v>56169</v>
      </c>
    </row>
    <row r="63" spans="1:28" ht="16.899999999999999" customHeight="1">
      <c r="A63" s="612" t="s">
        <v>831</v>
      </c>
      <c r="B63" s="613">
        <v>1705</v>
      </c>
      <c r="C63" s="613">
        <v>1889</v>
      </c>
      <c r="D63" s="613">
        <v>3594</v>
      </c>
      <c r="E63" s="613">
        <v>197</v>
      </c>
      <c r="F63" s="613">
        <v>392</v>
      </c>
      <c r="G63" s="613">
        <v>589</v>
      </c>
      <c r="H63" s="613">
        <v>6334</v>
      </c>
      <c r="I63" s="613">
        <v>7555</v>
      </c>
      <c r="J63" s="613">
        <v>13889</v>
      </c>
      <c r="K63" s="613">
        <v>16337</v>
      </c>
      <c r="L63" s="613">
        <v>17902</v>
      </c>
      <c r="M63" s="613">
        <v>34239</v>
      </c>
      <c r="N63" s="613">
        <v>230</v>
      </c>
      <c r="O63" s="613">
        <v>214</v>
      </c>
      <c r="P63" s="613">
        <v>444</v>
      </c>
      <c r="Q63" s="613">
        <v>2345</v>
      </c>
      <c r="R63" s="613">
        <v>1157</v>
      </c>
      <c r="S63" s="613">
        <v>3502</v>
      </c>
      <c r="T63" s="613">
        <v>1565</v>
      </c>
      <c r="U63" s="613">
        <v>1260</v>
      </c>
      <c r="V63" s="613">
        <v>2825</v>
      </c>
      <c r="W63" s="613">
        <v>250</v>
      </c>
      <c r="X63" s="613">
        <v>388</v>
      </c>
      <c r="Y63" s="613">
        <v>638</v>
      </c>
      <c r="Z63" s="613">
        <v>28963</v>
      </c>
      <c r="AA63" s="613">
        <v>30757</v>
      </c>
      <c r="AB63" s="613">
        <v>59720</v>
      </c>
    </row>
    <row r="64" spans="1:28" ht="16.899999999999999" customHeight="1">
      <c r="A64" s="612" t="s">
        <v>830</v>
      </c>
      <c r="B64" s="379">
        <v>1683</v>
      </c>
      <c r="C64" s="379">
        <v>1366</v>
      </c>
      <c r="D64" s="209">
        <v>3049</v>
      </c>
      <c r="E64" s="379">
        <v>255</v>
      </c>
      <c r="F64" s="379">
        <v>431</v>
      </c>
      <c r="G64" s="209">
        <v>686</v>
      </c>
      <c r="H64" s="379">
        <v>8379</v>
      </c>
      <c r="I64" s="379">
        <v>7188</v>
      </c>
      <c r="J64" s="209">
        <v>15567</v>
      </c>
      <c r="K64" s="379">
        <v>14924</v>
      </c>
      <c r="L64" s="379">
        <v>14832</v>
      </c>
      <c r="M64" s="209">
        <v>29756</v>
      </c>
      <c r="N64" s="379">
        <v>294</v>
      </c>
      <c r="O64" s="379">
        <v>247</v>
      </c>
      <c r="P64" s="209">
        <v>541</v>
      </c>
      <c r="Q64" s="379">
        <v>2181</v>
      </c>
      <c r="R64" s="379">
        <v>1061</v>
      </c>
      <c r="S64" s="209">
        <v>3242</v>
      </c>
      <c r="T64" s="379">
        <v>1723</v>
      </c>
      <c r="U64" s="379">
        <v>1298</v>
      </c>
      <c r="V64" s="209">
        <v>3021</v>
      </c>
      <c r="W64" s="379">
        <v>29</v>
      </c>
      <c r="X64" s="379">
        <v>103</v>
      </c>
      <c r="Y64" s="209">
        <v>132</v>
      </c>
      <c r="Z64" s="209">
        <v>29468</v>
      </c>
      <c r="AA64" s="209">
        <v>26526</v>
      </c>
      <c r="AB64" s="209">
        <v>55994</v>
      </c>
    </row>
    <row r="65" spans="1:28" ht="16.899999999999999" customHeight="1">
      <c r="A65" s="615" t="s">
        <v>829</v>
      </c>
      <c r="B65" s="616">
        <v>1155</v>
      </c>
      <c r="C65" s="616">
        <v>1269</v>
      </c>
      <c r="D65" s="616">
        <v>2424</v>
      </c>
      <c r="E65" s="616">
        <v>248</v>
      </c>
      <c r="F65" s="616">
        <v>385</v>
      </c>
      <c r="G65" s="616">
        <v>633</v>
      </c>
      <c r="H65" s="616">
        <v>14982</v>
      </c>
      <c r="I65" s="616">
        <v>14991</v>
      </c>
      <c r="J65" s="616">
        <v>29973</v>
      </c>
      <c r="K65" s="616">
        <v>15185</v>
      </c>
      <c r="L65" s="616">
        <v>14551</v>
      </c>
      <c r="M65" s="616">
        <v>29736</v>
      </c>
      <c r="N65" s="616">
        <v>675</v>
      </c>
      <c r="O65" s="616">
        <v>452</v>
      </c>
      <c r="P65" s="616">
        <v>1127</v>
      </c>
      <c r="Q65" s="616">
        <v>2135</v>
      </c>
      <c r="R65" s="616">
        <v>1083</v>
      </c>
      <c r="S65" s="616">
        <v>3218</v>
      </c>
      <c r="T65" s="616">
        <v>1485</v>
      </c>
      <c r="U65" s="616">
        <v>1242</v>
      </c>
      <c r="V65" s="616">
        <v>2727</v>
      </c>
      <c r="W65" s="616">
        <v>9</v>
      </c>
      <c r="X65" s="616">
        <v>54</v>
      </c>
      <c r="Y65" s="616">
        <v>63</v>
      </c>
      <c r="Z65" s="617">
        <v>35874</v>
      </c>
      <c r="AA65" s="617">
        <v>34027</v>
      </c>
      <c r="AB65" s="617">
        <v>69901</v>
      </c>
    </row>
    <row r="66" spans="1:28" ht="16.899999999999999" customHeight="1">
      <c r="A66" s="690" t="s">
        <v>828</v>
      </c>
      <c r="B66" s="694">
        <v>1318</v>
      </c>
      <c r="C66" s="694">
        <v>1300</v>
      </c>
      <c r="D66" s="694">
        <v>2618</v>
      </c>
      <c r="E66" s="694">
        <v>228</v>
      </c>
      <c r="F66" s="694">
        <v>352</v>
      </c>
      <c r="G66" s="694">
        <v>580</v>
      </c>
      <c r="H66" s="694">
        <v>15562</v>
      </c>
      <c r="I66" s="694">
        <v>13868</v>
      </c>
      <c r="J66" s="694">
        <v>29430</v>
      </c>
      <c r="K66" s="694">
        <v>17214</v>
      </c>
      <c r="L66" s="694">
        <v>13690</v>
      </c>
      <c r="M66" s="694">
        <v>30904</v>
      </c>
      <c r="N66" s="694">
        <v>646</v>
      </c>
      <c r="O66" s="694">
        <v>385</v>
      </c>
      <c r="P66" s="694">
        <v>1031</v>
      </c>
      <c r="Q66" s="694">
        <v>1966</v>
      </c>
      <c r="R66" s="694">
        <v>969</v>
      </c>
      <c r="S66" s="694">
        <v>2935</v>
      </c>
      <c r="T66" s="694">
        <v>1723</v>
      </c>
      <c r="U66" s="694">
        <v>1437</v>
      </c>
      <c r="V66" s="694">
        <v>3160</v>
      </c>
      <c r="W66" s="694">
        <v>9</v>
      </c>
      <c r="X66" s="694">
        <v>42</v>
      </c>
      <c r="Y66" s="694">
        <v>51</v>
      </c>
      <c r="Z66" s="694">
        <v>38666</v>
      </c>
      <c r="AA66" s="694">
        <v>32043</v>
      </c>
      <c r="AB66" s="694">
        <v>70709</v>
      </c>
    </row>
    <row r="67" spans="1:28" ht="16.899999999999999" customHeight="1">
      <c r="A67" s="641" t="s">
        <v>132</v>
      </c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7"/>
      <c r="N67" s="687"/>
      <c r="O67" s="687"/>
      <c r="P67" s="687"/>
      <c r="Q67" s="687"/>
      <c r="R67" s="687"/>
      <c r="S67" s="687"/>
      <c r="T67" s="687"/>
      <c r="U67" s="687"/>
      <c r="V67" s="687"/>
      <c r="W67" s="687"/>
      <c r="X67" s="687"/>
      <c r="Y67" s="687"/>
      <c r="Z67" s="687"/>
      <c r="AA67" s="687"/>
      <c r="AB67" s="687"/>
    </row>
    <row r="68" spans="1:28" ht="16.899999999999999" customHeight="1">
      <c r="A68" s="615" t="s">
        <v>832</v>
      </c>
      <c r="B68" s="692">
        <v>12538</v>
      </c>
      <c r="C68" s="692">
        <v>12196</v>
      </c>
      <c r="D68" s="693">
        <v>24734</v>
      </c>
      <c r="E68" s="692">
        <v>303</v>
      </c>
      <c r="F68" s="692">
        <v>697</v>
      </c>
      <c r="G68" s="693">
        <v>1000</v>
      </c>
      <c r="H68" s="692">
        <v>58752</v>
      </c>
      <c r="I68" s="692">
        <v>59178</v>
      </c>
      <c r="J68" s="693">
        <v>117930</v>
      </c>
      <c r="K68" s="692">
        <v>371741</v>
      </c>
      <c r="L68" s="692">
        <v>234714</v>
      </c>
      <c r="M68" s="693">
        <v>606455</v>
      </c>
      <c r="N68" s="692">
        <v>3546</v>
      </c>
      <c r="O68" s="692">
        <v>3237</v>
      </c>
      <c r="P68" s="693">
        <v>6783</v>
      </c>
      <c r="Q68" s="692">
        <v>3687</v>
      </c>
      <c r="R68" s="692">
        <v>2039</v>
      </c>
      <c r="S68" s="693">
        <v>5726</v>
      </c>
      <c r="T68" s="692">
        <v>146</v>
      </c>
      <c r="U68" s="692">
        <v>192</v>
      </c>
      <c r="V68" s="693">
        <v>338</v>
      </c>
      <c r="W68" s="692">
        <v>14519</v>
      </c>
      <c r="X68" s="692">
        <v>11277</v>
      </c>
      <c r="Y68" s="693">
        <v>25796</v>
      </c>
      <c r="Z68" s="693">
        <v>465232</v>
      </c>
      <c r="AA68" s="693">
        <v>323530</v>
      </c>
      <c r="AB68" s="693">
        <v>788762</v>
      </c>
    </row>
    <row r="69" spans="1:28" ht="16.899999999999999" customHeight="1">
      <c r="A69" s="612" t="s">
        <v>831</v>
      </c>
      <c r="B69" s="613">
        <v>9075</v>
      </c>
      <c r="C69" s="613">
        <v>8657</v>
      </c>
      <c r="D69" s="613">
        <v>17732</v>
      </c>
      <c r="E69" s="613">
        <v>270</v>
      </c>
      <c r="F69" s="613">
        <v>747</v>
      </c>
      <c r="G69" s="613">
        <v>1017</v>
      </c>
      <c r="H69" s="613">
        <v>52327</v>
      </c>
      <c r="I69" s="613">
        <v>50420</v>
      </c>
      <c r="J69" s="613">
        <v>102747</v>
      </c>
      <c r="K69" s="613">
        <v>340002</v>
      </c>
      <c r="L69" s="613">
        <v>201593</v>
      </c>
      <c r="M69" s="613">
        <v>541595</v>
      </c>
      <c r="N69" s="613">
        <v>2916</v>
      </c>
      <c r="O69" s="613">
        <v>2424</v>
      </c>
      <c r="P69" s="613">
        <v>5340</v>
      </c>
      <c r="Q69" s="613">
        <v>3827</v>
      </c>
      <c r="R69" s="613">
        <v>1911</v>
      </c>
      <c r="S69" s="613">
        <v>5738</v>
      </c>
      <c r="T69" s="613">
        <v>159</v>
      </c>
      <c r="U69" s="613">
        <v>233</v>
      </c>
      <c r="V69" s="613">
        <v>392</v>
      </c>
      <c r="W69" s="613">
        <v>12508</v>
      </c>
      <c r="X69" s="613">
        <v>9857</v>
      </c>
      <c r="Y69" s="613">
        <v>22365</v>
      </c>
      <c r="Z69" s="613">
        <v>421084</v>
      </c>
      <c r="AA69" s="613">
        <v>275842</v>
      </c>
      <c r="AB69" s="613">
        <v>696926</v>
      </c>
    </row>
    <row r="70" spans="1:28" ht="16.899999999999999" customHeight="1">
      <c r="A70" s="612" t="s">
        <v>830</v>
      </c>
      <c r="B70" s="379">
        <v>9718</v>
      </c>
      <c r="C70" s="379">
        <v>8474</v>
      </c>
      <c r="D70" s="209">
        <v>18192</v>
      </c>
      <c r="E70" s="379">
        <v>262</v>
      </c>
      <c r="F70" s="379">
        <v>703</v>
      </c>
      <c r="G70" s="209">
        <v>965</v>
      </c>
      <c r="H70" s="379">
        <v>51892</v>
      </c>
      <c r="I70" s="379">
        <v>48220</v>
      </c>
      <c r="J70" s="209">
        <v>100112</v>
      </c>
      <c r="K70" s="379">
        <v>317717</v>
      </c>
      <c r="L70" s="379">
        <v>183493</v>
      </c>
      <c r="M70" s="209">
        <v>501210</v>
      </c>
      <c r="N70" s="379">
        <v>2842</v>
      </c>
      <c r="O70" s="379">
        <v>2295</v>
      </c>
      <c r="P70" s="209">
        <v>5137</v>
      </c>
      <c r="Q70" s="379">
        <v>5712</v>
      </c>
      <c r="R70" s="379">
        <v>1528</v>
      </c>
      <c r="S70" s="209">
        <v>7240</v>
      </c>
      <c r="T70" s="379">
        <v>125</v>
      </c>
      <c r="U70" s="379">
        <v>163</v>
      </c>
      <c r="V70" s="209">
        <v>288</v>
      </c>
      <c r="W70" s="379">
        <v>10757</v>
      </c>
      <c r="X70" s="379">
        <v>8250</v>
      </c>
      <c r="Y70" s="209">
        <v>19007</v>
      </c>
      <c r="Z70" s="209">
        <v>399025</v>
      </c>
      <c r="AA70" s="209">
        <v>253126</v>
      </c>
      <c r="AB70" s="209">
        <v>652151</v>
      </c>
    </row>
    <row r="71" spans="1:28" ht="16.899999999999999" customHeight="1">
      <c r="A71" s="615" t="s">
        <v>829</v>
      </c>
      <c r="B71" s="616">
        <v>8826</v>
      </c>
      <c r="C71" s="616">
        <v>7769</v>
      </c>
      <c r="D71" s="616">
        <v>16595</v>
      </c>
      <c r="E71" s="616">
        <v>621</v>
      </c>
      <c r="F71" s="616">
        <v>918</v>
      </c>
      <c r="G71" s="616">
        <v>1539</v>
      </c>
      <c r="H71" s="616">
        <v>50003</v>
      </c>
      <c r="I71" s="616">
        <v>45810</v>
      </c>
      <c r="J71" s="616">
        <v>95813</v>
      </c>
      <c r="K71" s="616">
        <v>298341</v>
      </c>
      <c r="L71" s="616">
        <v>168013</v>
      </c>
      <c r="M71" s="616">
        <v>466354</v>
      </c>
      <c r="N71" s="616">
        <v>4351</v>
      </c>
      <c r="O71" s="616">
        <v>3272</v>
      </c>
      <c r="P71" s="616">
        <v>7623</v>
      </c>
      <c r="Q71" s="616">
        <v>5857</v>
      </c>
      <c r="R71" s="616">
        <v>1611</v>
      </c>
      <c r="S71" s="616">
        <v>7468</v>
      </c>
      <c r="T71" s="616">
        <v>286</v>
      </c>
      <c r="U71" s="616">
        <v>290</v>
      </c>
      <c r="V71" s="616">
        <v>576</v>
      </c>
      <c r="W71" s="616">
        <v>9062</v>
      </c>
      <c r="X71" s="616">
        <v>6935</v>
      </c>
      <c r="Y71" s="616">
        <v>15997</v>
      </c>
      <c r="Z71" s="617">
        <v>377347</v>
      </c>
      <c r="AA71" s="617">
        <v>234618</v>
      </c>
      <c r="AB71" s="617">
        <v>611965</v>
      </c>
    </row>
    <row r="72" spans="1:28" ht="16.899999999999999" customHeight="1">
      <c r="A72" s="690" t="s">
        <v>828</v>
      </c>
      <c r="B72" s="694">
        <v>7398</v>
      </c>
      <c r="C72" s="694">
        <v>6480</v>
      </c>
      <c r="D72" s="694">
        <v>13878</v>
      </c>
      <c r="E72" s="694">
        <v>491</v>
      </c>
      <c r="F72" s="694">
        <v>665</v>
      </c>
      <c r="G72" s="694">
        <v>1156</v>
      </c>
      <c r="H72" s="694">
        <v>54056</v>
      </c>
      <c r="I72" s="694">
        <v>45073</v>
      </c>
      <c r="J72" s="694">
        <v>99129</v>
      </c>
      <c r="K72" s="694">
        <v>289032</v>
      </c>
      <c r="L72" s="694">
        <v>162884</v>
      </c>
      <c r="M72" s="694">
        <v>451916</v>
      </c>
      <c r="N72" s="694">
        <v>7700</v>
      </c>
      <c r="O72" s="694">
        <v>4342</v>
      </c>
      <c r="P72" s="694">
        <v>12042</v>
      </c>
      <c r="Q72" s="694">
        <v>8351</v>
      </c>
      <c r="R72" s="694">
        <v>2141</v>
      </c>
      <c r="S72" s="694">
        <v>10492</v>
      </c>
      <c r="T72" s="694">
        <v>388</v>
      </c>
      <c r="U72" s="694">
        <v>345</v>
      </c>
      <c r="V72" s="694">
        <v>733</v>
      </c>
      <c r="W72" s="694">
        <v>8376</v>
      </c>
      <c r="X72" s="694">
        <v>6038</v>
      </c>
      <c r="Y72" s="694">
        <v>14414</v>
      </c>
      <c r="Z72" s="694">
        <v>375792</v>
      </c>
      <c r="AA72" s="694">
        <v>227968</v>
      </c>
      <c r="AB72" s="694">
        <v>603760</v>
      </c>
    </row>
    <row r="73" spans="1:28" ht="16.899999999999999" customHeight="1">
      <c r="A73" s="641" t="s">
        <v>136</v>
      </c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7"/>
      <c r="P73" s="687"/>
      <c r="Q73" s="687"/>
      <c r="R73" s="687"/>
      <c r="S73" s="687"/>
      <c r="T73" s="687"/>
      <c r="U73" s="687"/>
      <c r="V73" s="687"/>
      <c r="W73" s="687"/>
      <c r="X73" s="687"/>
      <c r="Y73" s="687"/>
      <c r="Z73" s="687"/>
      <c r="AA73" s="687"/>
      <c r="AB73" s="687"/>
    </row>
    <row r="74" spans="1:28" ht="16.899999999999999" customHeight="1">
      <c r="A74" s="615" t="s">
        <v>832</v>
      </c>
      <c r="B74" s="692">
        <v>32</v>
      </c>
      <c r="C74" s="692">
        <v>48</v>
      </c>
      <c r="D74" s="693">
        <v>80</v>
      </c>
      <c r="E74" s="692">
        <v>20</v>
      </c>
      <c r="F74" s="692">
        <v>25</v>
      </c>
      <c r="G74" s="693">
        <v>45</v>
      </c>
      <c r="H74" s="692">
        <v>487</v>
      </c>
      <c r="I74" s="692">
        <v>916</v>
      </c>
      <c r="J74" s="693">
        <v>1403</v>
      </c>
      <c r="K74" s="692">
        <v>1138</v>
      </c>
      <c r="L74" s="692">
        <v>1443</v>
      </c>
      <c r="M74" s="693">
        <v>2581</v>
      </c>
      <c r="N74" s="692">
        <v>51</v>
      </c>
      <c r="O74" s="692">
        <v>67</v>
      </c>
      <c r="P74" s="693">
        <v>118</v>
      </c>
      <c r="Q74" s="692">
        <v>0</v>
      </c>
      <c r="R74" s="692">
        <v>0</v>
      </c>
      <c r="S74" s="693">
        <v>0</v>
      </c>
      <c r="T74" s="692">
        <v>0</v>
      </c>
      <c r="U74" s="692">
        <v>0</v>
      </c>
      <c r="V74" s="693">
        <v>0</v>
      </c>
      <c r="W74" s="692">
        <v>0</v>
      </c>
      <c r="X74" s="692">
        <v>0</v>
      </c>
      <c r="Y74" s="693">
        <v>0</v>
      </c>
      <c r="Z74" s="693">
        <v>1728</v>
      </c>
      <c r="AA74" s="693">
        <v>2499</v>
      </c>
      <c r="AB74" s="693">
        <v>4227</v>
      </c>
    </row>
    <row r="75" spans="1:28" ht="16.899999999999999" customHeight="1">
      <c r="A75" s="612" t="s">
        <v>831</v>
      </c>
      <c r="B75" s="620"/>
      <c r="C75" s="620"/>
      <c r="D75" s="620"/>
      <c r="E75" s="620"/>
      <c r="F75" s="620"/>
      <c r="G75" s="620"/>
      <c r="H75" s="620"/>
      <c r="I75" s="620"/>
      <c r="J75" s="620"/>
      <c r="K75" s="620"/>
      <c r="L75" s="620"/>
      <c r="M75" s="620"/>
      <c r="N75" s="620"/>
      <c r="O75" s="620"/>
      <c r="P75" s="620"/>
      <c r="Q75" s="620"/>
      <c r="R75" s="620"/>
      <c r="S75" s="620"/>
      <c r="T75" s="620"/>
      <c r="U75" s="620"/>
      <c r="V75" s="620"/>
      <c r="W75" s="620"/>
      <c r="X75" s="620"/>
      <c r="Y75" s="620"/>
      <c r="Z75" s="620"/>
      <c r="AA75" s="620"/>
      <c r="AB75" s="620"/>
    </row>
    <row r="76" spans="1:28" ht="16.899999999999999" customHeight="1">
      <c r="A76" s="612" t="s">
        <v>830</v>
      </c>
      <c r="B76" s="379">
        <v>0</v>
      </c>
      <c r="C76" s="379">
        <v>0</v>
      </c>
      <c r="D76" s="209">
        <v>0</v>
      </c>
      <c r="E76" s="379">
        <v>0</v>
      </c>
      <c r="F76" s="379">
        <v>0</v>
      </c>
      <c r="G76" s="209">
        <v>0</v>
      </c>
      <c r="H76" s="379">
        <v>10</v>
      </c>
      <c r="I76" s="379">
        <v>1</v>
      </c>
      <c r="J76" s="209">
        <v>11</v>
      </c>
      <c r="K76" s="379">
        <v>9</v>
      </c>
      <c r="L76" s="379">
        <v>6</v>
      </c>
      <c r="M76" s="209">
        <v>15</v>
      </c>
      <c r="N76" s="379">
        <v>0</v>
      </c>
      <c r="O76" s="379">
        <v>0</v>
      </c>
      <c r="P76" s="209">
        <v>0</v>
      </c>
      <c r="Q76" s="379">
        <v>0</v>
      </c>
      <c r="R76" s="379">
        <v>0</v>
      </c>
      <c r="S76" s="209">
        <v>0</v>
      </c>
      <c r="T76" s="379">
        <v>0</v>
      </c>
      <c r="U76" s="379">
        <v>0</v>
      </c>
      <c r="V76" s="209">
        <v>0</v>
      </c>
      <c r="W76" s="379">
        <v>0</v>
      </c>
      <c r="X76" s="379">
        <v>0</v>
      </c>
      <c r="Y76" s="209">
        <v>0</v>
      </c>
      <c r="Z76" s="209">
        <v>19</v>
      </c>
      <c r="AA76" s="209">
        <v>7</v>
      </c>
      <c r="AB76" s="209">
        <v>26</v>
      </c>
    </row>
    <row r="77" spans="1:28" ht="16.899999999999999" customHeight="1">
      <c r="A77" s="615" t="s">
        <v>829</v>
      </c>
      <c r="B77" s="616">
        <v>0</v>
      </c>
      <c r="C77" s="616">
        <v>0</v>
      </c>
      <c r="D77" s="616">
        <v>0</v>
      </c>
      <c r="E77" s="616">
        <v>0</v>
      </c>
      <c r="F77" s="616">
        <v>0</v>
      </c>
      <c r="G77" s="616">
        <v>0</v>
      </c>
      <c r="H77" s="616">
        <v>10</v>
      </c>
      <c r="I77" s="616">
        <v>1</v>
      </c>
      <c r="J77" s="616">
        <v>11</v>
      </c>
      <c r="K77" s="616">
        <v>9</v>
      </c>
      <c r="L77" s="616">
        <v>6</v>
      </c>
      <c r="M77" s="616">
        <v>15</v>
      </c>
      <c r="N77" s="616">
        <v>0</v>
      </c>
      <c r="O77" s="616">
        <v>0</v>
      </c>
      <c r="P77" s="616">
        <v>0</v>
      </c>
      <c r="Q77" s="616">
        <v>0</v>
      </c>
      <c r="R77" s="616">
        <v>0</v>
      </c>
      <c r="S77" s="616">
        <v>0</v>
      </c>
      <c r="T77" s="616">
        <v>0</v>
      </c>
      <c r="U77" s="616">
        <v>0</v>
      </c>
      <c r="V77" s="616">
        <v>0</v>
      </c>
      <c r="W77" s="616">
        <v>0</v>
      </c>
      <c r="X77" s="616">
        <v>0</v>
      </c>
      <c r="Y77" s="616">
        <v>0</v>
      </c>
      <c r="Z77" s="617">
        <v>19</v>
      </c>
      <c r="AA77" s="617">
        <v>7</v>
      </c>
      <c r="AB77" s="617">
        <v>26</v>
      </c>
    </row>
    <row r="78" spans="1:28" ht="16.899999999999999" customHeight="1">
      <c r="A78" s="615" t="s">
        <v>828</v>
      </c>
      <c r="B78" s="618">
        <v>0</v>
      </c>
      <c r="C78" s="618">
        <v>0</v>
      </c>
      <c r="D78" s="618">
        <v>0</v>
      </c>
      <c r="E78" s="618">
        <v>0</v>
      </c>
      <c r="F78" s="618">
        <v>0</v>
      </c>
      <c r="G78" s="618">
        <v>0</v>
      </c>
      <c r="H78" s="618">
        <v>10</v>
      </c>
      <c r="I78" s="618">
        <v>1</v>
      </c>
      <c r="J78" s="618">
        <v>11</v>
      </c>
      <c r="K78" s="618">
        <v>9</v>
      </c>
      <c r="L78" s="618">
        <v>6</v>
      </c>
      <c r="M78" s="618">
        <v>15</v>
      </c>
      <c r="N78" s="618">
        <v>0</v>
      </c>
      <c r="O78" s="618">
        <v>0</v>
      </c>
      <c r="P78" s="618">
        <v>0</v>
      </c>
      <c r="Q78" s="618">
        <v>0</v>
      </c>
      <c r="R78" s="618">
        <v>0</v>
      </c>
      <c r="S78" s="618">
        <v>0</v>
      </c>
      <c r="T78" s="618">
        <v>0</v>
      </c>
      <c r="U78" s="618">
        <v>0</v>
      </c>
      <c r="V78" s="618">
        <v>0</v>
      </c>
      <c r="W78" s="618">
        <v>0</v>
      </c>
      <c r="X78" s="618">
        <v>0</v>
      </c>
      <c r="Y78" s="618">
        <v>0</v>
      </c>
      <c r="Z78" s="618">
        <v>19</v>
      </c>
      <c r="AA78" s="618">
        <v>7</v>
      </c>
      <c r="AB78" s="618">
        <v>26</v>
      </c>
    </row>
  </sheetData>
  <mergeCells count="10">
    <mergeCell ref="Q2:S2"/>
    <mergeCell ref="T2:V2"/>
    <mergeCell ref="W2:Y2"/>
    <mergeCell ref="Z2:AB2"/>
    <mergeCell ref="A2:A3"/>
    <mergeCell ref="B2:D2"/>
    <mergeCell ref="E2:G2"/>
    <mergeCell ref="H2:J2"/>
    <mergeCell ref="K2:M2"/>
    <mergeCell ref="N2:P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9" firstPageNumber="2" pageOrder="overThenDown" orientation="portrait" useFirstPageNumber="1" r:id="rId1"/>
  <headerFooter alignWithMargins="0">
    <oddFooter>&amp;L     AISHE 2019-20&amp;CT-50</oddFooter>
  </headerFooter>
  <rowBreaks count="1" manualBreakCount="1">
    <brk id="54" max="27" man="1"/>
  </rowBreaks>
  <colBreaks count="2" manualBreakCount="2">
    <brk id="10" max="1048575" man="1"/>
    <brk id="19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30A0"/>
  </sheetPr>
  <dimension ref="A1:W228"/>
  <sheetViews>
    <sheetView showZeros="0" view="pageBreakPreview" zoomScale="85" zoomScaleSheetLayoutView="85" workbookViewId="0">
      <pane xSplit="1" ySplit="3" topLeftCell="M199" activePane="bottomRight" state="frozen"/>
      <selection activeCell="A20" sqref="A20"/>
      <selection pane="topRight" activeCell="A20" sqref="A20"/>
      <selection pane="bottomLeft" activeCell="A20" sqref="A20"/>
      <selection pane="bottomRight" activeCell="D177" sqref="D177"/>
    </sheetView>
  </sheetViews>
  <sheetFormatPr defaultColWidth="9.140625" defaultRowHeight="14.25"/>
  <cols>
    <col min="1" max="1" width="29.28515625" style="611" bestFit="1" customWidth="1"/>
    <col min="2" max="7" width="12.140625" style="611" customWidth="1"/>
    <col min="8" max="15" width="9.28515625" style="611" customWidth="1"/>
    <col min="16" max="16" width="9.42578125" style="611" customWidth="1"/>
    <col min="17" max="22" width="11.28515625" style="611" customWidth="1"/>
    <col min="23" max="23" width="9" style="611" customWidth="1"/>
    <col min="24" max="24" width="10.7109375" style="611" customWidth="1"/>
    <col min="25" max="25" width="25.42578125" style="611" customWidth="1"/>
    <col min="26" max="26" width="16.28515625" style="611" customWidth="1"/>
    <col min="27" max="27" width="7" style="611" customWidth="1"/>
    <col min="28" max="28" width="5" style="611" customWidth="1"/>
    <col min="29" max="29" width="19.140625" style="611" customWidth="1"/>
    <col min="30" max="30" width="9" style="611" customWidth="1"/>
    <col min="31" max="31" width="11.7109375" style="611" customWidth="1"/>
    <col min="32" max="32" width="10.7109375" style="611" customWidth="1"/>
    <col min="33" max="16384" width="9.140625" style="611"/>
  </cols>
  <sheetData>
    <row r="1" spans="1:22" s="597" customFormat="1" ht="27.75" customHeight="1">
      <c r="A1" s="593" t="s">
        <v>847</v>
      </c>
      <c r="B1" s="594" t="s">
        <v>848</v>
      </c>
      <c r="H1" s="594" t="str">
        <f>B1</f>
        <v>Post-wise Number of Teachers during last 5 years</v>
      </c>
      <c r="Q1" s="594" t="s">
        <v>848</v>
      </c>
    </row>
    <row r="2" spans="1:22" s="622" customFormat="1" ht="34.5" customHeight="1">
      <c r="A2" s="1002" t="s">
        <v>713</v>
      </c>
      <c r="B2" s="1002" t="s">
        <v>720</v>
      </c>
      <c r="C2" s="1002"/>
      <c r="D2" s="1002"/>
      <c r="E2" s="1002" t="s">
        <v>721</v>
      </c>
      <c r="F2" s="1002"/>
      <c r="G2" s="1002"/>
      <c r="H2" s="1003" t="s">
        <v>722</v>
      </c>
      <c r="I2" s="1003"/>
      <c r="J2" s="1003"/>
      <c r="K2" s="1002" t="s">
        <v>723</v>
      </c>
      <c r="L2" s="1002"/>
      <c r="M2" s="1002"/>
      <c r="N2" s="1002" t="s">
        <v>810</v>
      </c>
      <c r="O2" s="1002"/>
      <c r="P2" s="1002"/>
      <c r="Q2" s="1002" t="s">
        <v>849</v>
      </c>
      <c r="R2" s="1002"/>
      <c r="S2" s="1002"/>
      <c r="T2" s="1002" t="s">
        <v>725</v>
      </c>
      <c r="U2" s="1002"/>
      <c r="V2" s="1002"/>
    </row>
    <row r="3" spans="1:22" s="621" customFormat="1" ht="21" customHeight="1">
      <c r="A3" s="1002"/>
      <c r="B3" s="663" t="s">
        <v>87</v>
      </c>
      <c r="C3" s="663" t="s">
        <v>88</v>
      </c>
      <c r="D3" s="663" t="s">
        <v>714</v>
      </c>
      <c r="E3" s="663" t="s">
        <v>87</v>
      </c>
      <c r="F3" s="663" t="s">
        <v>88</v>
      </c>
      <c r="G3" s="663" t="s">
        <v>714</v>
      </c>
      <c r="H3" s="663" t="s">
        <v>87</v>
      </c>
      <c r="I3" s="663" t="s">
        <v>88</v>
      </c>
      <c r="J3" s="663" t="s">
        <v>714</v>
      </c>
      <c r="K3" s="663" t="s">
        <v>87</v>
      </c>
      <c r="L3" s="663" t="s">
        <v>88</v>
      </c>
      <c r="M3" s="663" t="s">
        <v>714</v>
      </c>
      <c r="N3" s="663" t="s">
        <v>87</v>
      </c>
      <c r="O3" s="663" t="s">
        <v>88</v>
      </c>
      <c r="P3" s="663" t="s">
        <v>714</v>
      </c>
      <c r="Q3" s="663" t="s">
        <v>87</v>
      </c>
      <c r="R3" s="663" t="s">
        <v>88</v>
      </c>
      <c r="S3" s="663" t="s">
        <v>714</v>
      </c>
      <c r="T3" s="663" t="s">
        <v>87</v>
      </c>
      <c r="U3" s="663" t="s">
        <v>88</v>
      </c>
      <c r="V3" s="663" t="s">
        <v>714</v>
      </c>
    </row>
    <row r="4" spans="1:22">
      <c r="A4" s="661">
        <v>1</v>
      </c>
      <c r="B4" s="661">
        <v>2</v>
      </c>
      <c r="C4" s="661">
        <v>3</v>
      </c>
      <c r="D4" s="661">
        <v>4</v>
      </c>
      <c r="E4" s="661">
        <v>5</v>
      </c>
      <c r="F4" s="661">
        <v>6</v>
      </c>
      <c r="G4" s="661">
        <v>7</v>
      </c>
      <c r="H4" s="661">
        <v>8</v>
      </c>
      <c r="I4" s="661">
        <v>9</v>
      </c>
      <c r="J4" s="661">
        <v>10</v>
      </c>
      <c r="K4" s="661">
        <v>11</v>
      </c>
      <c r="L4" s="661">
        <v>12</v>
      </c>
      <c r="M4" s="661">
        <v>13</v>
      </c>
      <c r="N4" s="661">
        <v>14</v>
      </c>
      <c r="O4" s="661">
        <v>15</v>
      </c>
      <c r="P4" s="661">
        <v>16</v>
      </c>
      <c r="Q4" s="661">
        <v>17</v>
      </c>
      <c r="R4" s="661">
        <v>18</v>
      </c>
      <c r="S4" s="661">
        <v>19</v>
      </c>
      <c r="T4" s="661">
        <v>20</v>
      </c>
      <c r="U4" s="661">
        <v>21</v>
      </c>
      <c r="V4" s="661">
        <v>22</v>
      </c>
    </row>
    <row r="5" spans="1:22" ht="15">
      <c r="A5" s="623" t="s">
        <v>833</v>
      </c>
      <c r="B5" s="614"/>
      <c r="C5" s="633"/>
      <c r="D5" s="633"/>
      <c r="E5" s="633"/>
      <c r="F5" s="633"/>
      <c r="G5" s="634"/>
      <c r="H5" s="624"/>
      <c r="I5" s="625"/>
      <c r="J5" s="626"/>
      <c r="K5" s="624"/>
      <c r="L5" s="625"/>
      <c r="M5" s="625"/>
      <c r="N5" s="625"/>
      <c r="O5" s="625"/>
      <c r="P5" s="626"/>
      <c r="Q5" s="624"/>
      <c r="R5" s="625"/>
      <c r="S5" s="625"/>
      <c r="T5" s="625"/>
      <c r="U5" s="625"/>
      <c r="V5" s="626"/>
    </row>
    <row r="6" spans="1:22" s="627" customFormat="1">
      <c r="A6" s="612" t="s">
        <v>832</v>
      </c>
      <c r="B6" s="339">
        <v>101319</v>
      </c>
      <c r="C6" s="339">
        <v>38478</v>
      </c>
      <c r="D6" s="339">
        <v>139797</v>
      </c>
      <c r="E6" s="339">
        <v>100652</v>
      </c>
      <c r="F6" s="339">
        <v>59485</v>
      </c>
      <c r="G6" s="339">
        <v>160137</v>
      </c>
      <c r="H6" s="339">
        <v>583231</v>
      </c>
      <c r="I6" s="339">
        <v>440288</v>
      </c>
      <c r="J6" s="339">
        <v>1023519</v>
      </c>
      <c r="K6" s="339">
        <v>27650</v>
      </c>
      <c r="L6" s="339">
        <v>52522</v>
      </c>
      <c r="M6" s="339">
        <v>80172</v>
      </c>
      <c r="N6" s="339">
        <v>43387</v>
      </c>
      <c r="O6" s="339">
        <v>41569</v>
      </c>
      <c r="P6" s="339">
        <v>84956</v>
      </c>
      <c r="Q6" s="339">
        <v>864337</v>
      </c>
      <c r="R6" s="339">
        <v>638819</v>
      </c>
      <c r="S6" s="339">
        <v>1503156</v>
      </c>
      <c r="T6" s="339">
        <v>8098</v>
      </c>
      <c r="U6" s="339">
        <v>6477</v>
      </c>
      <c r="V6" s="339">
        <v>14575</v>
      </c>
    </row>
    <row r="7" spans="1:22">
      <c r="A7" s="628" t="s">
        <v>831</v>
      </c>
      <c r="B7" s="339">
        <v>93799</v>
      </c>
      <c r="C7" s="339">
        <v>35150</v>
      </c>
      <c r="D7" s="339">
        <v>128949</v>
      </c>
      <c r="E7" s="339">
        <v>96376</v>
      </c>
      <c r="F7" s="339">
        <v>56181</v>
      </c>
      <c r="G7" s="339">
        <v>152557</v>
      </c>
      <c r="H7" s="339">
        <v>557447</v>
      </c>
      <c r="I7" s="339">
        <v>413754</v>
      </c>
      <c r="J7" s="339">
        <v>971201</v>
      </c>
      <c r="K7" s="339">
        <v>25274</v>
      </c>
      <c r="L7" s="339">
        <v>47900</v>
      </c>
      <c r="M7" s="339">
        <v>73174</v>
      </c>
      <c r="N7" s="339">
        <v>39229</v>
      </c>
      <c r="O7" s="339">
        <v>38281</v>
      </c>
      <c r="P7" s="339">
        <v>77510</v>
      </c>
      <c r="Q7" s="339">
        <v>819283</v>
      </c>
      <c r="R7" s="339">
        <v>597016</v>
      </c>
      <c r="S7" s="339">
        <v>1416299</v>
      </c>
      <c r="T7" s="339">
        <v>7158</v>
      </c>
      <c r="U7" s="339">
        <v>5750</v>
      </c>
      <c r="V7" s="339">
        <v>12908</v>
      </c>
    </row>
    <row r="8" spans="1:22">
      <c r="A8" s="628" t="s">
        <v>830</v>
      </c>
      <c r="B8" s="339">
        <v>83507</v>
      </c>
      <c r="C8" s="339">
        <v>30663</v>
      </c>
      <c r="D8" s="339">
        <v>114170</v>
      </c>
      <c r="E8" s="339">
        <v>88415</v>
      </c>
      <c r="F8" s="339">
        <v>51028</v>
      </c>
      <c r="G8" s="339">
        <v>139443</v>
      </c>
      <c r="H8" s="339">
        <v>511034</v>
      </c>
      <c r="I8" s="339">
        <v>377393</v>
      </c>
      <c r="J8" s="339">
        <v>888427</v>
      </c>
      <c r="K8" s="339">
        <v>22268</v>
      </c>
      <c r="L8" s="339">
        <v>41998</v>
      </c>
      <c r="M8" s="339">
        <v>64266</v>
      </c>
      <c r="N8" s="339">
        <v>33335</v>
      </c>
      <c r="O8" s="339">
        <v>33523</v>
      </c>
      <c r="P8" s="339">
        <v>66858</v>
      </c>
      <c r="Q8" s="339">
        <v>745047</v>
      </c>
      <c r="R8" s="339">
        <v>539708</v>
      </c>
      <c r="S8" s="339">
        <v>1284755</v>
      </c>
      <c r="T8" s="339">
        <v>6488</v>
      </c>
      <c r="U8" s="339">
        <v>5103</v>
      </c>
      <c r="V8" s="339">
        <v>11591</v>
      </c>
    </row>
    <row r="9" spans="1:22">
      <c r="A9" s="629" t="s">
        <v>829</v>
      </c>
      <c r="B9" s="630">
        <v>92393</v>
      </c>
      <c r="C9" s="630">
        <v>32761</v>
      </c>
      <c r="D9" s="630">
        <v>125154</v>
      </c>
      <c r="E9" s="630">
        <v>94916</v>
      </c>
      <c r="F9" s="630">
        <v>52713</v>
      </c>
      <c r="G9" s="630">
        <v>147629</v>
      </c>
      <c r="H9" s="630">
        <v>558471</v>
      </c>
      <c r="I9" s="630">
        <v>387087</v>
      </c>
      <c r="J9" s="630">
        <v>945558</v>
      </c>
      <c r="K9" s="630">
        <v>24537</v>
      </c>
      <c r="L9" s="630">
        <v>43940</v>
      </c>
      <c r="M9" s="630">
        <v>68477</v>
      </c>
      <c r="N9" s="630">
        <v>34317</v>
      </c>
      <c r="O9" s="630">
        <v>32578</v>
      </c>
      <c r="P9" s="630">
        <v>66895</v>
      </c>
      <c r="Q9" s="630">
        <v>811435</v>
      </c>
      <c r="R9" s="630">
        <v>554351</v>
      </c>
      <c r="S9" s="630">
        <v>1365786</v>
      </c>
      <c r="T9" s="630">
        <v>6705</v>
      </c>
      <c r="U9" s="630">
        <v>5246</v>
      </c>
      <c r="V9" s="630">
        <v>11951</v>
      </c>
    </row>
    <row r="10" spans="1:22">
      <c r="A10" s="628" t="s">
        <v>828</v>
      </c>
      <c r="B10" s="613">
        <v>108277</v>
      </c>
      <c r="C10" s="613">
        <v>37744</v>
      </c>
      <c r="D10" s="613">
        <v>146021</v>
      </c>
      <c r="E10" s="613">
        <v>113830</v>
      </c>
      <c r="F10" s="613">
        <v>60827</v>
      </c>
      <c r="G10" s="613">
        <v>174657</v>
      </c>
      <c r="H10" s="613">
        <v>612615</v>
      </c>
      <c r="I10" s="613">
        <v>396581</v>
      </c>
      <c r="J10" s="613">
        <v>1009196</v>
      </c>
      <c r="K10" s="613">
        <v>30645</v>
      </c>
      <c r="L10" s="613">
        <v>46288</v>
      </c>
      <c r="M10" s="613">
        <v>76933</v>
      </c>
      <c r="N10" s="613">
        <v>59598</v>
      </c>
      <c r="O10" s="613">
        <v>52408</v>
      </c>
      <c r="P10" s="613">
        <v>112006</v>
      </c>
      <c r="Q10" s="613">
        <v>924965</v>
      </c>
      <c r="R10" s="613">
        <v>593848</v>
      </c>
      <c r="S10" s="613">
        <v>1518813</v>
      </c>
      <c r="T10" s="613">
        <v>14081</v>
      </c>
      <c r="U10" s="613">
        <v>9300</v>
      </c>
      <c r="V10" s="613">
        <v>23381</v>
      </c>
    </row>
    <row r="11" spans="1:22" ht="15">
      <c r="A11" s="623" t="s">
        <v>154</v>
      </c>
      <c r="B11" s="624"/>
      <c r="C11" s="625"/>
      <c r="D11" s="625"/>
      <c r="E11" s="625"/>
      <c r="F11" s="625"/>
      <c r="G11" s="626"/>
      <c r="H11" s="624"/>
      <c r="I11" s="625"/>
      <c r="J11" s="626"/>
      <c r="K11" s="624"/>
      <c r="L11" s="625"/>
      <c r="M11" s="625"/>
      <c r="N11" s="625"/>
      <c r="O11" s="625"/>
      <c r="P11" s="626"/>
      <c r="Q11" s="624"/>
      <c r="R11" s="625"/>
      <c r="S11" s="625"/>
      <c r="T11" s="625"/>
      <c r="U11" s="625"/>
      <c r="V11" s="626"/>
    </row>
    <row r="12" spans="1:22">
      <c r="A12" s="612" t="s">
        <v>832</v>
      </c>
      <c r="B12" s="321">
        <v>24</v>
      </c>
      <c r="C12" s="321">
        <v>2</v>
      </c>
      <c r="D12" s="321">
        <v>26</v>
      </c>
      <c r="E12" s="321">
        <v>51</v>
      </c>
      <c r="F12" s="321">
        <v>12</v>
      </c>
      <c r="G12" s="321">
        <v>63</v>
      </c>
      <c r="H12" s="321">
        <v>107</v>
      </c>
      <c r="I12" s="321">
        <v>53</v>
      </c>
      <c r="J12" s="321">
        <v>160</v>
      </c>
      <c r="K12" s="321">
        <v>12</v>
      </c>
      <c r="L12" s="321">
        <v>8</v>
      </c>
      <c r="M12" s="321">
        <v>20</v>
      </c>
      <c r="N12" s="321">
        <v>49</v>
      </c>
      <c r="O12" s="321">
        <v>111</v>
      </c>
      <c r="P12" s="321">
        <v>160</v>
      </c>
      <c r="Q12" s="321">
        <v>254</v>
      </c>
      <c r="R12" s="321">
        <v>209</v>
      </c>
      <c r="S12" s="321">
        <v>463</v>
      </c>
      <c r="T12" s="321">
        <v>11</v>
      </c>
      <c r="U12" s="321">
        <v>23</v>
      </c>
      <c r="V12" s="321">
        <v>34</v>
      </c>
    </row>
    <row r="13" spans="1:22">
      <c r="A13" s="628" t="s">
        <v>831</v>
      </c>
      <c r="B13" s="321">
        <v>26</v>
      </c>
      <c r="C13" s="321">
        <v>2</v>
      </c>
      <c r="D13" s="321">
        <v>28</v>
      </c>
      <c r="E13" s="321">
        <v>51</v>
      </c>
      <c r="F13" s="321">
        <v>13</v>
      </c>
      <c r="G13" s="321">
        <v>64</v>
      </c>
      <c r="H13" s="321">
        <v>110</v>
      </c>
      <c r="I13" s="321">
        <v>46</v>
      </c>
      <c r="J13" s="321">
        <v>156</v>
      </c>
      <c r="K13" s="321">
        <v>12</v>
      </c>
      <c r="L13" s="321">
        <v>8</v>
      </c>
      <c r="M13" s="321">
        <v>20</v>
      </c>
      <c r="N13" s="321">
        <v>55</v>
      </c>
      <c r="O13" s="321">
        <v>104</v>
      </c>
      <c r="P13" s="321">
        <v>159</v>
      </c>
      <c r="Q13" s="321">
        <v>265</v>
      </c>
      <c r="R13" s="321">
        <v>192</v>
      </c>
      <c r="S13" s="321">
        <v>457</v>
      </c>
      <c r="T13" s="321">
        <v>11</v>
      </c>
      <c r="U13" s="321">
        <v>19</v>
      </c>
      <c r="V13" s="321">
        <v>30</v>
      </c>
    </row>
    <row r="14" spans="1:22">
      <c r="A14" s="628" t="s">
        <v>830</v>
      </c>
      <c r="B14" s="321">
        <v>11</v>
      </c>
      <c r="C14" s="321">
        <v>0</v>
      </c>
      <c r="D14" s="321">
        <v>11</v>
      </c>
      <c r="E14" s="321">
        <v>36</v>
      </c>
      <c r="F14" s="321">
        <v>11</v>
      </c>
      <c r="G14" s="321">
        <v>47</v>
      </c>
      <c r="H14" s="321">
        <v>81</v>
      </c>
      <c r="I14" s="321">
        <v>39</v>
      </c>
      <c r="J14" s="321">
        <v>120</v>
      </c>
      <c r="K14" s="321">
        <v>2</v>
      </c>
      <c r="L14" s="321">
        <v>1</v>
      </c>
      <c r="M14" s="321">
        <v>3</v>
      </c>
      <c r="N14" s="321">
        <v>56</v>
      </c>
      <c r="O14" s="321">
        <v>101</v>
      </c>
      <c r="P14" s="321">
        <v>157</v>
      </c>
      <c r="Q14" s="321">
        <v>194</v>
      </c>
      <c r="R14" s="321">
        <v>172</v>
      </c>
      <c r="S14" s="321">
        <v>366</v>
      </c>
      <c r="T14" s="321">
        <v>8</v>
      </c>
      <c r="U14" s="321">
        <v>20</v>
      </c>
      <c r="V14" s="321">
        <v>28</v>
      </c>
    </row>
    <row r="15" spans="1:22">
      <c r="A15" s="629" t="s">
        <v>829</v>
      </c>
      <c r="B15" s="631">
        <v>9</v>
      </c>
      <c r="C15" s="631">
        <v>0</v>
      </c>
      <c r="D15" s="631">
        <v>9</v>
      </c>
      <c r="E15" s="631">
        <v>39</v>
      </c>
      <c r="F15" s="631">
        <v>12</v>
      </c>
      <c r="G15" s="631">
        <v>51</v>
      </c>
      <c r="H15" s="631">
        <v>83</v>
      </c>
      <c r="I15" s="631">
        <v>40</v>
      </c>
      <c r="J15" s="631">
        <v>123</v>
      </c>
      <c r="K15" s="631">
        <v>1</v>
      </c>
      <c r="L15" s="631">
        <v>1</v>
      </c>
      <c r="M15" s="631">
        <v>2</v>
      </c>
      <c r="N15" s="631">
        <v>47</v>
      </c>
      <c r="O15" s="631">
        <v>80</v>
      </c>
      <c r="P15" s="631">
        <v>127</v>
      </c>
      <c r="Q15" s="631">
        <v>187</v>
      </c>
      <c r="R15" s="631">
        <v>153</v>
      </c>
      <c r="S15" s="631">
        <v>340</v>
      </c>
      <c r="T15" s="631">
        <v>8</v>
      </c>
      <c r="U15" s="631">
        <v>20</v>
      </c>
      <c r="V15" s="631">
        <v>28</v>
      </c>
    </row>
    <row r="16" spans="1:22">
      <c r="A16" s="628" t="s">
        <v>828</v>
      </c>
      <c r="B16" s="613">
        <v>12</v>
      </c>
      <c r="C16" s="613">
        <v>0</v>
      </c>
      <c r="D16" s="613">
        <v>12</v>
      </c>
      <c r="E16" s="613">
        <v>40</v>
      </c>
      <c r="F16" s="613">
        <v>11</v>
      </c>
      <c r="G16" s="613">
        <v>51</v>
      </c>
      <c r="H16" s="613">
        <v>60</v>
      </c>
      <c r="I16" s="613">
        <v>27</v>
      </c>
      <c r="J16" s="613">
        <v>87</v>
      </c>
      <c r="K16" s="613">
        <v>0</v>
      </c>
      <c r="L16" s="613">
        <v>0</v>
      </c>
      <c r="M16" s="613">
        <v>0</v>
      </c>
      <c r="N16" s="613">
        <v>77</v>
      </c>
      <c r="O16" s="613">
        <v>93</v>
      </c>
      <c r="P16" s="613">
        <v>170</v>
      </c>
      <c r="Q16" s="613">
        <v>189</v>
      </c>
      <c r="R16" s="613">
        <v>131</v>
      </c>
      <c r="S16" s="613">
        <v>320</v>
      </c>
      <c r="T16" s="613">
        <v>11</v>
      </c>
      <c r="U16" s="613">
        <v>28</v>
      </c>
      <c r="V16" s="613">
        <v>39</v>
      </c>
    </row>
    <row r="17" spans="1:22" ht="15">
      <c r="A17" s="623" t="s">
        <v>15</v>
      </c>
      <c r="B17" s="624"/>
      <c r="C17" s="625"/>
      <c r="D17" s="625"/>
      <c r="E17" s="625"/>
      <c r="F17" s="625"/>
      <c r="G17" s="626"/>
      <c r="H17" s="624"/>
      <c r="I17" s="625"/>
      <c r="J17" s="626"/>
      <c r="K17" s="624"/>
      <c r="L17" s="625"/>
      <c r="M17" s="625"/>
      <c r="N17" s="625"/>
      <c r="O17" s="625"/>
      <c r="P17" s="626"/>
      <c r="Q17" s="624"/>
      <c r="R17" s="625"/>
      <c r="S17" s="625"/>
      <c r="T17" s="625"/>
      <c r="U17" s="625"/>
      <c r="V17" s="626"/>
    </row>
    <row r="18" spans="1:22">
      <c r="A18" s="612" t="s">
        <v>832</v>
      </c>
      <c r="B18" s="321">
        <v>7282</v>
      </c>
      <c r="C18" s="321">
        <v>1947</v>
      </c>
      <c r="D18" s="321">
        <v>9229</v>
      </c>
      <c r="E18" s="321">
        <v>6845</v>
      </c>
      <c r="F18" s="321">
        <v>2482</v>
      </c>
      <c r="G18" s="321">
        <v>9327</v>
      </c>
      <c r="H18" s="321">
        <v>46694</v>
      </c>
      <c r="I18" s="321">
        <v>26059</v>
      </c>
      <c r="J18" s="321">
        <v>72753</v>
      </c>
      <c r="K18" s="321">
        <v>828</v>
      </c>
      <c r="L18" s="321">
        <v>3353</v>
      </c>
      <c r="M18" s="321">
        <v>4181</v>
      </c>
      <c r="N18" s="321">
        <v>2384</v>
      </c>
      <c r="O18" s="321">
        <v>1720</v>
      </c>
      <c r="P18" s="321">
        <v>4104</v>
      </c>
      <c r="Q18" s="321">
        <v>64116</v>
      </c>
      <c r="R18" s="321">
        <v>35621</v>
      </c>
      <c r="S18" s="321">
        <v>99737</v>
      </c>
      <c r="T18" s="321">
        <v>83</v>
      </c>
      <c r="U18" s="321">
        <v>60</v>
      </c>
      <c r="V18" s="321">
        <v>143</v>
      </c>
    </row>
    <row r="19" spans="1:22">
      <c r="A19" s="628" t="s">
        <v>831</v>
      </c>
      <c r="B19" s="321">
        <v>7160</v>
      </c>
      <c r="C19" s="321">
        <v>1872</v>
      </c>
      <c r="D19" s="321">
        <v>9032</v>
      </c>
      <c r="E19" s="321">
        <v>6845</v>
      </c>
      <c r="F19" s="321">
        <v>2327</v>
      </c>
      <c r="G19" s="321">
        <v>9172</v>
      </c>
      <c r="H19" s="321">
        <v>47564</v>
      </c>
      <c r="I19" s="321">
        <v>25762</v>
      </c>
      <c r="J19" s="321">
        <v>73326</v>
      </c>
      <c r="K19" s="321">
        <v>805</v>
      </c>
      <c r="L19" s="321">
        <v>3356</v>
      </c>
      <c r="M19" s="321">
        <v>4161</v>
      </c>
      <c r="N19" s="321">
        <v>2135</v>
      </c>
      <c r="O19" s="321">
        <v>1425</v>
      </c>
      <c r="P19" s="321">
        <v>3560</v>
      </c>
      <c r="Q19" s="321">
        <v>64591</v>
      </c>
      <c r="R19" s="321">
        <v>34807</v>
      </c>
      <c r="S19" s="321">
        <v>99398</v>
      </c>
      <c r="T19" s="321">
        <v>82</v>
      </c>
      <c r="U19" s="321">
        <v>65</v>
      </c>
      <c r="V19" s="321">
        <v>147</v>
      </c>
    </row>
    <row r="20" spans="1:22">
      <c r="A20" s="628" t="s">
        <v>830</v>
      </c>
      <c r="B20" s="321">
        <v>6369</v>
      </c>
      <c r="C20" s="321">
        <v>1646</v>
      </c>
      <c r="D20" s="321">
        <v>8015</v>
      </c>
      <c r="E20" s="321">
        <v>6067</v>
      </c>
      <c r="F20" s="321">
        <v>2047</v>
      </c>
      <c r="G20" s="321">
        <v>8114</v>
      </c>
      <c r="H20" s="321">
        <v>43788</v>
      </c>
      <c r="I20" s="321">
        <v>22925</v>
      </c>
      <c r="J20" s="321">
        <v>66713</v>
      </c>
      <c r="K20" s="321">
        <v>824</v>
      </c>
      <c r="L20" s="321">
        <v>3059</v>
      </c>
      <c r="M20" s="321">
        <v>3883</v>
      </c>
      <c r="N20" s="321">
        <v>2010</v>
      </c>
      <c r="O20" s="321">
        <v>1388</v>
      </c>
      <c r="P20" s="321">
        <v>3398</v>
      </c>
      <c r="Q20" s="321">
        <v>59131</v>
      </c>
      <c r="R20" s="321">
        <v>31108</v>
      </c>
      <c r="S20" s="321">
        <v>90239</v>
      </c>
      <c r="T20" s="321">
        <v>73</v>
      </c>
      <c r="U20" s="321">
        <v>43</v>
      </c>
      <c r="V20" s="321">
        <v>116</v>
      </c>
    </row>
    <row r="21" spans="1:22">
      <c r="A21" s="629" t="s">
        <v>829</v>
      </c>
      <c r="B21" s="631">
        <v>7049</v>
      </c>
      <c r="C21" s="631">
        <v>1945</v>
      </c>
      <c r="D21" s="631">
        <v>8994</v>
      </c>
      <c r="E21" s="631">
        <v>6434</v>
      </c>
      <c r="F21" s="631">
        <v>2263</v>
      </c>
      <c r="G21" s="631">
        <v>8697</v>
      </c>
      <c r="H21" s="631">
        <v>49431</v>
      </c>
      <c r="I21" s="631">
        <v>24558</v>
      </c>
      <c r="J21" s="631">
        <v>73989</v>
      </c>
      <c r="K21" s="631">
        <v>1070</v>
      </c>
      <c r="L21" s="631">
        <v>3758</v>
      </c>
      <c r="M21" s="631">
        <v>4828</v>
      </c>
      <c r="N21" s="631">
        <v>1962</v>
      </c>
      <c r="O21" s="631">
        <v>1224</v>
      </c>
      <c r="P21" s="631">
        <v>3186</v>
      </c>
      <c r="Q21" s="631">
        <v>66014</v>
      </c>
      <c r="R21" s="631">
        <v>33787</v>
      </c>
      <c r="S21" s="631">
        <v>99801</v>
      </c>
      <c r="T21" s="631">
        <v>68</v>
      </c>
      <c r="U21" s="631">
        <v>39</v>
      </c>
      <c r="V21" s="631">
        <v>107</v>
      </c>
    </row>
    <row r="22" spans="1:22">
      <c r="A22" s="628" t="s">
        <v>828</v>
      </c>
      <c r="B22" s="613">
        <v>8095</v>
      </c>
      <c r="C22" s="613">
        <v>2128</v>
      </c>
      <c r="D22" s="613">
        <v>10223</v>
      </c>
      <c r="E22" s="613">
        <v>7367</v>
      </c>
      <c r="F22" s="613">
        <v>2662</v>
      </c>
      <c r="G22" s="613">
        <v>10029</v>
      </c>
      <c r="H22" s="613">
        <v>52084</v>
      </c>
      <c r="I22" s="613">
        <v>25660</v>
      </c>
      <c r="J22" s="613">
        <v>77744</v>
      </c>
      <c r="K22" s="613">
        <v>1096</v>
      </c>
      <c r="L22" s="613">
        <v>4013</v>
      </c>
      <c r="M22" s="613">
        <v>5109</v>
      </c>
      <c r="N22" s="613">
        <v>3081</v>
      </c>
      <c r="O22" s="613">
        <v>1926</v>
      </c>
      <c r="P22" s="613">
        <v>5007</v>
      </c>
      <c r="Q22" s="613">
        <v>71723</v>
      </c>
      <c r="R22" s="613">
        <v>36389</v>
      </c>
      <c r="S22" s="613">
        <v>108112</v>
      </c>
      <c r="T22" s="613">
        <v>229</v>
      </c>
      <c r="U22" s="613">
        <v>91</v>
      </c>
      <c r="V22" s="613">
        <v>320</v>
      </c>
    </row>
    <row r="23" spans="1:22" ht="15">
      <c r="A23" s="623" t="s">
        <v>16</v>
      </c>
      <c r="B23" s="614"/>
      <c r="C23" s="633"/>
      <c r="D23" s="633"/>
      <c r="E23" s="633"/>
      <c r="F23" s="633"/>
      <c r="G23" s="634"/>
      <c r="H23" s="614"/>
      <c r="I23" s="633"/>
      <c r="J23" s="633"/>
      <c r="K23" s="633"/>
      <c r="L23" s="633"/>
      <c r="M23" s="633"/>
      <c r="N23" s="633"/>
      <c r="O23" s="633"/>
      <c r="P23" s="634"/>
      <c r="Q23" s="614"/>
      <c r="R23" s="633"/>
      <c r="S23" s="633"/>
      <c r="T23" s="633"/>
      <c r="U23" s="633"/>
      <c r="V23" s="634"/>
    </row>
    <row r="24" spans="1:22">
      <c r="A24" s="612" t="s">
        <v>832</v>
      </c>
      <c r="B24" s="321">
        <v>171</v>
      </c>
      <c r="C24" s="321">
        <v>33</v>
      </c>
      <c r="D24" s="321">
        <v>204</v>
      </c>
      <c r="E24" s="321">
        <v>180</v>
      </c>
      <c r="F24" s="321">
        <v>55</v>
      </c>
      <c r="G24" s="321">
        <v>235</v>
      </c>
      <c r="H24" s="321">
        <v>826</v>
      </c>
      <c r="I24" s="321">
        <v>674</v>
      </c>
      <c r="J24" s="321">
        <v>1500</v>
      </c>
      <c r="K24" s="321">
        <v>18</v>
      </c>
      <c r="L24" s="321">
        <v>14</v>
      </c>
      <c r="M24" s="321">
        <v>32</v>
      </c>
      <c r="N24" s="321">
        <v>13</v>
      </c>
      <c r="O24" s="321">
        <v>13</v>
      </c>
      <c r="P24" s="321">
        <v>26</v>
      </c>
      <c r="Q24" s="321">
        <v>1213</v>
      </c>
      <c r="R24" s="321">
        <v>791</v>
      </c>
      <c r="S24" s="321">
        <v>2004</v>
      </c>
      <c r="T24" s="321">
        <v>5</v>
      </c>
      <c r="U24" s="321">
        <v>2</v>
      </c>
      <c r="V24" s="321">
        <v>7</v>
      </c>
    </row>
    <row r="25" spans="1:22">
      <c r="A25" s="628" t="s">
        <v>831</v>
      </c>
      <c r="B25" s="321">
        <v>146</v>
      </c>
      <c r="C25" s="321">
        <v>20</v>
      </c>
      <c r="D25" s="321">
        <v>166</v>
      </c>
      <c r="E25" s="321">
        <v>139</v>
      </c>
      <c r="F25" s="321">
        <v>36</v>
      </c>
      <c r="G25" s="321">
        <v>175</v>
      </c>
      <c r="H25" s="321">
        <v>636</v>
      </c>
      <c r="I25" s="321">
        <v>462</v>
      </c>
      <c r="J25" s="321">
        <v>1098</v>
      </c>
      <c r="K25" s="321">
        <v>12</v>
      </c>
      <c r="L25" s="321">
        <v>6</v>
      </c>
      <c r="M25" s="321">
        <v>18</v>
      </c>
      <c r="N25" s="321">
        <v>18</v>
      </c>
      <c r="O25" s="321">
        <v>10</v>
      </c>
      <c r="P25" s="321">
        <v>28</v>
      </c>
      <c r="Q25" s="321">
        <v>959</v>
      </c>
      <c r="R25" s="321">
        <v>545</v>
      </c>
      <c r="S25" s="321">
        <v>1504</v>
      </c>
      <c r="T25" s="321">
        <v>8</v>
      </c>
      <c r="U25" s="321">
        <v>11</v>
      </c>
      <c r="V25" s="321">
        <v>19</v>
      </c>
    </row>
    <row r="26" spans="1:22">
      <c r="A26" s="628" t="s">
        <v>830</v>
      </c>
      <c r="B26" s="321">
        <v>112</v>
      </c>
      <c r="C26" s="321">
        <v>17</v>
      </c>
      <c r="D26" s="321">
        <v>129</v>
      </c>
      <c r="E26" s="321">
        <v>119</v>
      </c>
      <c r="F26" s="321">
        <v>38</v>
      </c>
      <c r="G26" s="321">
        <v>157</v>
      </c>
      <c r="H26" s="321">
        <v>478</v>
      </c>
      <c r="I26" s="321">
        <v>308</v>
      </c>
      <c r="J26" s="321">
        <v>786</v>
      </c>
      <c r="K26" s="321">
        <v>6</v>
      </c>
      <c r="L26" s="321">
        <v>3</v>
      </c>
      <c r="M26" s="321">
        <v>9</v>
      </c>
      <c r="N26" s="321">
        <v>18</v>
      </c>
      <c r="O26" s="321">
        <v>12</v>
      </c>
      <c r="P26" s="321">
        <v>30</v>
      </c>
      <c r="Q26" s="321">
        <v>735</v>
      </c>
      <c r="R26" s="321">
        <v>378</v>
      </c>
      <c r="S26" s="321">
        <v>1113</v>
      </c>
      <c r="T26" s="321">
        <v>2</v>
      </c>
      <c r="U26" s="321">
        <v>0</v>
      </c>
      <c r="V26" s="321">
        <v>2</v>
      </c>
    </row>
    <row r="27" spans="1:22">
      <c r="A27" s="629" t="s">
        <v>829</v>
      </c>
      <c r="B27" s="631">
        <v>110</v>
      </c>
      <c r="C27" s="631">
        <v>16</v>
      </c>
      <c r="D27" s="631">
        <v>126</v>
      </c>
      <c r="E27" s="631">
        <v>127</v>
      </c>
      <c r="F27" s="631">
        <v>22</v>
      </c>
      <c r="G27" s="631">
        <v>149</v>
      </c>
      <c r="H27" s="631">
        <v>505</v>
      </c>
      <c r="I27" s="631">
        <v>311</v>
      </c>
      <c r="J27" s="631">
        <v>816</v>
      </c>
      <c r="K27" s="631">
        <v>7</v>
      </c>
      <c r="L27" s="631">
        <v>1</v>
      </c>
      <c r="M27" s="631">
        <v>8</v>
      </c>
      <c r="N27" s="631">
        <v>9</v>
      </c>
      <c r="O27" s="631">
        <v>7</v>
      </c>
      <c r="P27" s="631">
        <v>16</v>
      </c>
      <c r="Q27" s="631">
        <v>766</v>
      </c>
      <c r="R27" s="631">
        <v>367</v>
      </c>
      <c r="S27" s="631">
        <v>1133</v>
      </c>
      <c r="T27" s="631">
        <v>8</v>
      </c>
      <c r="U27" s="631">
        <v>10</v>
      </c>
      <c r="V27" s="631">
        <v>18</v>
      </c>
    </row>
    <row r="28" spans="1:22">
      <c r="A28" s="628" t="s">
        <v>828</v>
      </c>
      <c r="B28" s="613">
        <v>103</v>
      </c>
      <c r="C28" s="613">
        <v>12</v>
      </c>
      <c r="D28" s="613">
        <v>115</v>
      </c>
      <c r="E28" s="613">
        <v>137</v>
      </c>
      <c r="F28" s="613">
        <v>25</v>
      </c>
      <c r="G28" s="613">
        <v>162</v>
      </c>
      <c r="H28" s="613">
        <v>467</v>
      </c>
      <c r="I28" s="613">
        <v>283</v>
      </c>
      <c r="J28" s="613">
        <v>750</v>
      </c>
      <c r="K28" s="613">
        <v>10</v>
      </c>
      <c r="L28" s="613">
        <v>0</v>
      </c>
      <c r="M28" s="613">
        <v>10</v>
      </c>
      <c r="N28" s="613">
        <v>14</v>
      </c>
      <c r="O28" s="613">
        <v>18</v>
      </c>
      <c r="P28" s="613">
        <v>32</v>
      </c>
      <c r="Q28" s="613">
        <v>731</v>
      </c>
      <c r="R28" s="613">
        <v>338</v>
      </c>
      <c r="S28" s="613">
        <v>1069</v>
      </c>
      <c r="T28" s="613">
        <v>0</v>
      </c>
      <c r="U28" s="613">
        <v>0</v>
      </c>
      <c r="V28" s="613">
        <v>0</v>
      </c>
    </row>
    <row r="29" spans="1:22" ht="15">
      <c r="A29" s="623" t="s">
        <v>17</v>
      </c>
      <c r="B29" s="624"/>
      <c r="C29" s="625"/>
      <c r="D29" s="625"/>
      <c r="E29" s="625"/>
      <c r="F29" s="625"/>
      <c r="G29" s="626"/>
      <c r="H29" s="624"/>
      <c r="I29" s="625"/>
      <c r="J29" s="626"/>
      <c r="K29" s="624"/>
      <c r="L29" s="625"/>
      <c r="M29" s="625"/>
      <c r="N29" s="625"/>
      <c r="O29" s="625"/>
      <c r="P29" s="626"/>
      <c r="Q29" s="624"/>
      <c r="R29" s="625"/>
      <c r="S29" s="625"/>
      <c r="T29" s="625"/>
      <c r="U29" s="625"/>
      <c r="V29" s="626"/>
    </row>
    <row r="30" spans="1:22">
      <c r="A30" s="612" t="s">
        <v>832</v>
      </c>
      <c r="B30" s="321">
        <v>1257</v>
      </c>
      <c r="C30" s="321">
        <v>365</v>
      </c>
      <c r="D30" s="321">
        <v>1622</v>
      </c>
      <c r="E30" s="321">
        <v>2489</v>
      </c>
      <c r="F30" s="321">
        <v>1416</v>
      </c>
      <c r="G30" s="321">
        <v>3905</v>
      </c>
      <c r="H30" s="321">
        <v>8618</v>
      </c>
      <c r="I30" s="321">
        <v>6371</v>
      </c>
      <c r="J30" s="321">
        <v>14989</v>
      </c>
      <c r="K30" s="321">
        <v>415</v>
      </c>
      <c r="L30" s="321">
        <v>375</v>
      </c>
      <c r="M30" s="321">
        <v>790</v>
      </c>
      <c r="N30" s="321">
        <v>781</v>
      </c>
      <c r="O30" s="321">
        <v>958</v>
      </c>
      <c r="P30" s="321">
        <v>1739</v>
      </c>
      <c r="Q30" s="321">
        <v>13579</v>
      </c>
      <c r="R30" s="321">
        <v>9501</v>
      </c>
      <c r="S30" s="321">
        <v>23080</v>
      </c>
      <c r="T30" s="321">
        <v>19</v>
      </c>
      <c r="U30" s="321">
        <v>16</v>
      </c>
      <c r="V30" s="321">
        <v>35</v>
      </c>
    </row>
    <row r="31" spans="1:22">
      <c r="A31" s="628" t="s">
        <v>831</v>
      </c>
      <c r="B31" s="321">
        <v>1271</v>
      </c>
      <c r="C31" s="321">
        <v>375</v>
      </c>
      <c r="D31" s="321">
        <v>1646</v>
      </c>
      <c r="E31" s="321">
        <v>2654</v>
      </c>
      <c r="F31" s="321">
        <v>1526</v>
      </c>
      <c r="G31" s="321">
        <v>4180</v>
      </c>
      <c r="H31" s="321">
        <v>8370</v>
      </c>
      <c r="I31" s="321">
        <v>6020</v>
      </c>
      <c r="J31" s="321">
        <v>14390</v>
      </c>
      <c r="K31" s="321">
        <v>478</v>
      </c>
      <c r="L31" s="321">
        <v>373</v>
      </c>
      <c r="M31" s="321">
        <v>851</v>
      </c>
      <c r="N31" s="321">
        <v>788</v>
      </c>
      <c r="O31" s="321">
        <v>960</v>
      </c>
      <c r="P31" s="321">
        <v>1748</v>
      </c>
      <c r="Q31" s="321">
        <v>13582</v>
      </c>
      <c r="R31" s="321">
        <v>9267</v>
      </c>
      <c r="S31" s="321">
        <v>22849</v>
      </c>
      <c r="T31" s="321">
        <v>21</v>
      </c>
      <c r="U31" s="321">
        <v>13</v>
      </c>
      <c r="V31" s="321">
        <v>34</v>
      </c>
    </row>
    <row r="32" spans="1:22">
      <c r="A32" s="628" t="s">
        <v>830</v>
      </c>
      <c r="B32" s="321">
        <v>1150</v>
      </c>
      <c r="C32" s="321">
        <v>316</v>
      </c>
      <c r="D32" s="321">
        <v>1466</v>
      </c>
      <c r="E32" s="321">
        <v>2497</v>
      </c>
      <c r="F32" s="321">
        <v>1361</v>
      </c>
      <c r="G32" s="321">
        <v>3858</v>
      </c>
      <c r="H32" s="321">
        <v>7255</v>
      </c>
      <c r="I32" s="321">
        <v>5058</v>
      </c>
      <c r="J32" s="321">
        <v>12313</v>
      </c>
      <c r="K32" s="321">
        <v>318</v>
      </c>
      <c r="L32" s="321">
        <v>207</v>
      </c>
      <c r="M32" s="321">
        <v>525</v>
      </c>
      <c r="N32" s="321">
        <v>702</v>
      </c>
      <c r="O32" s="321">
        <v>815</v>
      </c>
      <c r="P32" s="321">
        <v>1517</v>
      </c>
      <c r="Q32" s="321">
        <v>11958</v>
      </c>
      <c r="R32" s="321">
        <v>7770</v>
      </c>
      <c r="S32" s="321">
        <v>19728</v>
      </c>
      <c r="T32" s="321">
        <v>36</v>
      </c>
      <c r="U32" s="321">
        <v>13</v>
      </c>
      <c r="V32" s="321">
        <v>49</v>
      </c>
    </row>
    <row r="33" spans="1:22">
      <c r="A33" s="629" t="s">
        <v>829</v>
      </c>
      <c r="B33" s="631">
        <v>1206</v>
      </c>
      <c r="C33" s="631">
        <v>350</v>
      </c>
      <c r="D33" s="631">
        <v>1556</v>
      </c>
      <c r="E33" s="631">
        <v>2871</v>
      </c>
      <c r="F33" s="631">
        <v>1618</v>
      </c>
      <c r="G33" s="631">
        <v>4489</v>
      </c>
      <c r="H33" s="631">
        <v>7646</v>
      </c>
      <c r="I33" s="631">
        <v>5156</v>
      </c>
      <c r="J33" s="631">
        <v>12802</v>
      </c>
      <c r="K33" s="631">
        <v>475</v>
      </c>
      <c r="L33" s="631">
        <v>319</v>
      </c>
      <c r="M33" s="631">
        <v>794</v>
      </c>
      <c r="N33" s="631">
        <v>716</v>
      </c>
      <c r="O33" s="631">
        <v>782</v>
      </c>
      <c r="P33" s="631">
        <v>1498</v>
      </c>
      <c r="Q33" s="631">
        <v>12952</v>
      </c>
      <c r="R33" s="631">
        <v>8237</v>
      </c>
      <c r="S33" s="631">
        <v>21189</v>
      </c>
      <c r="T33" s="631">
        <v>38</v>
      </c>
      <c r="U33" s="631">
        <v>10</v>
      </c>
      <c r="V33" s="631">
        <v>48</v>
      </c>
    </row>
    <row r="34" spans="1:22">
      <c r="A34" s="628" t="s">
        <v>828</v>
      </c>
      <c r="B34" s="613">
        <v>1309</v>
      </c>
      <c r="C34" s="613">
        <v>335</v>
      </c>
      <c r="D34" s="613">
        <v>1644</v>
      </c>
      <c r="E34" s="613">
        <v>3136</v>
      </c>
      <c r="F34" s="613">
        <v>1719</v>
      </c>
      <c r="G34" s="613">
        <v>4855</v>
      </c>
      <c r="H34" s="613">
        <v>7655</v>
      </c>
      <c r="I34" s="613">
        <v>4780</v>
      </c>
      <c r="J34" s="613">
        <v>12435</v>
      </c>
      <c r="K34" s="613">
        <v>658</v>
      </c>
      <c r="L34" s="613">
        <v>367</v>
      </c>
      <c r="M34" s="613">
        <v>1025</v>
      </c>
      <c r="N34" s="613">
        <v>1196</v>
      </c>
      <c r="O34" s="613">
        <v>1327</v>
      </c>
      <c r="P34" s="613">
        <v>2523</v>
      </c>
      <c r="Q34" s="613">
        <v>13954</v>
      </c>
      <c r="R34" s="613">
        <v>8528</v>
      </c>
      <c r="S34" s="613">
        <v>22482</v>
      </c>
      <c r="T34" s="613">
        <v>124</v>
      </c>
      <c r="U34" s="613">
        <v>39</v>
      </c>
      <c r="V34" s="613">
        <v>163</v>
      </c>
    </row>
    <row r="35" spans="1:22" ht="15">
      <c r="A35" s="623" t="s">
        <v>18</v>
      </c>
      <c r="B35" s="624"/>
      <c r="C35" s="625"/>
      <c r="D35" s="625"/>
      <c r="E35" s="625"/>
      <c r="F35" s="625"/>
      <c r="G35" s="626"/>
      <c r="H35" s="624"/>
      <c r="I35" s="625"/>
      <c r="J35" s="626"/>
      <c r="K35" s="624"/>
      <c r="L35" s="625"/>
      <c r="M35" s="625"/>
      <c r="N35" s="625"/>
      <c r="O35" s="625"/>
      <c r="P35" s="626"/>
      <c r="Q35" s="624"/>
      <c r="R35" s="625"/>
      <c r="S35" s="625"/>
      <c r="T35" s="625"/>
      <c r="U35" s="625"/>
      <c r="V35" s="626"/>
    </row>
    <row r="36" spans="1:22">
      <c r="A36" s="612" t="s">
        <v>832</v>
      </c>
      <c r="B36" s="321">
        <v>1933</v>
      </c>
      <c r="C36" s="321">
        <v>423</v>
      </c>
      <c r="D36" s="321">
        <v>2356</v>
      </c>
      <c r="E36" s="321">
        <v>3336</v>
      </c>
      <c r="F36" s="321">
        <v>757</v>
      </c>
      <c r="G36" s="321">
        <v>4093</v>
      </c>
      <c r="H36" s="321">
        <v>16407</v>
      </c>
      <c r="I36" s="321">
        <v>4362</v>
      </c>
      <c r="J36" s="321">
        <v>20769</v>
      </c>
      <c r="K36" s="321">
        <v>683</v>
      </c>
      <c r="L36" s="321">
        <v>509</v>
      </c>
      <c r="M36" s="321">
        <v>1192</v>
      </c>
      <c r="N36" s="321">
        <v>649</v>
      </c>
      <c r="O36" s="321">
        <v>270</v>
      </c>
      <c r="P36" s="321">
        <v>919</v>
      </c>
      <c r="Q36" s="321">
        <v>23213</v>
      </c>
      <c r="R36" s="321">
        <v>6384</v>
      </c>
      <c r="S36" s="321">
        <v>29597</v>
      </c>
      <c r="T36" s="321">
        <v>205</v>
      </c>
      <c r="U36" s="321">
        <v>63</v>
      </c>
      <c r="V36" s="321">
        <v>268</v>
      </c>
    </row>
    <row r="37" spans="1:22">
      <c r="A37" s="628" t="s">
        <v>831</v>
      </c>
      <c r="B37" s="321">
        <v>1847</v>
      </c>
      <c r="C37" s="321">
        <v>412</v>
      </c>
      <c r="D37" s="321">
        <v>2259</v>
      </c>
      <c r="E37" s="321">
        <v>3343</v>
      </c>
      <c r="F37" s="321">
        <v>791</v>
      </c>
      <c r="G37" s="321">
        <v>4134</v>
      </c>
      <c r="H37" s="321">
        <v>14582</v>
      </c>
      <c r="I37" s="321">
        <v>3727</v>
      </c>
      <c r="J37" s="321">
        <v>18309</v>
      </c>
      <c r="K37" s="321">
        <v>448</v>
      </c>
      <c r="L37" s="321">
        <v>400</v>
      </c>
      <c r="M37" s="321">
        <v>848</v>
      </c>
      <c r="N37" s="321">
        <v>494</v>
      </c>
      <c r="O37" s="321">
        <v>176</v>
      </c>
      <c r="P37" s="321">
        <v>670</v>
      </c>
      <c r="Q37" s="321">
        <v>20888</v>
      </c>
      <c r="R37" s="321">
        <v>5562</v>
      </c>
      <c r="S37" s="321">
        <v>26450</v>
      </c>
      <c r="T37" s="321">
        <v>174</v>
      </c>
      <c r="U37" s="321">
        <v>56</v>
      </c>
      <c r="V37" s="321">
        <v>230</v>
      </c>
    </row>
    <row r="38" spans="1:22">
      <c r="A38" s="628" t="s">
        <v>830</v>
      </c>
      <c r="B38" s="321">
        <v>1729</v>
      </c>
      <c r="C38" s="321">
        <v>375</v>
      </c>
      <c r="D38" s="321">
        <v>2104</v>
      </c>
      <c r="E38" s="321">
        <v>3243</v>
      </c>
      <c r="F38" s="321">
        <v>775</v>
      </c>
      <c r="G38" s="321">
        <v>4018</v>
      </c>
      <c r="H38" s="321">
        <v>12002</v>
      </c>
      <c r="I38" s="321">
        <v>3077</v>
      </c>
      <c r="J38" s="321">
        <v>15079</v>
      </c>
      <c r="K38" s="321">
        <v>360</v>
      </c>
      <c r="L38" s="321">
        <v>340</v>
      </c>
      <c r="M38" s="321">
        <v>700</v>
      </c>
      <c r="N38" s="321">
        <v>417</v>
      </c>
      <c r="O38" s="321">
        <v>133</v>
      </c>
      <c r="P38" s="321">
        <v>550</v>
      </c>
      <c r="Q38" s="321">
        <v>17910</v>
      </c>
      <c r="R38" s="321">
        <v>4741</v>
      </c>
      <c r="S38" s="321">
        <v>22651</v>
      </c>
      <c r="T38" s="321">
        <v>159</v>
      </c>
      <c r="U38" s="321">
        <v>41</v>
      </c>
      <c r="V38" s="321">
        <v>200</v>
      </c>
    </row>
    <row r="39" spans="1:22">
      <c r="A39" s="629" t="s">
        <v>829</v>
      </c>
      <c r="B39" s="631">
        <v>1963</v>
      </c>
      <c r="C39" s="631">
        <v>433</v>
      </c>
      <c r="D39" s="631">
        <v>2396</v>
      </c>
      <c r="E39" s="631">
        <v>3184</v>
      </c>
      <c r="F39" s="631">
        <v>785</v>
      </c>
      <c r="G39" s="631">
        <v>3969</v>
      </c>
      <c r="H39" s="631">
        <v>12351</v>
      </c>
      <c r="I39" s="631">
        <v>2904</v>
      </c>
      <c r="J39" s="631">
        <v>15255</v>
      </c>
      <c r="K39" s="631">
        <v>549</v>
      </c>
      <c r="L39" s="631">
        <v>307</v>
      </c>
      <c r="M39" s="631">
        <v>856</v>
      </c>
      <c r="N39" s="631">
        <v>523</v>
      </c>
      <c r="O39" s="631">
        <v>151</v>
      </c>
      <c r="P39" s="631">
        <v>674</v>
      </c>
      <c r="Q39" s="631">
        <v>18775</v>
      </c>
      <c r="R39" s="631">
        <v>4646</v>
      </c>
      <c r="S39" s="631">
        <v>23421</v>
      </c>
      <c r="T39" s="631">
        <v>205</v>
      </c>
      <c r="U39" s="631">
        <v>66</v>
      </c>
      <c r="V39" s="631">
        <v>271</v>
      </c>
    </row>
    <row r="40" spans="1:22">
      <c r="A40" s="628" t="s">
        <v>828</v>
      </c>
      <c r="B40" s="613">
        <v>2130</v>
      </c>
      <c r="C40" s="613">
        <v>445</v>
      </c>
      <c r="D40" s="613">
        <v>2575</v>
      </c>
      <c r="E40" s="613">
        <v>3694</v>
      </c>
      <c r="F40" s="613">
        <v>897</v>
      </c>
      <c r="G40" s="613">
        <v>4591</v>
      </c>
      <c r="H40" s="613">
        <v>13925</v>
      </c>
      <c r="I40" s="613">
        <v>3078</v>
      </c>
      <c r="J40" s="613">
        <v>17003</v>
      </c>
      <c r="K40" s="613">
        <v>1019</v>
      </c>
      <c r="L40" s="613">
        <v>369</v>
      </c>
      <c r="M40" s="613">
        <v>1388</v>
      </c>
      <c r="N40" s="613">
        <v>3919</v>
      </c>
      <c r="O40" s="613">
        <v>468</v>
      </c>
      <c r="P40" s="613">
        <v>4387</v>
      </c>
      <c r="Q40" s="613">
        <v>24687</v>
      </c>
      <c r="R40" s="613">
        <v>5257</v>
      </c>
      <c r="S40" s="613">
        <v>29944</v>
      </c>
      <c r="T40" s="613">
        <v>1237</v>
      </c>
      <c r="U40" s="613">
        <v>322</v>
      </c>
      <c r="V40" s="613">
        <v>1559</v>
      </c>
    </row>
    <row r="41" spans="1:22" ht="15">
      <c r="A41" s="623" t="s">
        <v>19</v>
      </c>
      <c r="B41" s="624"/>
      <c r="C41" s="625"/>
      <c r="D41" s="625"/>
      <c r="E41" s="625"/>
      <c r="F41" s="625"/>
      <c r="G41" s="626"/>
      <c r="H41" s="624"/>
      <c r="I41" s="625"/>
      <c r="J41" s="626"/>
      <c r="K41" s="624"/>
      <c r="L41" s="625"/>
      <c r="M41" s="625"/>
      <c r="N41" s="625"/>
      <c r="O41" s="625"/>
      <c r="P41" s="626"/>
      <c r="Q41" s="624"/>
      <c r="R41" s="625"/>
      <c r="S41" s="625"/>
      <c r="T41" s="625"/>
      <c r="U41" s="625"/>
      <c r="V41" s="626"/>
    </row>
    <row r="42" spans="1:22">
      <c r="A42" s="612" t="s">
        <v>832</v>
      </c>
      <c r="B42" s="321">
        <v>443</v>
      </c>
      <c r="C42" s="321">
        <v>301</v>
      </c>
      <c r="D42" s="321">
        <v>744</v>
      </c>
      <c r="E42" s="321">
        <v>224</v>
      </c>
      <c r="F42" s="321">
        <v>322</v>
      </c>
      <c r="G42" s="321">
        <v>546</v>
      </c>
      <c r="H42" s="321">
        <v>864</v>
      </c>
      <c r="I42" s="321">
        <v>1368</v>
      </c>
      <c r="J42" s="321">
        <v>2232</v>
      </c>
      <c r="K42" s="321">
        <v>12</v>
      </c>
      <c r="L42" s="321">
        <v>9</v>
      </c>
      <c r="M42" s="321">
        <v>21</v>
      </c>
      <c r="N42" s="321">
        <v>44</v>
      </c>
      <c r="O42" s="321">
        <v>156</v>
      </c>
      <c r="P42" s="321">
        <v>200</v>
      </c>
      <c r="Q42" s="321">
        <v>1595</v>
      </c>
      <c r="R42" s="321">
        <v>2169</v>
      </c>
      <c r="S42" s="321">
        <v>3764</v>
      </c>
      <c r="T42" s="321">
        <v>8</v>
      </c>
      <c r="U42" s="321">
        <v>13</v>
      </c>
      <c r="V42" s="321">
        <v>21</v>
      </c>
    </row>
    <row r="43" spans="1:22">
      <c r="A43" s="628" t="s">
        <v>831</v>
      </c>
      <c r="B43" s="321">
        <v>395</v>
      </c>
      <c r="C43" s="321">
        <v>282</v>
      </c>
      <c r="D43" s="321">
        <v>677</v>
      </c>
      <c r="E43" s="321">
        <v>224</v>
      </c>
      <c r="F43" s="321">
        <v>334</v>
      </c>
      <c r="G43" s="321">
        <v>558</v>
      </c>
      <c r="H43" s="321">
        <v>783</v>
      </c>
      <c r="I43" s="321">
        <v>1317</v>
      </c>
      <c r="J43" s="321">
        <v>2100</v>
      </c>
      <c r="K43" s="321">
        <v>13</v>
      </c>
      <c r="L43" s="321">
        <v>10</v>
      </c>
      <c r="M43" s="321">
        <v>23</v>
      </c>
      <c r="N43" s="321">
        <v>20</v>
      </c>
      <c r="O43" s="321">
        <v>85</v>
      </c>
      <c r="P43" s="321">
        <v>105</v>
      </c>
      <c r="Q43" s="321">
        <v>1453</v>
      </c>
      <c r="R43" s="321">
        <v>2079</v>
      </c>
      <c r="S43" s="321">
        <v>3532</v>
      </c>
      <c r="T43" s="321">
        <v>18</v>
      </c>
      <c r="U43" s="321">
        <v>51</v>
      </c>
      <c r="V43" s="321">
        <v>69</v>
      </c>
    </row>
    <row r="44" spans="1:22">
      <c r="A44" s="628" t="s">
        <v>830</v>
      </c>
      <c r="B44" s="321">
        <v>403</v>
      </c>
      <c r="C44" s="321">
        <v>279</v>
      </c>
      <c r="D44" s="321">
        <v>682</v>
      </c>
      <c r="E44" s="321">
        <v>219</v>
      </c>
      <c r="F44" s="321">
        <v>314</v>
      </c>
      <c r="G44" s="321">
        <v>533</v>
      </c>
      <c r="H44" s="321">
        <v>746</v>
      </c>
      <c r="I44" s="321">
        <v>1177</v>
      </c>
      <c r="J44" s="321">
        <v>1923</v>
      </c>
      <c r="K44" s="321">
        <v>9</v>
      </c>
      <c r="L44" s="321">
        <v>10</v>
      </c>
      <c r="M44" s="321">
        <v>19</v>
      </c>
      <c r="N44" s="321">
        <v>20</v>
      </c>
      <c r="O44" s="321">
        <v>175</v>
      </c>
      <c r="P44" s="321">
        <v>195</v>
      </c>
      <c r="Q44" s="321">
        <v>1408</v>
      </c>
      <c r="R44" s="321">
        <v>1994</v>
      </c>
      <c r="S44" s="321">
        <v>3402</v>
      </c>
      <c r="T44" s="321">
        <v>11</v>
      </c>
      <c r="U44" s="321">
        <v>39</v>
      </c>
      <c r="V44" s="321">
        <v>50</v>
      </c>
    </row>
    <row r="45" spans="1:22">
      <c r="A45" s="629" t="s">
        <v>829</v>
      </c>
      <c r="B45" s="631">
        <v>386</v>
      </c>
      <c r="C45" s="631">
        <v>269</v>
      </c>
      <c r="D45" s="631">
        <v>655</v>
      </c>
      <c r="E45" s="631">
        <v>281</v>
      </c>
      <c r="F45" s="631">
        <v>356</v>
      </c>
      <c r="G45" s="631">
        <v>637</v>
      </c>
      <c r="H45" s="631">
        <v>663</v>
      </c>
      <c r="I45" s="631">
        <v>1032</v>
      </c>
      <c r="J45" s="631">
        <v>1695</v>
      </c>
      <c r="K45" s="631">
        <v>10</v>
      </c>
      <c r="L45" s="631">
        <v>8</v>
      </c>
      <c r="M45" s="631">
        <v>18</v>
      </c>
      <c r="N45" s="631">
        <v>20</v>
      </c>
      <c r="O45" s="631">
        <v>166</v>
      </c>
      <c r="P45" s="631">
        <v>186</v>
      </c>
      <c r="Q45" s="631">
        <v>1386</v>
      </c>
      <c r="R45" s="631">
        <v>1893</v>
      </c>
      <c r="S45" s="631">
        <v>3279</v>
      </c>
      <c r="T45" s="631">
        <v>25</v>
      </c>
      <c r="U45" s="631">
        <v>62</v>
      </c>
      <c r="V45" s="631">
        <v>87</v>
      </c>
    </row>
    <row r="46" spans="1:22">
      <c r="A46" s="628" t="s">
        <v>828</v>
      </c>
      <c r="B46" s="613">
        <v>476</v>
      </c>
      <c r="C46" s="613">
        <v>279</v>
      </c>
      <c r="D46" s="613">
        <v>755</v>
      </c>
      <c r="E46" s="613">
        <v>190</v>
      </c>
      <c r="F46" s="613">
        <v>366</v>
      </c>
      <c r="G46" s="613">
        <v>556</v>
      </c>
      <c r="H46" s="613">
        <v>555</v>
      </c>
      <c r="I46" s="613">
        <v>870</v>
      </c>
      <c r="J46" s="613">
        <v>1425</v>
      </c>
      <c r="K46" s="613">
        <v>7</v>
      </c>
      <c r="L46" s="613">
        <v>6</v>
      </c>
      <c r="M46" s="613">
        <v>13</v>
      </c>
      <c r="N46" s="613">
        <v>115</v>
      </c>
      <c r="O46" s="613">
        <v>362</v>
      </c>
      <c r="P46" s="613">
        <v>477</v>
      </c>
      <c r="Q46" s="613">
        <v>1343</v>
      </c>
      <c r="R46" s="613">
        <v>1883</v>
      </c>
      <c r="S46" s="613">
        <v>3226</v>
      </c>
      <c r="T46" s="613">
        <v>30</v>
      </c>
      <c r="U46" s="613">
        <v>88</v>
      </c>
      <c r="V46" s="613">
        <v>118</v>
      </c>
    </row>
    <row r="47" spans="1:22" ht="15">
      <c r="A47" s="623" t="s">
        <v>20</v>
      </c>
      <c r="B47" s="624"/>
      <c r="C47" s="625"/>
      <c r="D47" s="625"/>
      <c r="E47" s="625"/>
      <c r="F47" s="625"/>
      <c r="G47" s="626"/>
      <c r="H47" s="624"/>
      <c r="I47" s="625"/>
      <c r="J47" s="626"/>
      <c r="K47" s="624"/>
      <c r="L47" s="625"/>
      <c r="M47" s="625"/>
      <c r="N47" s="625"/>
      <c r="O47" s="625"/>
      <c r="P47" s="626"/>
      <c r="Q47" s="624"/>
      <c r="R47" s="625"/>
      <c r="S47" s="625"/>
      <c r="T47" s="625"/>
      <c r="U47" s="625"/>
      <c r="V47" s="626"/>
    </row>
    <row r="48" spans="1:22">
      <c r="A48" s="612" t="s">
        <v>832</v>
      </c>
      <c r="B48" s="321">
        <v>1184</v>
      </c>
      <c r="C48" s="321">
        <v>652</v>
      </c>
      <c r="D48" s="321">
        <v>1836</v>
      </c>
      <c r="E48" s="321">
        <v>986</v>
      </c>
      <c r="F48" s="321">
        <v>631</v>
      </c>
      <c r="G48" s="321">
        <v>1617</v>
      </c>
      <c r="H48" s="321">
        <v>7553</v>
      </c>
      <c r="I48" s="321">
        <v>6554</v>
      </c>
      <c r="J48" s="321">
        <v>14107</v>
      </c>
      <c r="K48" s="321">
        <v>531</v>
      </c>
      <c r="L48" s="321">
        <v>1775</v>
      </c>
      <c r="M48" s="321">
        <v>2306</v>
      </c>
      <c r="N48" s="321">
        <v>1090</v>
      </c>
      <c r="O48" s="321">
        <v>1069</v>
      </c>
      <c r="P48" s="321">
        <v>2159</v>
      </c>
      <c r="Q48" s="321">
        <v>11452</v>
      </c>
      <c r="R48" s="321">
        <v>10783</v>
      </c>
      <c r="S48" s="321">
        <v>22235</v>
      </c>
      <c r="T48" s="321">
        <v>108</v>
      </c>
      <c r="U48" s="321">
        <v>102</v>
      </c>
      <c r="V48" s="321">
        <v>210</v>
      </c>
    </row>
    <row r="49" spans="1:23">
      <c r="A49" s="628" t="s">
        <v>831</v>
      </c>
      <c r="B49" s="321">
        <v>1077</v>
      </c>
      <c r="C49" s="321">
        <v>579</v>
      </c>
      <c r="D49" s="321">
        <v>1656</v>
      </c>
      <c r="E49" s="321">
        <v>894</v>
      </c>
      <c r="F49" s="321">
        <v>513</v>
      </c>
      <c r="G49" s="321">
        <v>1407</v>
      </c>
      <c r="H49" s="321">
        <v>7388</v>
      </c>
      <c r="I49" s="321">
        <v>6029</v>
      </c>
      <c r="J49" s="321">
        <v>13417</v>
      </c>
      <c r="K49" s="321">
        <v>473</v>
      </c>
      <c r="L49" s="321">
        <v>1509</v>
      </c>
      <c r="M49" s="321">
        <v>1982</v>
      </c>
      <c r="N49" s="321">
        <v>948</v>
      </c>
      <c r="O49" s="321">
        <v>1023</v>
      </c>
      <c r="P49" s="321">
        <v>1971</v>
      </c>
      <c r="Q49" s="321">
        <v>10881</v>
      </c>
      <c r="R49" s="321">
        <v>9749</v>
      </c>
      <c r="S49" s="321">
        <v>20630</v>
      </c>
      <c r="T49" s="321">
        <v>101</v>
      </c>
      <c r="U49" s="321">
        <v>96</v>
      </c>
      <c r="V49" s="321">
        <v>197</v>
      </c>
    </row>
    <row r="50" spans="1:23">
      <c r="A50" s="628" t="s">
        <v>830</v>
      </c>
      <c r="B50" s="321">
        <v>1065</v>
      </c>
      <c r="C50" s="321">
        <v>571</v>
      </c>
      <c r="D50" s="321">
        <v>1636</v>
      </c>
      <c r="E50" s="321">
        <v>789</v>
      </c>
      <c r="F50" s="321">
        <v>443</v>
      </c>
      <c r="G50" s="321">
        <v>1232</v>
      </c>
      <c r="H50" s="321">
        <v>7109</v>
      </c>
      <c r="I50" s="321">
        <v>5671</v>
      </c>
      <c r="J50" s="321">
        <v>12780</v>
      </c>
      <c r="K50" s="321">
        <v>522</v>
      </c>
      <c r="L50" s="321">
        <v>1514</v>
      </c>
      <c r="M50" s="321">
        <v>2036</v>
      </c>
      <c r="N50" s="321">
        <v>854</v>
      </c>
      <c r="O50" s="321">
        <v>950</v>
      </c>
      <c r="P50" s="321">
        <v>1804</v>
      </c>
      <c r="Q50" s="321">
        <v>10421</v>
      </c>
      <c r="R50" s="321">
        <v>9219</v>
      </c>
      <c r="S50" s="321">
        <v>19640</v>
      </c>
      <c r="T50" s="321">
        <v>82</v>
      </c>
      <c r="U50" s="321">
        <v>70</v>
      </c>
      <c r="V50" s="321">
        <v>152</v>
      </c>
      <c r="W50" s="103"/>
    </row>
    <row r="51" spans="1:23">
      <c r="A51" s="629" t="s">
        <v>829</v>
      </c>
      <c r="B51" s="631">
        <v>1085</v>
      </c>
      <c r="C51" s="631">
        <v>564</v>
      </c>
      <c r="D51" s="631">
        <v>1649</v>
      </c>
      <c r="E51" s="631">
        <v>800</v>
      </c>
      <c r="F51" s="631">
        <v>395</v>
      </c>
      <c r="G51" s="631">
        <v>1195</v>
      </c>
      <c r="H51" s="631">
        <v>6635</v>
      </c>
      <c r="I51" s="631">
        <v>5188</v>
      </c>
      <c r="J51" s="631">
        <v>11823</v>
      </c>
      <c r="K51" s="631">
        <v>535</v>
      </c>
      <c r="L51" s="631">
        <v>1465</v>
      </c>
      <c r="M51" s="631">
        <v>2000</v>
      </c>
      <c r="N51" s="631">
        <v>855</v>
      </c>
      <c r="O51" s="631">
        <v>980</v>
      </c>
      <c r="P51" s="631">
        <v>1835</v>
      </c>
      <c r="Q51" s="631">
        <v>9966</v>
      </c>
      <c r="R51" s="631">
        <v>8667</v>
      </c>
      <c r="S51" s="631">
        <v>18633</v>
      </c>
      <c r="T51" s="631">
        <v>56</v>
      </c>
      <c r="U51" s="631">
        <v>75</v>
      </c>
      <c r="V51" s="631">
        <v>131</v>
      </c>
    </row>
    <row r="52" spans="1:23">
      <c r="A52" s="628" t="s">
        <v>828</v>
      </c>
      <c r="B52" s="613">
        <v>1064</v>
      </c>
      <c r="C52" s="613">
        <v>439</v>
      </c>
      <c r="D52" s="613">
        <v>1503</v>
      </c>
      <c r="E52" s="613">
        <v>1075</v>
      </c>
      <c r="F52" s="613">
        <v>576</v>
      </c>
      <c r="G52" s="613">
        <v>1651</v>
      </c>
      <c r="H52" s="613">
        <v>7316</v>
      </c>
      <c r="I52" s="613">
        <v>5485</v>
      </c>
      <c r="J52" s="613">
        <v>12801</v>
      </c>
      <c r="K52" s="613">
        <v>700</v>
      </c>
      <c r="L52" s="613">
        <v>1307</v>
      </c>
      <c r="M52" s="613">
        <v>2007</v>
      </c>
      <c r="N52" s="613">
        <v>1188</v>
      </c>
      <c r="O52" s="613">
        <v>1376</v>
      </c>
      <c r="P52" s="613">
        <v>2564</v>
      </c>
      <c r="Q52" s="613">
        <v>11343</v>
      </c>
      <c r="R52" s="613">
        <v>9183</v>
      </c>
      <c r="S52" s="613">
        <v>20526</v>
      </c>
      <c r="T52" s="613">
        <v>135</v>
      </c>
      <c r="U52" s="613">
        <v>94</v>
      </c>
      <c r="V52" s="613">
        <v>229</v>
      </c>
    </row>
    <row r="53" spans="1:23" ht="15">
      <c r="A53" s="623" t="s">
        <v>155</v>
      </c>
      <c r="B53" s="624"/>
      <c r="C53" s="625"/>
      <c r="D53" s="625"/>
      <c r="E53" s="625"/>
      <c r="F53" s="625"/>
      <c r="G53" s="626"/>
      <c r="H53" s="624"/>
      <c r="I53" s="625"/>
      <c r="J53" s="626"/>
      <c r="K53" s="624"/>
      <c r="L53" s="625"/>
      <c r="M53" s="625"/>
      <c r="N53" s="625"/>
      <c r="O53" s="625"/>
      <c r="P53" s="626"/>
      <c r="Q53" s="624"/>
      <c r="R53" s="625"/>
      <c r="S53" s="625"/>
      <c r="T53" s="625"/>
      <c r="U53" s="625"/>
      <c r="V53" s="626"/>
    </row>
    <row r="54" spans="1:23">
      <c r="A54" s="612" t="s">
        <v>832</v>
      </c>
      <c r="B54" s="321">
        <v>7</v>
      </c>
      <c r="C54" s="321">
        <v>4</v>
      </c>
      <c r="D54" s="321">
        <v>11</v>
      </c>
      <c r="E54" s="321">
        <v>6</v>
      </c>
      <c r="F54" s="321">
        <v>4</v>
      </c>
      <c r="G54" s="321">
        <v>10</v>
      </c>
      <c r="H54" s="321">
        <v>101</v>
      </c>
      <c r="I54" s="321">
        <v>100</v>
      </c>
      <c r="J54" s="321">
        <v>201</v>
      </c>
      <c r="K54" s="321">
        <v>3</v>
      </c>
      <c r="L54" s="321">
        <v>7</v>
      </c>
      <c r="M54" s="321">
        <v>10</v>
      </c>
      <c r="N54" s="321">
        <v>1</v>
      </c>
      <c r="O54" s="321">
        <v>0</v>
      </c>
      <c r="P54" s="321">
        <v>1</v>
      </c>
      <c r="Q54" s="321">
        <v>119</v>
      </c>
      <c r="R54" s="321">
        <v>116</v>
      </c>
      <c r="S54" s="321">
        <v>235</v>
      </c>
      <c r="T54" s="321">
        <v>1</v>
      </c>
      <c r="U54" s="321">
        <v>1</v>
      </c>
      <c r="V54" s="321">
        <v>2</v>
      </c>
    </row>
    <row r="55" spans="1:23">
      <c r="A55" s="628" t="s">
        <v>831</v>
      </c>
      <c r="B55" s="321">
        <v>6</v>
      </c>
      <c r="C55" s="321">
        <v>4</v>
      </c>
      <c r="D55" s="321">
        <v>10</v>
      </c>
      <c r="E55" s="321">
        <v>6</v>
      </c>
      <c r="F55" s="321">
        <v>3</v>
      </c>
      <c r="G55" s="321">
        <v>9</v>
      </c>
      <c r="H55" s="321">
        <v>95</v>
      </c>
      <c r="I55" s="321">
        <v>86</v>
      </c>
      <c r="J55" s="321">
        <v>181</v>
      </c>
      <c r="K55" s="321">
        <v>3</v>
      </c>
      <c r="L55" s="321">
        <v>8</v>
      </c>
      <c r="M55" s="321">
        <v>11</v>
      </c>
      <c r="N55" s="321">
        <v>1</v>
      </c>
      <c r="O55" s="321">
        <v>0</v>
      </c>
      <c r="P55" s="321">
        <v>1</v>
      </c>
      <c r="Q55" s="321">
        <v>112</v>
      </c>
      <c r="R55" s="321">
        <v>102</v>
      </c>
      <c r="S55" s="321">
        <v>214</v>
      </c>
      <c r="T55" s="321">
        <v>1</v>
      </c>
      <c r="U55" s="321">
        <v>1</v>
      </c>
      <c r="V55" s="321">
        <v>2</v>
      </c>
    </row>
    <row r="56" spans="1:23">
      <c r="A56" s="628" t="s">
        <v>830</v>
      </c>
      <c r="B56" s="321">
        <v>6</v>
      </c>
      <c r="C56" s="321">
        <v>3</v>
      </c>
      <c r="D56" s="321">
        <v>9</v>
      </c>
      <c r="E56" s="321">
        <v>6</v>
      </c>
      <c r="F56" s="321">
        <v>3</v>
      </c>
      <c r="G56" s="321">
        <v>9</v>
      </c>
      <c r="H56" s="321">
        <v>90</v>
      </c>
      <c r="I56" s="321">
        <v>81</v>
      </c>
      <c r="J56" s="321">
        <v>171</v>
      </c>
      <c r="K56" s="321">
        <v>4</v>
      </c>
      <c r="L56" s="321">
        <v>8</v>
      </c>
      <c r="M56" s="321">
        <v>12</v>
      </c>
      <c r="N56" s="321">
        <v>0</v>
      </c>
      <c r="O56" s="321">
        <v>0</v>
      </c>
      <c r="P56" s="321">
        <v>0</v>
      </c>
      <c r="Q56" s="321">
        <v>109</v>
      </c>
      <c r="R56" s="321">
        <v>96</v>
      </c>
      <c r="S56" s="321">
        <v>205</v>
      </c>
      <c r="T56" s="321">
        <v>3</v>
      </c>
      <c r="U56" s="321">
        <v>1</v>
      </c>
      <c r="V56" s="321">
        <v>4</v>
      </c>
    </row>
    <row r="57" spans="1:23">
      <c r="A57" s="629" t="s">
        <v>829</v>
      </c>
      <c r="B57" s="631">
        <v>4</v>
      </c>
      <c r="C57" s="631">
        <v>5</v>
      </c>
      <c r="D57" s="631">
        <v>9</v>
      </c>
      <c r="E57" s="631">
        <v>3</v>
      </c>
      <c r="F57" s="631">
        <v>3</v>
      </c>
      <c r="G57" s="631">
        <v>6</v>
      </c>
      <c r="H57" s="631">
        <v>93</v>
      </c>
      <c r="I57" s="631">
        <v>72</v>
      </c>
      <c r="J57" s="631">
        <v>165</v>
      </c>
      <c r="K57" s="631">
        <v>4</v>
      </c>
      <c r="L57" s="631">
        <v>8</v>
      </c>
      <c r="M57" s="631">
        <v>12</v>
      </c>
      <c r="N57" s="631">
        <v>0</v>
      </c>
      <c r="O57" s="631">
        <v>0</v>
      </c>
      <c r="P57" s="631">
        <v>0</v>
      </c>
      <c r="Q57" s="631">
        <v>107</v>
      </c>
      <c r="R57" s="631">
        <v>89</v>
      </c>
      <c r="S57" s="631">
        <v>196</v>
      </c>
      <c r="T57" s="631">
        <v>3</v>
      </c>
      <c r="U57" s="631">
        <v>1</v>
      </c>
      <c r="V57" s="631">
        <v>4</v>
      </c>
    </row>
    <row r="58" spans="1:23">
      <c r="A58" s="628" t="s">
        <v>828</v>
      </c>
      <c r="B58" s="613">
        <v>5</v>
      </c>
      <c r="C58" s="613">
        <v>2</v>
      </c>
      <c r="D58" s="613">
        <v>7</v>
      </c>
      <c r="E58" s="613">
        <v>2</v>
      </c>
      <c r="F58" s="613">
        <v>0</v>
      </c>
      <c r="G58" s="613">
        <v>2</v>
      </c>
      <c r="H58" s="613">
        <v>85</v>
      </c>
      <c r="I58" s="613">
        <v>78</v>
      </c>
      <c r="J58" s="613">
        <v>163</v>
      </c>
      <c r="K58" s="613">
        <v>4</v>
      </c>
      <c r="L58" s="613">
        <v>8</v>
      </c>
      <c r="M58" s="613">
        <v>12</v>
      </c>
      <c r="N58" s="613">
        <v>11</v>
      </c>
      <c r="O58" s="613">
        <v>4</v>
      </c>
      <c r="P58" s="613">
        <v>15</v>
      </c>
      <c r="Q58" s="613">
        <v>107</v>
      </c>
      <c r="R58" s="613">
        <v>92</v>
      </c>
      <c r="S58" s="613">
        <v>199</v>
      </c>
      <c r="T58" s="613">
        <v>0</v>
      </c>
      <c r="U58" s="613">
        <v>1</v>
      </c>
      <c r="V58" s="613">
        <v>1</v>
      </c>
    </row>
    <row r="59" spans="1:23" ht="15">
      <c r="A59" s="623" t="s">
        <v>156</v>
      </c>
      <c r="B59" s="624"/>
      <c r="C59" s="625"/>
      <c r="D59" s="625"/>
      <c r="E59" s="625"/>
      <c r="F59" s="625"/>
      <c r="G59" s="626"/>
      <c r="H59" s="624"/>
      <c r="I59" s="625"/>
      <c r="J59" s="626"/>
      <c r="K59" s="624"/>
      <c r="L59" s="625"/>
      <c r="M59" s="625"/>
      <c r="N59" s="625"/>
      <c r="O59" s="625"/>
      <c r="P59" s="626"/>
      <c r="Q59" s="624"/>
      <c r="R59" s="625"/>
      <c r="S59" s="625"/>
      <c r="T59" s="625"/>
      <c r="U59" s="625"/>
      <c r="V59" s="626"/>
    </row>
    <row r="60" spans="1:23">
      <c r="A60" s="612" t="s">
        <v>832</v>
      </c>
      <c r="B60" s="321">
        <v>11</v>
      </c>
      <c r="C60" s="321">
        <v>6</v>
      </c>
      <c r="D60" s="321">
        <v>17</v>
      </c>
      <c r="E60" s="321">
        <v>20</v>
      </c>
      <c r="F60" s="321">
        <v>10</v>
      </c>
      <c r="G60" s="321">
        <v>30</v>
      </c>
      <c r="H60" s="321">
        <v>112</v>
      </c>
      <c r="I60" s="321">
        <v>43</v>
      </c>
      <c r="J60" s="321">
        <v>155</v>
      </c>
      <c r="K60" s="321">
        <v>3</v>
      </c>
      <c r="L60" s="321">
        <v>40</v>
      </c>
      <c r="M60" s="321">
        <v>43</v>
      </c>
      <c r="N60" s="321">
        <v>12</v>
      </c>
      <c r="O60" s="321">
        <v>3</v>
      </c>
      <c r="P60" s="321">
        <v>15</v>
      </c>
      <c r="Q60" s="321">
        <v>163</v>
      </c>
      <c r="R60" s="321">
        <v>109</v>
      </c>
      <c r="S60" s="321">
        <v>272</v>
      </c>
      <c r="T60" s="321">
        <v>5</v>
      </c>
      <c r="U60" s="321">
        <v>7</v>
      </c>
      <c r="V60" s="321">
        <v>12</v>
      </c>
      <c r="W60" s="103"/>
    </row>
    <row r="61" spans="1:23">
      <c r="A61" s="628" t="s">
        <v>831</v>
      </c>
      <c r="B61" s="321">
        <v>11</v>
      </c>
      <c r="C61" s="321">
        <v>6</v>
      </c>
      <c r="D61" s="321">
        <v>17</v>
      </c>
      <c r="E61" s="321">
        <v>21</v>
      </c>
      <c r="F61" s="321">
        <v>9</v>
      </c>
      <c r="G61" s="321">
        <v>30</v>
      </c>
      <c r="H61" s="321">
        <v>115</v>
      </c>
      <c r="I61" s="321">
        <v>40</v>
      </c>
      <c r="J61" s="321">
        <v>155</v>
      </c>
      <c r="K61" s="321">
        <v>5</v>
      </c>
      <c r="L61" s="321">
        <v>25</v>
      </c>
      <c r="M61" s="321">
        <v>30</v>
      </c>
      <c r="N61" s="321">
        <v>2</v>
      </c>
      <c r="O61" s="321">
        <v>4</v>
      </c>
      <c r="P61" s="321">
        <v>6</v>
      </c>
      <c r="Q61" s="321">
        <v>158</v>
      </c>
      <c r="R61" s="321">
        <v>87</v>
      </c>
      <c r="S61" s="321">
        <v>245</v>
      </c>
      <c r="T61" s="321">
        <v>4</v>
      </c>
      <c r="U61" s="321">
        <v>3</v>
      </c>
      <c r="V61" s="321">
        <v>7</v>
      </c>
    </row>
    <row r="62" spans="1:23">
      <c r="A62" s="628" t="s">
        <v>830</v>
      </c>
      <c r="B62" s="321">
        <v>11</v>
      </c>
      <c r="C62" s="321">
        <v>5</v>
      </c>
      <c r="D62" s="321">
        <v>16</v>
      </c>
      <c r="E62" s="321">
        <v>22</v>
      </c>
      <c r="F62" s="321">
        <v>8</v>
      </c>
      <c r="G62" s="321">
        <v>30</v>
      </c>
      <c r="H62" s="321">
        <v>103</v>
      </c>
      <c r="I62" s="321">
        <v>54</v>
      </c>
      <c r="J62" s="321">
        <v>157</v>
      </c>
      <c r="K62" s="321">
        <v>0</v>
      </c>
      <c r="L62" s="321">
        <v>3</v>
      </c>
      <c r="M62" s="321">
        <v>3</v>
      </c>
      <c r="N62" s="321">
        <v>3</v>
      </c>
      <c r="O62" s="321">
        <v>3</v>
      </c>
      <c r="P62" s="321">
        <v>6</v>
      </c>
      <c r="Q62" s="321">
        <v>140</v>
      </c>
      <c r="R62" s="321">
        <v>83</v>
      </c>
      <c r="S62" s="321">
        <v>223</v>
      </c>
      <c r="T62" s="321">
        <v>1</v>
      </c>
      <c r="U62" s="321">
        <v>10</v>
      </c>
      <c r="V62" s="321">
        <v>11</v>
      </c>
    </row>
    <row r="63" spans="1:23">
      <c r="A63" s="629" t="s">
        <v>829</v>
      </c>
      <c r="B63" s="631">
        <v>13</v>
      </c>
      <c r="C63" s="631">
        <v>3</v>
      </c>
      <c r="D63" s="631">
        <v>16</v>
      </c>
      <c r="E63" s="631">
        <v>24</v>
      </c>
      <c r="F63" s="631">
        <v>7</v>
      </c>
      <c r="G63" s="631">
        <v>31</v>
      </c>
      <c r="H63" s="631">
        <v>89</v>
      </c>
      <c r="I63" s="631">
        <v>48</v>
      </c>
      <c r="J63" s="631">
        <v>137</v>
      </c>
      <c r="K63" s="631">
        <v>0</v>
      </c>
      <c r="L63" s="631">
        <v>0</v>
      </c>
      <c r="M63" s="631">
        <v>0</v>
      </c>
      <c r="N63" s="631">
        <v>3</v>
      </c>
      <c r="O63" s="631">
        <v>3</v>
      </c>
      <c r="P63" s="631">
        <v>6</v>
      </c>
      <c r="Q63" s="631">
        <v>129</v>
      </c>
      <c r="R63" s="631">
        <v>67</v>
      </c>
      <c r="S63" s="631">
        <v>196</v>
      </c>
      <c r="T63" s="631">
        <v>0</v>
      </c>
      <c r="U63" s="631">
        <v>6</v>
      </c>
      <c r="V63" s="631">
        <v>6</v>
      </c>
    </row>
    <row r="64" spans="1:23">
      <c r="A64" s="628" t="s">
        <v>828</v>
      </c>
      <c r="B64" s="613">
        <v>10</v>
      </c>
      <c r="C64" s="613">
        <v>2</v>
      </c>
      <c r="D64" s="613">
        <v>12</v>
      </c>
      <c r="E64" s="613">
        <v>27</v>
      </c>
      <c r="F64" s="613">
        <v>9</v>
      </c>
      <c r="G64" s="613">
        <v>36</v>
      </c>
      <c r="H64" s="613">
        <v>72</v>
      </c>
      <c r="I64" s="613">
        <v>47</v>
      </c>
      <c r="J64" s="613">
        <v>119</v>
      </c>
      <c r="K64" s="613">
        <v>0</v>
      </c>
      <c r="L64" s="613">
        <v>0</v>
      </c>
      <c r="M64" s="613">
        <v>0</v>
      </c>
      <c r="N64" s="613">
        <v>15</v>
      </c>
      <c r="O64" s="613">
        <v>8</v>
      </c>
      <c r="P64" s="613">
        <v>23</v>
      </c>
      <c r="Q64" s="613">
        <v>124</v>
      </c>
      <c r="R64" s="613">
        <v>66</v>
      </c>
      <c r="S64" s="613">
        <v>190</v>
      </c>
      <c r="T64" s="613">
        <v>3</v>
      </c>
      <c r="U64" s="613">
        <v>4</v>
      </c>
      <c r="V64" s="613">
        <v>7</v>
      </c>
    </row>
    <row r="65" spans="1:22" ht="15">
      <c r="A65" s="623" t="s">
        <v>23</v>
      </c>
      <c r="B65" s="624"/>
      <c r="C65" s="625"/>
      <c r="D65" s="625"/>
      <c r="E65" s="625"/>
      <c r="F65" s="625"/>
      <c r="G65" s="626"/>
      <c r="H65" s="624"/>
      <c r="I65" s="625"/>
      <c r="J65" s="626"/>
      <c r="K65" s="624"/>
      <c r="L65" s="625"/>
      <c r="M65" s="625"/>
      <c r="N65" s="625"/>
      <c r="O65" s="625"/>
      <c r="P65" s="626"/>
      <c r="Q65" s="624"/>
      <c r="R65" s="625"/>
      <c r="S65" s="625"/>
      <c r="T65" s="625"/>
      <c r="U65" s="625"/>
      <c r="V65" s="626"/>
    </row>
    <row r="66" spans="1:22">
      <c r="A66" s="612" t="s">
        <v>832</v>
      </c>
      <c r="B66" s="321">
        <v>2333</v>
      </c>
      <c r="C66" s="321">
        <v>1234</v>
      </c>
      <c r="D66" s="321">
        <v>3567</v>
      </c>
      <c r="E66" s="321">
        <v>1749</v>
      </c>
      <c r="F66" s="321">
        <v>2326</v>
      </c>
      <c r="G66" s="321">
        <v>4075</v>
      </c>
      <c r="H66" s="321">
        <v>5213</v>
      </c>
      <c r="I66" s="321">
        <v>6958</v>
      </c>
      <c r="J66" s="321">
        <v>12171</v>
      </c>
      <c r="K66" s="321">
        <v>165</v>
      </c>
      <c r="L66" s="321">
        <v>427</v>
      </c>
      <c r="M66" s="321">
        <v>592</v>
      </c>
      <c r="N66" s="321">
        <v>474</v>
      </c>
      <c r="O66" s="321">
        <v>759</v>
      </c>
      <c r="P66" s="321">
        <v>1233</v>
      </c>
      <c r="Q66" s="321">
        <v>10008</v>
      </c>
      <c r="R66" s="321">
        <v>11754</v>
      </c>
      <c r="S66" s="321">
        <v>21762</v>
      </c>
      <c r="T66" s="321">
        <v>74</v>
      </c>
      <c r="U66" s="321">
        <v>50</v>
      </c>
      <c r="V66" s="321">
        <v>124</v>
      </c>
    </row>
    <row r="67" spans="1:22">
      <c r="A67" s="628" t="s">
        <v>831</v>
      </c>
      <c r="B67" s="321">
        <v>2046</v>
      </c>
      <c r="C67" s="321">
        <v>1051</v>
      </c>
      <c r="D67" s="321">
        <v>3097</v>
      </c>
      <c r="E67" s="321">
        <v>1671</v>
      </c>
      <c r="F67" s="321">
        <v>2283</v>
      </c>
      <c r="G67" s="321">
        <v>3954</v>
      </c>
      <c r="H67" s="321">
        <v>5016</v>
      </c>
      <c r="I67" s="321">
        <v>6781</v>
      </c>
      <c r="J67" s="321">
        <v>11797</v>
      </c>
      <c r="K67" s="321">
        <v>142</v>
      </c>
      <c r="L67" s="321">
        <v>438</v>
      </c>
      <c r="M67" s="321">
        <v>580</v>
      </c>
      <c r="N67" s="321">
        <v>397</v>
      </c>
      <c r="O67" s="321">
        <v>696</v>
      </c>
      <c r="P67" s="321">
        <v>1093</v>
      </c>
      <c r="Q67" s="321">
        <v>9349</v>
      </c>
      <c r="R67" s="321">
        <v>11298</v>
      </c>
      <c r="S67" s="321">
        <v>20647</v>
      </c>
      <c r="T67" s="321">
        <v>77</v>
      </c>
      <c r="U67" s="321">
        <v>49</v>
      </c>
      <c r="V67" s="321">
        <v>126</v>
      </c>
    </row>
    <row r="68" spans="1:22">
      <c r="A68" s="628" t="s">
        <v>830</v>
      </c>
      <c r="B68" s="321">
        <v>1488</v>
      </c>
      <c r="C68" s="321">
        <v>760</v>
      </c>
      <c r="D68" s="321">
        <v>2248</v>
      </c>
      <c r="E68" s="321">
        <v>1456</v>
      </c>
      <c r="F68" s="321">
        <v>2122</v>
      </c>
      <c r="G68" s="321">
        <v>3578</v>
      </c>
      <c r="H68" s="321">
        <v>4255</v>
      </c>
      <c r="I68" s="321">
        <v>5965</v>
      </c>
      <c r="J68" s="321">
        <v>10220</v>
      </c>
      <c r="K68" s="321">
        <v>124</v>
      </c>
      <c r="L68" s="321">
        <v>383</v>
      </c>
      <c r="M68" s="321">
        <v>507</v>
      </c>
      <c r="N68" s="321">
        <v>321</v>
      </c>
      <c r="O68" s="321">
        <v>576</v>
      </c>
      <c r="P68" s="321">
        <v>897</v>
      </c>
      <c r="Q68" s="321">
        <v>7675</v>
      </c>
      <c r="R68" s="321">
        <v>9837</v>
      </c>
      <c r="S68" s="321">
        <v>17512</v>
      </c>
      <c r="T68" s="321">
        <v>31</v>
      </c>
      <c r="U68" s="321">
        <v>31</v>
      </c>
      <c r="V68" s="321">
        <v>62</v>
      </c>
    </row>
    <row r="69" spans="1:22">
      <c r="A69" s="629" t="s">
        <v>829</v>
      </c>
      <c r="B69" s="631">
        <v>1701</v>
      </c>
      <c r="C69" s="631">
        <v>824</v>
      </c>
      <c r="D69" s="631">
        <v>2525</v>
      </c>
      <c r="E69" s="631">
        <v>1771</v>
      </c>
      <c r="F69" s="631">
        <v>2320</v>
      </c>
      <c r="G69" s="631">
        <v>4091</v>
      </c>
      <c r="H69" s="631">
        <v>4302</v>
      </c>
      <c r="I69" s="631">
        <v>5766</v>
      </c>
      <c r="J69" s="631">
        <v>10068</v>
      </c>
      <c r="K69" s="631">
        <v>117</v>
      </c>
      <c r="L69" s="631">
        <v>426</v>
      </c>
      <c r="M69" s="631">
        <v>543</v>
      </c>
      <c r="N69" s="631">
        <v>258</v>
      </c>
      <c r="O69" s="631">
        <v>481</v>
      </c>
      <c r="P69" s="631">
        <v>739</v>
      </c>
      <c r="Q69" s="631">
        <v>8218</v>
      </c>
      <c r="R69" s="631">
        <v>9854</v>
      </c>
      <c r="S69" s="631">
        <v>18072</v>
      </c>
      <c r="T69" s="631">
        <v>56</v>
      </c>
      <c r="U69" s="631">
        <v>37</v>
      </c>
      <c r="V69" s="631">
        <v>93</v>
      </c>
    </row>
    <row r="70" spans="1:22">
      <c r="A70" s="628" t="s">
        <v>828</v>
      </c>
      <c r="B70" s="613">
        <v>2115</v>
      </c>
      <c r="C70" s="613">
        <v>969</v>
      </c>
      <c r="D70" s="613">
        <v>3084</v>
      </c>
      <c r="E70" s="613">
        <v>2142</v>
      </c>
      <c r="F70" s="613">
        <v>2663</v>
      </c>
      <c r="G70" s="613">
        <v>4805</v>
      </c>
      <c r="H70" s="613">
        <v>4230</v>
      </c>
      <c r="I70" s="613">
        <v>5070</v>
      </c>
      <c r="J70" s="613">
        <v>9300</v>
      </c>
      <c r="K70" s="613">
        <v>59</v>
      </c>
      <c r="L70" s="613">
        <v>378</v>
      </c>
      <c r="M70" s="613">
        <v>437</v>
      </c>
      <c r="N70" s="613">
        <v>960</v>
      </c>
      <c r="O70" s="613">
        <v>1496</v>
      </c>
      <c r="P70" s="613">
        <v>2456</v>
      </c>
      <c r="Q70" s="613">
        <v>9506</v>
      </c>
      <c r="R70" s="613">
        <v>10576</v>
      </c>
      <c r="S70" s="613">
        <v>20082</v>
      </c>
      <c r="T70" s="613">
        <v>329</v>
      </c>
      <c r="U70" s="613">
        <v>221</v>
      </c>
      <c r="V70" s="613">
        <v>550</v>
      </c>
    </row>
    <row r="71" spans="1:22" ht="15">
      <c r="A71" s="623" t="s">
        <v>24</v>
      </c>
      <c r="B71" s="624"/>
      <c r="C71" s="625"/>
      <c r="D71" s="625"/>
      <c r="E71" s="625"/>
      <c r="F71" s="625"/>
      <c r="G71" s="626"/>
      <c r="H71" s="624"/>
      <c r="I71" s="625"/>
      <c r="J71" s="626"/>
      <c r="K71" s="624"/>
      <c r="L71" s="625"/>
      <c r="M71" s="625"/>
      <c r="N71" s="625"/>
      <c r="O71" s="625"/>
      <c r="P71" s="626"/>
      <c r="Q71" s="624"/>
      <c r="R71" s="625"/>
      <c r="S71" s="625"/>
      <c r="T71" s="625"/>
      <c r="U71" s="625"/>
      <c r="V71" s="626"/>
    </row>
    <row r="72" spans="1:22">
      <c r="A72" s="612" t="s">
        <v>832</v>
      </c>
      <c r="B72" s="321">
        <v>171</v>
      </c>
      <c r="C72" s="321">
        <v>56</v>
      </c>
      <c r="D72" s="321">
        <v>227</v>
      </c>
      <c r="E72" s="321">
        <v>272</v>
      </c>
      <c r="F72" s="321">
        <v>286</v>
      </c>
      <c r="G72" s="321">
        <v>558</v>
      </c>
      <c r="H72" s="321">
        <v>1138</v>
      </c>
      <c r="I72" s="321">
        <v>1345</v>
      </c>
      <c r="J72" s="321">
        <v>2483</v>
      </c>
      <c r="K72" s="321">
        <v>14</v>
      </c>
      <c r="L72" s="321">
        <v>45</v>
      </c>
      <c r="M72" s="321">
        <v>59</v>
      </c>
      <c r="N72" s="321">
        <v>51</v>
      </c>
      <c r="O72" s="321">
        <v>162</v>
      </c>
      <c r="P72" s="321">
        <v>213</v>
      </c>
      <c r="Q72" s="321">
        <v>1671</v>
      </c>
      <c r="R72" s="321">
        <v>1968</v>
      </c>
      <c r="S72" s="321">
        <v>3639</v>
      </c>
      <c r="T72" s="321">
        <v>25</v>
      </c>
      <c r="U72" s="321">
        <v>74</v>
      </c>
      <c r="V72" s="321">
        <v>99</v>
      </c>
    </row>
    <row r="73" spans="1:22">
      <c r="A73" s="628" t="s">
        <v>831</v>
      </c>
      <c r="B73" s="321">
        <v>161</v>
      </c>
      <c r="C73" s="321">
        <v>48</v>
      </c>
      <c r="D73" s="321">
        <v>209</v>
      </c>
      <c r="E73" s="321">
        <v>259</v>
      </c>
      <c r="F73" s="321">
        <v>284</v>
      </c>
      <c r="G73" s="321">
        <v>543</v>
      </c>
      <c r="H73" s="321">
        <v>1055</v>
      </c>
      <c r="I73" s="321">
        <v>1251</v>
      </c>
      <c r="J73" s="321">
        <v>2306</v>
      </c>
      <c r="K73" s="321">
        <v>14</v>
      </c>
      <c r="L73" s="321">
        <v>42</v>
      </c>
      <c r="M73" s="321">
        <v>56</v>
      </c>
      <c r="N73" s="321">
        <v>51</v>
      </c>
      <c r="O73" s="321">
        <v>151</v>
      </c>
      <c r="P73" s="321">
        <v>202</v>
      </c>
      <c r="Q73" s="321">
        <v>1559</v>
      </c>
      <c r="R73" s="321">
        <v>1859</v>
      </c>
      <c r="S73" s="321">
        <v>3418</v>
      </c>
      <c r="T73" s="321">
        <v>19</v>
      </c>
      <c r="U73" s="321">
        <v>83</v>
      </c>
      <c r="V73" s="321">
        <v>102</v>
      </c>
    </row>
    <row r="74" spans="1:22">
      <c r="A74" s="628" t="s">
        <v>830</v>
      </c>
      <c r="B74" s="321">
        <v>137</v>
      </c>
      <c r="C74" s="321">
        <v>47</v>
      </c>
      <c r="D74" s="321">
        <v>184</v>
      </c>
      <c r="E74" s="321">
        <v>253</v>
      </c>
      <c r="F74" s="321">
        <v>259</v>
      </c>
      <c r="G74" s="321">
        <v>512</v>
      </c>
      <c r="H74" s="321">
        <v>812</v>
      </c>
      <c r="I74" s="321">
        <v>973</v>
      </c>
      <c r="J74" s="321">
        <v>1785</v>
      </c>
      <c r="K74" s="321">
        <v>13</v>
      </c>
      <c r="L74" s="321">
        <v>43</v>
      </c>
      <c r="M74" s="321">
        <v>56</v>
      </c>
      <c r="N74" s="321">
        <v>61</v>
      </c>
      <c r="O74" s="321">
        <v>153</v>
      </c>
      <c r="P74" s="321">
        <v>214</v>
      </c>
      <c r="Q74" s="321">
        <v>1301</v>
      </c>
      <c r="R74" s="321">
        <v>1588</v>
      </c>
      <c r="S74" s="321">
        <v>2889</v>
      </c>
      <c r="T74" s="321">
        <v>25</v>
      </c>
      <c r="U74" s="321">
        <v>113</v>
      </c>
      <c r="V74" s="321">
        <v>138</v>
      </c>
    </row>
    <row r="75" spans="1:22">
      <c r="A75" s="629" t="s">
        <v>829</v>
      </c>
      <c r="B75" s="631">
        <v>155</v>
      </c>
      <c r="C75" s="631">
        <v>49</v>
      </c>
      <c r="D75" s="631">
        <v>204</v>
      </c>
      <c r="E75" s="631">
        <v>269</v>
      </c>
      <c r="F75" s="631">
        <v>251</v>
      </c>
      <c r="G75" s="631">
        <v>520</v>
      </c>
      <c r="H75" s="631">
        <v>804</v>
      </c>
      <c r="I75" s="631">
        <v>876</v>
      </c>
      <c r="J75" s="631">
        <v>1680</v>
      </c>
      <c r="K75" s="631">
        <v>15</v>
      </c>
      <c r="L75" s="631">
        <v>42</v>
      </c>
      <c r="M75" s="631">
        <v>57</v>
      </c>
      <c r="N75" s="631">
        <v>44</v>
      </c>
      <c r="O75" s="631">
        <v>107</v>
      </c>
      <c r="P75" s="631">
        <v>151</v>
      </c>
      <c r="Q75" s="631">
        <v>1315</v>
      </c>
      <c r="R75" s="631">
        <v>1421</v>
      </c>
      <c r="S75" s="631">
        <v>2736</v>
      </c>
      <c r="T75" s="631">
        <v>28</v>
      </c>
      <c r="U75" s="631">
        <v>96</v>
      </c>
      <c r="V75" s="631">
        <v>124</v>
      </c>
    </row>
    <row r="76" spans="1:22">
      <c r="A76" s="628" t="s">
        <v>828</v>
      </c>
      <c r="B76" s="613">
        <v>162</v>
      </c>
      <c r="C76" s="613">
        <v>45</v>
      </c>
      <c r="D76" s="613">
        <v>207</v>
      </c>
      <c r="E76" s="613">
        <v>295</v>
      </c>
      <c r="F76" s="613">
        <v>256</v>
      </c>
      <c r="G76" s="613">
        <v>551</v>
      </c>
      <c r="H76" s="613">
        <v>686</v>
      </c>
      <c r="I76" s="613">
        <v>628</v>
      </c>
      <c r="J76" s="613">
        <v>1314</v>
      </c>
      <c r="K76" s="613">
        <v>36</v>
      </c>
      <c r="L76" s="613">
        <v>55</v>
      </c>
      <c r="M76" s="613">
        <v>91</v>
      </c>
      <c r="N76" s="613">
        <v>142</v>
      </c>
      <c r="O76" s="613">
        <v>326</v>
      </c>
      <c r="P76" s="613">
        <v>468</v>
      </c>
      <c r="Q76" s="613">
        <v>1321</v>
      </c>
      <c r="R76" s="613">
        <v>1310</v>
      </c>
      <c r="S76" s="613">
        <v>2631</v>
      </c>
      <c r="T76" s="613">
        <v>127</v>
      </c>
      <c r="U76" s="613">
        <v>334</v>
      </c>
      <c r="V76" s="613">
        <v>461</v>
      </c>
    </row>
    <row r="77" spans="1:22" ht="15">
      <c r="A77" s="623" t="s">
        <v>25</v>
      </c>
      <c r="B77" s="624"/>
      <c r="C77" s="625"/>
      <c r="D77" s="625"/>
      <c r="E77" s="625"/>
      <c r="F77" s="625"/>
      <c r="G77" s="626"/>
      <c r="H77" s="624"/>
      <c r="I77" s="625"/>
      <c r="J77" s="626"/>
      <c r="K77" s="624"/>
      <c r="L77" s="625"/>
      <c r="M77" s="625"/>
      <c r="N77" s="625"/>
      <c r="O77" s="625"/>
      <c r="P77" s="626"/>
      <c r="Q77" s="624"/>
      <c r="R77" s="625"/>
      <c r="S77" s="625"/>
      <c r="T77" s="625"/>
      <c r="U77" s="625"/>
      <c r="V77" s="626"/>
    </row>
    <row r="78" spans="1:22">
      <c r="A78" s="612" t="s">
        <v>832</v>
      </c>
      <c r="B78" s="321">
        <v>4161</v>
      </c>
      <c r="C78" s="321">
        <v>1540</v>
      </c>
      <c r="D78" s="321">
        <v>5701</v>
      </c>
      <c r="E78" s="321">
        <v>5138</v>
      </c>
      <c r="F78" s="321">
        <v>2598</v>
      </c>
      <c r="G78" s="321">
        <v>7736</v>
      </c>
      <c r="H78" s="321">
        <v>22191</v>
      </c>
      <c r="I78" s="321">
        <v>14555</v>
      </c>
      <c r="J78" s="321">
        <v>36746</v>
      </c>
      <c r="K78" s="321">
        <v>1461</v>
      </c>
      <c r="L78" s="321">
        <v>3549</v>
      </c>
      <c r="M78" s="321">
        <v>5010</v>
      </c>
      <c r="N78" s="321">
        <v>1251</v>
      </c>
      <c r="O78" s="321">
        <v>1465</v>
      </c>
      <c r="P78" s="321">
        <v>2716</v>
      </c>
      <c r="Q78" s="321">
        <v>35627</v>
      </c>
      <c r="R78" s="321">
        <v>24761</v>
      </c>
      <c r="S78" s="321">
        <v>60388</v>
      </c>
      <c r="T78" s="321">
        <v>1425</v>
      </c>
      <c r="U78" s="321">
        <v>1054</v>
      </c>
      <c r="V78" s="321">
        <v>2479</v>
      </c>
    </row>
    <row r="79" spans="1:22">
      <c r="A79" s="628" t="s">
        <v>831</v>
      </c>
      <c r="B79" s="321">
        <v>3955</v>
      </c>
      <c r="C79" s="321">
        <v>1387</v>
      </c>
      <c r="D79" s="321">
        <v>5342</v>
      </c>
      <c r="E79" s="321">
        <v>4862</v>
      </c>
      <c r="F79" s="321">
        <v>2446</v>
      </c>
      <c r="G79" s="321">
        <v>7308</v>
      </c>
      <c r="H79" s="321">
        <v>21900</v>
      </c>
      <c r="I79" s="321">
        <v>13756</v>
      </c>
      <c r="J79" s="321">
        <v>35656</v>
      </c>
      <c r="K79" s="321">
        <v>1183</v>
      </c>
      <c r="L79" s="321">
        <v>3192</v>
      </c>
      <c r="M79" s="321">
        <v>4375</v>
      </c>
      <c r="N79" s="321">
        <v>1282</v>
      </c>
      <c r="O79" s="321">
        <v>1389</v>
      </c>
      <c r="P79" s="321">
        <v>2671</v>
      </c>
      <c r="Q79" s="321">
        <v>34459</v>
      </c>
      <c r="R79" s="321">
        <v>23070</v>
      </c>
      <c r="S79" s="321">
        <v>57529</v>
      </c>
      <c r="T79" s="321">
        <v>1277</v>
      </c>
      <c r="U79" s="321">
        <v>900</v>
      </c>
      <c r="V79" s="321">
        <v>2177</v>
      </c>
    </row>
    <row r="80" spans="1:22" ht="13.5" customHeight="1">
      <c r="A80" s="628" t="s">
        <v>830</v>
      </c>
      <c r="B80" s="321">
        <v>3609</v>
      </c>
      <c r="C80" s="321">
        <v>1225</v>
      </c>
      <c r="D80" s="321">
        <v>4834</v>
      </c>
      <c r="E80" s="321">
        <v>4645</v>
      </c>
      <c r="F80" s="321">
        <v>2283</v>
      </c>
      <c r="G80" s="321">
        <v>6928</v>
      </c>
      <c r="H80" s="321">
        <v>21073</v>
      </c>
      <c r="I80" s="321">
        <v>12818</v>
      </c>
      <c r="J80" s="321">
        <v>33891</v>
      </c>
      <c r="K80" s="321">
        <v>1036</v>
      </c>
      <c r="L80" s="321">
        <v>2884</v>
      </c>
      <c r="M80" s="321">
        <v>3920</v>
      </c>
      <c r="N80" s="321">
        <v>1308</v>
      </c>
      <c r="O80" s="321">
        <v>1400</v>
      </c>
      <c r="P80" s="321">
        <v>2708</v>
      </c>
      <c r="Q80" s="321">
        <v>32825</v>
      </c>
      <c r="R80" s="321">
        <v>21438</v>
      </c>
      <c r="S80" s="321">
        <v>54263</v>
      </c>
      <c r="T80" s="321">
        <v>1154</v>
      </c>
      <c r="U80" s="321">
        <v>828</v>
      </c>
      <c r="V80" s="321">
        <v>1982</v>
      </c>
    </row>
    <row r="81" spans="1:22">
      <c r="A81" s="629" t="s">
        <v>829</v>
      </c>
      <c r="B81" s="631">
        <v>3452</v>
      </c>
      <c r="C81" s="631">
        <v>1144</v>
      </c>
      <c r="D81" s="631">
        <v>4596</v>
      </c>
      <c r="E81" s="631">
        <v>4353</v>
      </c>
      <c r="F81" s="631">
        <v>2049</v>
      </c>
      <c r="G81" s="631">
        <v>6402</v>
      </c>
      <c r="H81" s="631">
        <v>20888</v>
      </c>
      <c r="I81" s="631">
        <v>12072</v>
      </c>
      <c r="J81" s="631">
        <v>32960</v>
      </c>
      <c r="K81" s="631">
        <v>875</v>
      </c>
      <c r="L81" s="631">
        <v>2310</v>
      </c>
      <c r="M81" s="631">
        <v>3185</v>
      </c>
      <c r="N81" s="631">
        <v>1326</v>
      </c>
      <c r="O81" s="631">
        <v>1264</v>
      </c>
      <c r="P81" s="631">
        <v>2590</v>
      </c>
      <c r="Q81" s="631">
        <v>31878</v>
      </c>
      <c r="R81" s="631">
        <v>19555</v>
      </c>
      <c r="S81" s="631">
        <v>51433</v>
      </c>
      <c r="T81" s="631">
        <v>984</v>
      </c>
      <c r="U81" s="631">
        <v>716</v>
      </c>
      <c r="V81" s="631">
        <v>1700</v>
      </c>
    </row>
    <row r="82" spans="1:22">
      <c r="A82" s="628" t="s">
        <v>828</v>
      </c>
      <c r="B82" s="613">
        <v>3833</v>
      </c>
      <c r="C82" s="613">
        <v>1420</v>
      </c>
      <c r="D82" s="613">
        <v>5253</v>
      </c>
      <c r="E82" s="613">
        <v>5486</v>
      </c>
      <c r="F82" s="613">
        <v>2448</v>
      </c>
      <c r="G82" s="613">
        <v>7934</v>
      </c>
      <c r="H82" s="613">
        <v>22571</v>
      </c>
      <c r="I82" s="613">
        <v>12281</v>
      </c>
      <c r="J82" s="613">
        <v>34852</v>
      </c>
      <c r="K82" s="613">
        <v>1203</v>
      </c>
      <c r="L82" s="613">
        <v>2339</v>
      </c>
      <c r="M82" s="613">
        <v>3542</v>
      </c>
      <c r="N82" s="613">
        <v>2342</v>
      </c>
      <c r="O82" s="613">
        <v>1724</v>
      </c>
      <c r="P82" s="613">
        <v>4066</v>
      </c>
      <c r="Q82" s="613">
        <v>35435</v>
      </c>
      <c r="R82" s="613">
        <v>20212</v>
      </c>
      <c r="S82" s="613">
        <v>55647</v>
      </c>
      <c r="T82" s="613">
        <v>2111</v>
      </c>
      <c r="U82" s="613">
        <v>1405</v>
      </c>
      <c r="V82" s="613">
        <v>3516</v>
      </c>
    </row>
    <row r="83" spans="1:22" ht="15">
      <c r="A83" s="623" t="s">
        <v>26</v>
      </c>
      <c r="B83" s="624"/>
      <c r="C83" s="625"/>
      <c r="D83" s="625"/>
      <c r="E83" s="625"/>
      <c r="F83" s="625"/>
      <c r="G83" s="626"/>
      <c r="H83" s="624"/>
      <c r="I83" s="625"/>
      <c r="J83" s="626"/>
      <c r="K83" s="624"/>
      <c r="L83" s="625"/>
      <c r="M83" s="625"/>
      <c r="N83" s="625"/>
      <c r="O83" s="625"/>
      <c r="P83" s="626"/>
      <c r="Q83" s="624"/>
      <c r="R83" s="625"/>
      <c r="S83" s="625"/>
      <c r="T83" s="625"/>
      <c r="U83" s="625"/>
      <c r="V83" s="626"/>
    </row>
    <row r="84" spans="1:22">
      <c r="A84" s="612" t="s">
        <v>832</v>
      </c>
      <c r="B84" s="321">
        <v>2396</v>
      </c>
      <c r="C84" s="321">
        <v>1054</v>
      </c>
      <c r="D84" s="321">
        <v>3450</v>
      </c>
      <c r="E84" s="321">
        <v>2220</v>
      </c>
      <c r="F84" s="321">
        <v>2035</v>
      </c>
      <c r="G84" s="321">
        <v>4255</v>
      </c>
      <c r="H84" s="321">
        <v>12789</v>
      </c>
      <c r="I84" s="321">
        <v>15185</v>
      </c>
      <c r="J84" s="321">
        <v>27974</v>
      </c>
      <c r="K84" s="321">
        <v>426</v>
      </c>
      <c r="L84" s="321">
        <v>1195</v>
      </c>
      <c r="M84" s="321">
        <v>1621</v>
      </c>
      <c r="N84" s="321">
        <v>451</v>
      </c>
      <c r="O84" s="321">
        <v>939</v>
      </c>
      <c r="P84" s="321">
        <v>1390</v>
      </c>
      <c r="Q84" s="321">
        <v>18541</v>
      </c>
      <c r="R84" s="321">
        <v>20690</v>
      </c>
      <c r="S84" s="321">
        <v>39231</v>
      </c>
      <c r="T84" s="321">
        <v>259</v>
      </c>
      <c r="U84" s="321">
        <v>282</v>
      </c>
      <c r="V84" s="321">
        <v>541</v>
      </c>
    </row>
    <row r="85" spans="1:22">
      <c r="A85" s="628" t="s">
        <v>831</v>
      </c>
      <c r="B85" s="321">
        <v>2290</v>
      </c>
      <c r="C85" s="321">
        <v>1021</v>
      </c>
      <c r="D85" s="321">
        <v>3311</v>
      </c>
      <c r="E85" s="321">
        <v>2157</v>
      </c>
      <c r="F85" s="321">
        <v>2066</v>
      </c>
      <c r="G85" s="321">
        <v>4223</v>
      </c>
      <c r="H85" s="321">
        <v>11575</v>
      </c>
      <c r="I85" s="321">
        <v>13363</v>
      </c>
      <c r="J85" s="321">
        <v>24938</v>
      </c>
      <c r="K85" s="321">
        <v>365</v>
      </c>
      <c r="L85" s="321">
        <v>992</v>
      </c>
      <c r="M85" s="321">
        <v>1357</v>
      </c>
      <c r="N85" s="321">
        <v>426</v>
      </c>
      <c r="O85" s="321">
        <v>913</v>
      </c>
      <c r="P85" s="321">
        <v>1339</v>
      </c>
      <c r="Q85" s="321">
        <v>17061</v>
      </c>
      <c r="R85" s="321">
        <v>18616</v>
      </c>
      <c r="S85" s="321">
        <v>35677</v>
      </c>
      <c r="T85" s="321">
        <v>248</v>
      </c>
      <c r="U85" s="321">
        <v>261</v>
      </c>
      <c r="V85" s="321">
        <v>509</v>
      </c>
    </row>
    <row r="86" spans="1:22">
      <c r="A86" s="628" t="s">
        <v>830</v>
      </c>
      <c r="B86" s="321">
        <v>2055</v>
      </c>
      <c r="C86" s="321">
        <v>906</v>
      </c>
      <c r="D86" s="321">
        <v>2961</v>
      </c>
      <c r="E86" s="321">
        <v>1978</v>
      </c>
      <c r="F86" s="321">
        <v>1852</v>
      </c>
      <c r="G86" s="321">
        <v>3830</v>
      </c>
      <c r="H86" s="321">
        <v>9851</v>
      </c>
      <c r="I86" s="321">
        <v>11496</v>
      </c>
      <c r="J86" s="321">
        <v>21347</v>
      </c>
      <c r="K86" s="321">
        <v>326</v>
      </c>
      <c r="L86" s="321">
        <v>835</v>
      </c>
      <c r="M86" s="321">
        <v>1161</v>
      </c>
      <c r="N86" s="321">
        <v>363</v>
      </c>
      <c r="O86" s="321">
        <v>922</v>
      </c>
      <c r="P86" s="321">
        <v>1285</v>
      </c>
      <c r="Q86" s="321">
        <v>14794</v>
      </c>
      <c r="R86" s="321">
        <v>16274</v>
      </c>
      <c r="S86" s="321">
        <v>31068</v>
      </c>
      <c r="T86" s="321">
        <v>221</v>
      </c>
      <c r="U86" s="321">
        <v>263</v>
      </c>
      <c r="V86" s="321">
        <v>484</v>
      </c>
    </row>
    <row r="87" spans="1:22">
      <c r="A87" s="629" t="s">
        <v>829</v>
      </c>
      <c r="B87" s="631">
        <v>2320</v>
      </c>
      <c r="C87" s="631">
        <v>932</v>
      </c>
      <c r="D87" s="631">
        <v>3252</v>
      </c>
      <c r="E87" s="631">
        <v>2179</v>
      </c>
      <c r="F87" s="631">
        <v>2070</v>
      </c>
      <c r="G87" s="631">
        <v>4249</v>
      </c>
      <c r="H87" s="631">
        <v>12493</v>
      </c>
      <c r="I87" s="631">
        <v>12496</v>
      </c>
      <c r="J87" s="631">
        <v>24989</v>
      </c>
      <c r="K87" s="631">
        <v>579</v>
      </c>
      <c r="L87" s="631">
        <v>983</v>
      </c>
      <c r="M87" s="631">
        <v>1562</v>
      </c>
      <c r="N87" s="631">
        <v>301</v>
      </c>
      <c r="O87" s="631">
        <v>957</v>
      </c>
      <c r="P87" s="631">
        <v>1258</v>
      </c>
      <c r="Q87" s="631">
        <v>18168</v>
      </c>
      <c r="R87" s="631">
        <v>17825</v>
      </c>
      <c r="S87" s="631">
        <v>35993</v>
      </c>
      <c r="T87" s="631">
        <v>295</v>
      </c>
      <c r="U87" s="631">
        <v>387</v>
      </c>
      <c r="V87" s="631">
        <v>682</v>
      </c>
    </row>
    <row r="88" spans="1:22">
      <c r="A88" s="628" t="s">
        <v>828</v>
      </c>
      <c r="B88" s="613">
        <v>2985</v>
      </c>
      <c r="C88" s="613">
        <v>1026</v>
      </c>
      <c r="D88" s="613">
        <v>4011</v>
      </c>
      <c r="E88" s="613">
        <v>3005</v>
      </c>
      <c r="F88" s="613">
        <v>2512</v>
      </c>
      <c r="G88" s="613">
        <v>5517</v>
      </c>
      <c r="H88" s="613">
        <v>17540</v>
      </c>
      <c r="I88" s="613">
        <v>14064</v>
      </c>
      <c r="J88" s="613">
        <v>31604</v>
      </c>
      <c r="K88" s="613">
        <v>775</v>
      </c>
      <c r="L88" s="613">
        <v>876</v>
      </c>
      <c r="M88" s="613">
        <v>1651</v>
      </c>
      <c r="N88" s="613">
        <v>756</v>
      </c>
      <c r="O88" s="613">
        <v>2183</v>
      </c>
      <c r="P88" s="613">
        <v>2939</v>
      </c>
      <c r="Q88" s="613">
        <v>25061</v>
      </c>
      <c r="R88" s="613">
        <v>20661</v>
      </c>
      <c r="S88" s="613">
        <v>45722</v>
      </c>
      <c r="T88" s="613">
        <v>309</v>
      </c>
      <c r="U88" s="613">
        <v>527</v>
      </c>
      <c r="V88" s="613">
        <v>836</v>
      </c>
    </row>
    <row r="89" spans="1:22" ht="15">
      <c r="A89" s="623" t="s">
        <v>27</v>
      </c>
      <c r="B89" s="624"/>
      <c r="C89" s="625"/>
      <c r="D89" s="625"/>
      <c r="E89" s="625"/>
      <c r="F89" s="625"/>
      <c r="G89" s="626"/>
      <c r="H89" s="624"/>
      <c r="I89" s="625"/>
      <c r="J89" s="626"/>
      <c r="K89" s="624"/>
      <c r="L89" s="625"/>
      <c r="M89" s="625"/>
      <c r="N89" s="625"/>
      <c r="O89" s="625"/>
      <c r="P89" s="626"/>
      <c r="Q89" s="624"/>
      <c r="R89" s="625"/>
      <c r="S89" s="625"/>
      <c r="T89" s="625"/>
      <c r="U89" s="625"/>
      <c r="V89" s="626"/>
    </row>
    <row r="90" spans="1:22">
      <c r="A90" s="612" t="s">
        <v>832</v>
      </c>
      <c r="B90" s="321">
        <v>909</v>
      </c>
      <c r="C90" s="321">
        <v>292</v>
      </c>
      <c r="D90" s="321">
        <v>1201</v>
      </c>
      <c r="E90" s="321">
        <v>837</v>
      </c>
      <c r="F90" s="321">
        <v>400</v>
      </c>
      <c r="G90" s="321">
        <v>1237</v>
      </c>
      <c r="H90" s="321">
        <v>3579</v>
      </c>
      <c r="I90" s="321">
        <v>3547</v>
      </c>
      <c r="J90" s="321">
        <v>7126</v>
      </c>
      <c r="K90" s="321">
        <v>190</v>
      </c>
      <c r="L90" s="321">
        <v>719</v>
      </c>
      <c r="M90" s="321">
        <v>909</v>
      </c>
      <c r="N90" s="321">
        <v>103</v>
      </c>
      <c r="O90" s="321">
        <v>154</v>
      </c>
      <c r="P90" s="321">
        <v>257</v>
      </c>
      <c r="Q90" s="321">
        <v>5648</v>
      </c>
      <c r="R90" s="321">
        <v>5133</v>
      </c>
      <c r="S90" s="321">
        <v>10781</v>
      </c>
      <c r="T90" s="321">
        <v>30</v>
      </c>
      <c r="U90" s="321">
        <v>21</v>
      </c>
      <c r="V90" s="321">
        <v>51</v>
      </c>
    </row>
    <row r="91" spans="1:22">
      <c r="A91" s="628" t="s">
        <v>831</v>
      </c>
      <c r="B91" s="321">
        <v>850</v>
      </c>
      <c r="C91" s="321">
        <v>258</v>
      </c>
      <c r="D91" s="321">
        <v>1108</v>
      </c>
      <c r="E91" s="321">
        <v>803</v>
      </c>
      <c r="F91" s="321">
        <v>415</v>
      </c>
      <c r="G91" s="321">
        <v>1218</v>
      </c>
      <c r="H91" s="321">
        <v>3458</v>
      </c>
      <c r="I91" s="321">
        <v>3356</v>
      </c>
      <c r="J91" s="321">
        <v>6814</v>
      </c>
      <c r="K91" s="321">
        <v>190</v>
      </c>
      <c r="L91" s="321">
        <v>698</v>
      </c>
      <c r="M91" s="321">
        <v>888</v>
      </c>
      <c r="N91" s="321">
        <v>138</v>
      </c>
      <c r="O91" s="321">
        <v>203</v>
      </c>
      <c r="P91" s="321">
        <v>341</v>
      </c>
      <c r="Q91" s="321">
        <v>5462</v>
      </c>
      <c r="R91" s="321">
        <v>4949</v>
      </c>
      <c r="S91" s="321">
        <v>10411</v>
      </c>
      <c r="T91" s="321">
        <v>23</v>
      </c>
      <c r="U91" s="321">
        <v>19</v>
      </c>
      <c r="V91" s="321">
        <v>42</v>
      </c>
    </row>
    <row r="92" spans="1:22">
      <c r="A92" s="628" t="s">
        <v>830</v>
      </c>
      <c r="B92" s="321">
        <v>844</v>
      </c>
      <c r="C92" s="321">
        <v>259</v>
      </c>
      <c r="D92" s="321">
        <v>1103</v>
      </c>
      <c r="E92" s="321">
        <v>853</v>
      </c>
      <c r="F92" s="321">
        <v>428</v>
      </c>
      <c r="G92" s="321">
        <v>1281</v>
      </c>
      <c r="H92" s="321">
        <v>3401</v>
      </c>
      <c r="I92" s="321">
        <v>3160</v>
      </c>
      <c r="J92" s="321">
        <v>6561</v>
      </c>
      <c r="K92" s="321">
        <v>172</v>
      </c>
      <c r="L92" s="321">
        <v>680</v>
      </c>
      <c r="M92" s="321">
        <v>852</v>
      </c>
      <c r="N92" s="321">
        <v>155</v>
      </c>
      <c r="O92" s="321">
        <v>168</v>
      </c>
      <c r="P92" s="321">
        <v>323</v>
      </c>
      <c r="Q92" s="321">
        <v>5447</v>
      </c>
      <c r="R92" s="321">
        <v>4712</v>
      </c>
      <c r="S92" s="321">
        <v>10159</v>
      </c>
      <c r="T92" s="321">
        <v>22</v>
      </c>
      <c r="U92" s="321">
        <v>17</v>
      </c>
      <c r="V92" s="321">
        <v>39</v>
      </c>
    </row>
    <row r="93" spans="1:22">
      <c r="A93" s="629" t="s">
        <v>829</v>
      </c>
      <c r="B93" s="631">
        <v>886</v>
      </c>
      <c r="C93" s="631">
        <v>257</v>
      </c>
      <c r="D93" s="631">
        <v>1143</v>
      </c>
      <c r="E93" s="631">
        <v>918</v>
      </c>
      <c r="F93" s="631">
        <v>439</v>
      </c>
      <c r="G93" s="631">
        <v>1357</v>
      </c>
      <c r="H93" s="631">
        <v>3387</v>
      </c>
      <c r="I93" s="631">
        <v>2933</v>
      </c>
      <c r="J93" s="631">
        <v>6320</v>
      </c>
      <c r="K93" s="631">
        <v>122</v>
      </c>
      <c r="L93" s="631">
        <v>624</v>
      </c>
      <c r="M93" s="631">
        <v>746</v>
      </c>
      <c r="N93" s="631">
        <v>187</v>
      </c>
      <c r="O93" s="631">
        <v>177</v>
      </c>
      <c r="P93" s="631">
        <v>364</v>
      </c>
      <c r="Q93" s="631">
        <v>5529</v>
      </c>
      <c r="R93" s="631">
        <v>4446</v>
      </c>
      <c r="S93" s="631">
        <v>9975</v>
      </c>
      <c r="T93" s="631">
        <v>29</v>
      </c>
      <c r="U93" s="631">
        <v>16</v>
      </c>
      <c r="V93" s="631">
        <v>45</v>
      </c>
    </row>
    <row r="94" spans="1:22">
      <c r="A94" s="628" t="s">
        <v>828</v>
      </c>
      <c r="B94" s="613">
        <v>977</v>
      </c>
      <c r="C94" s="613">
        <v>284</v>
      </c>
      <c r="D94" s="613">
        <v>1261</v>
      </c>
      <c r="E94" s="613">
        <v>956</v>
      </c>
      <c r="F94" s="613">
        <v>493</v>
      </c>
      <c r="G94" s="613">
        <v>1449</v>
      </c>
      <c r="H94" s="613">
        <v>3824</v>
      </c>
      <c r="I94" s="613">
        <v>2903</v>
      </c>
      <c r="J94" s="613">
        <v>6727</v>
      </c>
      <c r="K94" s="613">
        <v>170</v>
      </c>
      <c r="L94" s="613">
        <v>698</v>
      </c>
      <c r="M94" s="613">
        <v>868</v>
      </c>
      <c r="N94" s="613">
        <v>350</v>
      </c>
      <c r="O94" s="613">
        <v>344</v>
      </c>
      <c r="P94" s="613">
        <v>694</v>
      </c>
      <c r="Q94" s="613">
        <v>6277</v>
      </c>
      <c r="R94" s="613">
        <v>4722</v>
      </c>
      <c r="S94" s="613">
        <v>10999</v>
      </c>
      <c r="T94" s="613">
        <v>84</v>
      </c>
      <c r="U94" s="613">
        <v>76</v>
      </c>
      <c r="V94" s="613">
        <v>160</v>
      </c>
    </row>
    <row r="95" spans="1:22" ht="15">
      <c r="A95" s="623" t="s">
        <v>57</v>
      </c>
      <c r="B95" s="624"/>
      <c r="C95" s="625"/>
      <c r="D95" s="625"/>
      <c r="E95" s="625"/>
      <c r="F95" s="625"/>
      <c r="G95" s="626"/>
      <c r="H95" s="624"/>
      <c r="I95" s="625"/>
      <c r="J95" s="626"/>
      <c r="K95" s="624"/>
      <c r="L95" s="625"/>
      <c r="M95" s="625"/>
      <c r="N95" s="625"/>
      <c r="O95" s="625"/>
      <c r="P95" s="626"/>
      <c r="Q95" s="624"/>
      <c r="R95" s="625"/>
      <c r="S95" s="625"/>
      <c r="T95" s="625"/>
      <c r="U95" s="625"/>
      <c r="V95" s="626"/>
    </row>
    <row r="96" spans="1:22">
      <c r="A96" s="612" t="s">
        <v>832</v>
      </c>
      <c r="B96" s="321">
        <v>863</v>
      </c>
      <c r="C96" s="321">
        <v>272</v>
      </c>
      <c r="D96" s="321">
        <v>1135</v>
      </c>
      <c r="E96" s="321">
        <v>716</v>
      </c>
      <c r="F96" s="321">
        <v>434</v>
      </c>
      <c r="G96" s="321">
        <v>1150</v>
      </c>
      <c r="H96" s="321">
        <v>3822</v>
      </c>
      <c r="I96" s="321">
        <v>2926</v>
      </c>
      <c r="J96" s="321">
        <v>6748</v>
      </c>
      <c r="K96" s="321">
        <v>310</v>
      </c>
      <c r="L96" s="321">
        <v>498</v>
      </c>
      <c r="M96" s="321">
        <v>808</v>
      </c>
      <c r="N96" s="321">
        <v>831</v>
      </c>
      <c r="O96" s="321">
        <v>582</v>
      </c>
      <c r="P96" s="321">
        <v>1413</v>
      </c>
      <c r="Q96" s="321">
        <v>6580</v>
      </c>
      <c r="R96" s="321">
        <v>4741</v>
      </c>
      <c r="S96" s="321">
        <v>11321</v>
      </c>
      <c r="T96" s="321">
        <v>38</v>
      </c>
      <c r="U96" s="321">
        <v>29</v>
      </c>
      <c r="V96" s="321">
        <v>67</v>
      </c>
    </row>
    <row r="97" spans="1:22">
      <c r="A97" s="628" t="s">
        <v>831</v>
      </c>
      <c r="B97" s="321">
        <v>787</v>
      </c>
      <c r="C97" s="321">
        <v>246</v>
      </c>
      <c r="D97" s="321">
        <v>1033</v>
      </c>
      <c r="E97" s="321">
        <v>712</v>
      </c>
      <c r="F97" s="321">
        <v>440</v>
      </c>
      <c r="G97" s="321">
        <v>1152</v>
      </c>
      <c r="H97" s="321">
        <v>3775</v>
      </c>
      <c r="I97" s="321">
        <v>2755</v>
      </c>
      <c r="J97" s="321">
        <v>6530</v>
      </c>
      <c r="K97" s="321">
        <v>238</v>
      </c>
      <c r="L97" s="321">
        <v>392</v>
      </c>
      <c r="M97" s="321">
        <v>630</v>
      </c>
      <c r="N97" s="321">
        <v>1051</v>
      </c>
      <c r="O97" s="321">
        <v>731</v>
      </c>
      <c r="P97" s="321">
        <v>1782</v>
      </c>
      <c r="Q97" s="321">
        <v>6608</v>
      </c>
      <c r="R97" s="321">
        <v>4594</v>
      </c>
      <c r="S97" s="321">
        <v>11202</v>
      </c>
      <c r="T97" s="321">
        <v>45</v>
      </c>
      <c r="U97" s="321">
        <v>30</v>
      </c>
      <c r="V97" s="321">
        <v>75</v>
      </c>
    </row>
    <row r="98" spans="1:22">
      <c r="A98" s="628" t="s">
        <v>830</v>
      </c>
      <c r="B98" s="321">
        <v>732</v>
      </c>
      <c r="C98" s="321">
        <v>244</v>
      </c>
      <c r="D98" s="321">
        <v>976</v>
      </c>
      <c r="E98" s="321">
        <v>622</v>
      </c>
      <c r="F98" s="321">
        <v>414</v>
      </c>
      <c r="G98" s="321">
        <v>1036</v>
      </c>
      <c r="H98" s="321">
        <v>3531</v>
      </c>
      <c r="I98" s="321">
        <v>2530</v>
      </c>
      <c r="J98" s="321">
        <v>6061</v>
      </c>
      <c r="K98" s="321">
        <v>149</v>
      </c>
      <c r="L98" s="321">
        <v>284</v>
      </c>
      <c r="M98" s="321">
        <v>433</v>
      </c>
      <c r="N98" s="321">
        <v>674</v>
      </c>
      <c r="O98" s="321">
        <v>539</v>
      </c>
      <c r="P98" s="321">
        <v>1213</v>
      </c>
      <c r="Q98" s="321">
        <v>5737</v>
      </c>
      <c r="R98" s="321">
        <v>4036</v>
      </c>
      <c r="S98" s="321">
        <v>9773</v>
      </c>
      <c r="T98" s="321">
        <v>29</v>
      </c>
      <c r="U98" s="321">
        <v>25</v>
      </c>
      <c r="V98" s="321">
        <v>54</v>
      </c>
    </row>
    <row r="99" spans="1:22">
      <c r="A99" s="629" t="s">
        <v>829</v>
      </c>
      <c r="B99" s="631">
        <v>741</v>
      </c>
      <c r="C99" s="631">
        <v>232</v>
      </c>
      <c r="D99" s="631">
        <v>973</v>
      </c>
      <c r="E99" s="631">
        <v>678</v>
      </c>
      <c r="F99" s="631">
        <v>415</v>
      </c>
      <c r="G99" s="631">
        <v>1093</v>
      </c>
      <c r="H99" s="631">
        <v>2997</v>
      </c>
      <c r="I99" s="631">
        <v>2224</v>
      </c>
      <c r="J99" s="631">
        <v>5221</v>
      </c>
      <c r="K99" s="631">
        <v>86</v>
      </c>
      <c r="L99" s="631">
        <v>223</v>
      </c>
      <c r="M99" s="631">
        <v>309</v>
      </c>
      <c r="N99" s="631">
        <v>762</v>
      </c>
      <c r="O99" s="631">
        <v>551</v>
      </c>
      <c r="P99" s="631">
        <v>1313</v>
      </c>
      <c r="Q99" s="631">
        <v>5287</v>
      </c>
      <c r="R99" s="631">
        <v>3661</v>
      </c>
      <c r="S99" s="631">
        <v>8948</v>
      </c>
      <c r="T99" s="631">
        <v>23</v>
      </c>
      <c r="U99" s="631">
        <v>16</v>
      </c>
      <c r="V99" s="631">
        <v>39</v>
      </c>
    </row>
    <row r="100" spans="1:22">
      <c r="A100" s="628" t="s">
        <v>828</v>
      </c>
      <c r="B100" s="613">
        <v>813</v>
      </c>
      <c r="C100" s="613">
        <v>300</v>
      </c>
      <c r="D100" s="613">
        <v>1113</v>
      </c>
      <c r="E100" s="613">
        <v>743</v>
      </c>
      <c r="F100" s="613">
        <v>444</v>
      </c>
      <c r="G100" s="613">
        <v>1187</v>
      </c>
      <c r="H100" s="613">
        <v>2939</v>
      </c>
      <c r="I100" s="613">
        <v>2318</v>
      </c>
      <c r="J100" s="613">
        <v>5257</v>
      </c>
      <c r="K100" s="613">
        <v>251</v>
      </c>
      <c r="L100" s="613">
        <v>223</v>
      </c>
      <c r="M100" s="613">
        <v>474</v>
      </c>
      <c r="N100" s="613">
        <v>1843</v>
      </c>
      <c r="O100" s="613">
        <v>983</v>
      </c>
      <c r="P100" s="613">
        <v>2826</v>
      </c>
      <c r="Q100" s="613">
        <v>6589</v>
      </c>
      <c r="R100" s="613">
        <v>4268</v>
      </c>
      <c r="S100" s="613">
        <v>10857</v>
      </c>
      <c r="T100" s="613">
        <v>67</v>
      </c>
      <c r="U100" s="613">
        <v>24</v>
      </c>
      <c r="V100" s="613">
        <v>91</v>
      </c>
    </row>
    <row r="101" spans="1:22" ht="15">
      <c r="A101" s="623" t="s">
        <v>29</v>
      </c>
      <c r="B101" s="624"/>
      <c r="C101" s="625"/>
      <c r="D101" s="625"/>
      <c r="E101" s="625"/>
      <c r="F101" s="625"/>
      <c r="G101" s="626"/>
      <c r="H101" s="624"/>
      <c r="I101" s="625"/>
      <c r="J101" s="626"/>
      <c r="K101" s="624"/>
      <c r="L101" s="625"/>
      <c r="M101" s="625"/>
      <c r="N101" s="625"/>
      <c r="O101" s="625"/>
      <c r="P101" s="626"/>
      <c r="Q101" s="624"/>
      <c r="R101" s="625"/>
      <c r="S101" s="625"/>
      <c r="T101" s="625"/>
      <c r="U101" s="625"/>
      <c r="V101" s="626"/>
    </row>
    <row r="102" spans="1:22">
      <c r="A102" s="612" t="s">
        <v>832</v>
      </c>
      <c r="B102" s="321">
        <v>810</v>
      </c>
      <c r="C102" s="321">
        <v>165</v>
      </c>
      <c r="D102" s="321">
        <v>975</v>
      </c>
      <c r="E102" s="321">
        <v>920</v>
      </c>
      <c r="F102" s="321">
        <v>299</v>
      </c>
      <c r="G102" s="321">
        <v>1219</v>
      </c>
      <c r="H102" s="321">
        <v>6828</v>
      </c>
      <c r="I102" s="321">
        <v>2926</v>
      </c>
      <c r="J102" s="321">
        <v>9754</v>
      </c>
      <c r="K102" s="321">
        <v>227</v>
      </c>
      <c r="L102" s="321">
        <v>292</v>
      </c>
      <c r="M102" s="321">
        <v>519</v>
      </c>
      <c r="N102" s="321">
        <v>652</v>
      </c>
      <c r="O102" s="321">
        <v>423</v>
      </c>
      <c r="P102" s="321">
        <v>1075</v>
      </c>
      <c r="Q102" s="321">
        <v>9514</v>
      </c>
      <c r="R102" s="321">
        <v>4174</v>
      </c>
      <c r="S102" s="321">
        <v>13688</v>
      </c>
      <c r="T102" s="321">
        <v>77</v>
      </c>
      <c r="U102" s="321">
        <v>69</v>
      </c>
      <c r="V102" s="321">
        <v>146</v>
      </c>
    </row>
    <row r="103" spans="1:22">
      <c r="A103" s="628" t="s">
        <v>831</v>
      </c>
      <c r="B103" s="321">
        <v>764</v>
      </c>
      <c r="C103" s="321">
        <v>153</v>
      </c>
      <c r="D103" s="321">
        <v>917</v>
      </c>
      <c r="E103" s="321">
        <v>856</v>
      </c>
      <c r="F103" s="321">
        <v>310</v>
      </c>
      <c r="G103" s="321">
        <v>1166</v>
      </c>
      <c r="H103" s="321">
        <v>6186</v>
      </c>
      <c r="I103" s="321">
        <v>2656</v>
      </c>
      <c r="J103" s="321">
        <v>8842</v>
      </c>
      <c r="K103" s="321">
        <v>217</v>
      </c>
      <c r="L103" s="321">
        <v>230</v>
      </c>
      <c r="M103" s="321">
        <v>447</v>
      </c>
      <c r="N103" s="321">
        <v>538</v>
      </c>
      <c r="O103" s="321">
        <v>358</v>
      </c>
      <c r="P103" s="321">
        <v>896</v>
      </c>
      <c r="Q103" s="321">
        <v>8627</v>
      </c>
      <c r="R103" s="321">
        <v>3739</v>
      </c>
      <c r="S103" s="321">
        <v>12366</v>
      </c>
      <c r="T103" s="321">
        <v>66</v>
      </c>
      <c r="U103" s="321">
        <v>32</v>
      </c>
      <c r="V103" s="321">
        <v>98</v>
      </c>
    </row>
    <row r="104" spans="1:22">
      <c r="A104" s="628" t="s">
        <v>830</v>
      </c>
      <c r="B104" s="321">
        <v>687</v>
      </c>
      <c r="C104" s="321">
        <v>135</v>
      </c>
      <c r="D104" s="321">
        <v>822</v>
      </c>
      <c r="E104" s="321">
        <v>882</v>
      </c>
      <c r="F104" s="321">
        <v>334</v>
      </c>
      <c r="G104" s="321">
        <v>1216</v>
      </c>
      <c r="H104" s="321">
        <v>5808</v>
      </c>
      <c r="I104" s="321">
        <v>2483</v>
      </c>
      <c r="J104" s="321">
        <v>8291</v>
      </c>
      <c r="K104" s="321">
        <v>189</v>
      </c>
      <c r="L104" s="321">
        <v>219</v>
      </c>
      <c r="M104" s="321">
        <v>408</v>
      </c>
      <c r="N104" s="321">
        <v>532</v>
      </c>
      <c r="O104" s="321">
        <v>277</v>
      </c>
      <c r="P104" s="321">
        <v>809</v>
      </c>
      <c r="Q104" s="321">
        <v>8158</v>
      </c>
      <c r="R104" s="321">
        <v>3475</v>
      </c>
      <c r="S104" s="321">
        <v>11633</v>
      </c>
      <c r="T104" s="321">
        <v>60</v>
      </c>
      <c r="U104" s="321">
        <v>27</v>
      </c>
      <c r="V104" s="321">
        <v>87</v>
      </c>
    </row>
    <row r="105" spans="1:22">
      <c r="A105" s="629" t="s">
        <v>829</v>
      </c>
      <c r="B105" s="631">
        <v>714</v>
      </c>
      <c r="C105" s="631">
        <v>110</v>
      </c>
      <c r="D105" s="631">
        <v>824</v>
      </c>
      <c r="E105" s="631">
        <v>1048</v>
      </c>
      <c r="F105" s="631">
        <v>367</v>
      </c>
      <c r="G105" s="631">
        <v>1415</v>
      </c>
      <c r="H105" s="631">
        <v>5437</v>
      </c>
      <c r="I105" s="631">
        <v>2259</v>
      </c>
      <c r="J105" s="631">
        <v>7696</v>
      </c>
      <c r="K105" s="631">
        <v>154</v>
      </c>
      <c r="L105" s="631">
        <v>168</v>
      </c>
      <c r="M105" s="631">
        <v>322</v>
      </c>
      <c r="N105" s="631">
        <v>384</v>
      </c>
      <c r="O105" s="631">
        <v>190</v>
      </c>
      <c r="P105" s="631">
        <v>574</v>
      </c>
      <c r="Q105" s="631">
        <v>7799</v>
      </c>
      <c r="R105" s="631">
        <v>3119</v>
      </c>
      <c r="S105" s="631">
        <v>10918</v>
      </c>
      <c r="T105" s="631">
        <v>62</v>
      </c>
      <c r="U105" s="631">
        <v>25</v>
      </c>
      <c r="V105" s="631">
        <v>87</v>
      </c>
    </row>
    <row r="106" spans="1:22">
      <c r="A106" s="628" t="s">
        <v>828</v>
      </c>
      <c r="B106" s="613">
        <v>766</v>
      </c>
      <c r="C106" s="613">
        <v>119</v>
      </c>
      <c r="D106" s="613">
        <v>885</v>
      </c>
      <c r="E106" s="613">
        <v>1146</v>
      </c>
      <c r="F106" s="613">
        <v>359</v>
      </c>
      <c r="G106" s="613">
        <v>1505</v>
      </c>
      <c r="H106" s="613">
        <v>5567</v>
      </c>
      <c r="I106" s="613">
        <v>2056</v>
      </c>
      <c r="J106" s="613">
        <v>7623</v>
      </c>
      <c r="K106" s="613">
        <v>210</v>
      </c>
      <c r="L106" s="613">
        <v>141</v>
      </c>
      <c r="M106" s="613">
        <v>351</v>
      </c>
      <c r="N106" s="613">
        <v>532</v>
      </c>
      <c r="O106" s="613">
        <v>282</v>
      </c>
      <c r="P106" s="613">
        <v>814</v>
      </c>
      <c r="Q106" s="613">
        <v>8221</v>
      </c>
      <c r="R106" s="613">
        <v>2957</v>
      </c>
      <c r="S106" s="613">
        <v>11178</v>
      </c>
      <c r="T106" s="613">
        <v>196</v>
      </c>
      <c r="U106" s="613">
        <v>103</v>
      </c>
      <c r="V106" s="613">
        <v>299</v>
      </c>
    </row>
    <row r="107" spans="1:22" ht="15">
      <c r="A107" s="623" t="s">
        <v>30</v>
      </c>
      <c r="B107" s="624"/>
      <c r="C107" s="625"/>
      <c r="D107" s="625"/>
      <c r="E107" s="625"/>
      <c r="F107" s="625"/>
      <c r="G107" s="626"/>
      <c r="H107" s="624"/>
      <c r="I107" s="625"/>
      <c r="J107" s="626"/>
      <c r="K107" s="624"/>
      <c r="L107" s="625"/>
      <c r="M107" s="625"/>
      <c r="N107" s="625"/>
      <c r="O107" s="625"/>
      <c r="P107" s="626"/>
      <c r="Q107" s="624"/>
      <c r="R107" s="625"/>
      <c r="S107" s="625"/>
      <c r="T107" s="625"/>
      <c r="U107" s="625"/>
      <c r="V107" s="626"/>
    </row>
    <row r="108" spans="1:22">
      <c r="A108" s="612" t="s">
        <v>832</v>
      </c>
      <c r="B108" s="321">
        <v>12578</v>
      </c>
      <c r="C108" s="321">
        <v>4748</v>
      </c>
      <c r="D108" s="321">
        <v>17326</v>
      </c>
      <c r="E108" s="321">
        <v>10584</v>
      </c>
      <c r="F108" s="321">
        <v>6523</v>
      </c>
      <c r="G108" s="321">
        <v>17107</v>
      </c>
      <c r="H108" s="321">
        <v>45593</v>
      </c>
      <c r="I108" s="321">
        <v>40559</v>
      </c>
      <c r="J108" s="321">
        <v>86152</v>
      </c>
      <c r="K108" s="321">
        <v>4456</v>
      </c>
      <c r="L108" s="321">
        <v>8445</v>
      </c>
      <c r="M108" s="321">
        <v>12901</v>
      </c>
      <c r="N108" s="321">
        <v>6443</v>
      </c>
      <c r="O108" s="321">
        <v>6388</v>
      </c>
      <c r="P108" s="321">
        <v>12831</v>
      </c>
      <c r="Q108" s="321">
        <v>80677</v>
      </c>
      <c r="R108" s="321">
        <v>67691</v>
      </c>
      <c r="S108" s="321">
        <v>148368</v>
      </c>
      <c r="T108" s="321">
        <v>1023</v>
      </c>
      <c r="U108" s="321">
        <v>1028</v>
      </c>
      <c r="V108" s="321">
        <v>2051</v>
      </c>
    </row>
    <row r="109" spans="1:22">
      <c r="A109" s="628" t="s">
        <v>831</v>
      </c>
      <c r="B109" s="321">
        <v>11150</v>
      </c>
      <c r="C109" s="321">
        <v>4115</v>
      </c>
      <c r="D109" s="321">
        <v>15265</v>
      </c>
      <c r="E109" s="321">
        <v>9668</v>
      </c>
      <c r="F109" s="321">
        <v>5721</v>
      </c>
      <c r="G109" s="321">
        <v>15389</v>
      </c>
      <c r="H109" s="321">
        <v>42345</v>
      </c>
      <c r="I109" s="321">
        <v>36487</v>
      </c>
      <c r="J109" s="321">
        <v>78832</v>
      </c>
      <c r="K109" s="321">
        <v>4026</v>
      </c>
      <c r="L109" s="321">
        <v>7314</v>
      </c>
      <c r="M109" s="321">
        <v>11340</v>
      </c>
      <c r="N109" s="321">
        <v>5496</v>
      </c>
      <c r="O109" s="321">
        <v>5328</v>
      </c>
      <c r="P109" s="321">
        <v>10824</v>
      </c>
      <c r="Q109" s="321">
        <v>73476</v>
      </c>
      <c r="R109" s="321">
        <v>59861</v>
      </c>
      <c r="S109" s="321">
        <v>133337</v>
      </c>
      <c r="T109" s="321">
        <v>791</v>
      </c>
      <c r="U109" s="321">
        <v>896</v>
      </c>
      <c r="V109" s="321">
        <v>1687</v>
      </c>
    </row>
    <row r="110" spans="1:22">
      <c r="A110" s="628" t="s">
        <v>830</v>
      </c>
      <c r="B110" s="321">
        <v>10067</v>
      </c>
      <c r="C110" s="321">
        <v>3571</v>
      </c>
      <c r="D110" s="321">
        <v>13638</v>
      </c>
      <c r="E110" s="321">
        <v>9073</v>
      </c>
      <c r="F110" s="321">
        <v>5248</v>
      </c>
      <c r="G110" s="321">
        <v>14321</v>
      </c>
      <c r="H110" s="321">
        <v>39174</v>
      </c>
      <c r="I110" s="321">
        <v>32738</v>
      </c>
      <c r="J110" s="321">
        <v>71912</v>
      </c>
      <c r="K110" s="321">
        <v>3574</v>
      </c>
      <c r="L110" s="321">
        <v>6358</v>
      </c>
      <c r="M110" s="321">
        <v>9932</v>
      </c>
      <c r="N110" s="321">
        <v>4643</v>
      </c>
      <c r="O110" s="321">
        <v>4339</v>
      </c>
      <c r="P110" s="321">
        <v>8982</v>
      </c>
      <c r="Q110" s="321">
        <v>67210</v>
      </c>
      <c r="R110" s="321">
        <v>52918</v>
      </c>
      <c r="S110" s="321">
        <v>120128</v>
      </c>
      <c r="T110" s="321">
        <v>679</v>
      </c>
      <c r="U110" s="321">
        <v>664</v>
      </c>
      <c r="V110" s="321">
        <v>1343</v>
      </c>
    </row>
    <row r="111" spans="1:22">
      <c r="A111" s="629" t="s">
        <v>829</v>
      </c>
      <c r="B111" s="631">
        <v>11431</v>
      </c>
      <c r="C111" s="631">
        <v>3889</v>
      </c>
      <c r="D111" s="631">
        <v>15320</v>
      </c>
      <c r="E111" s="631">
        <v>9995</v>
      </c>
      <c r="F111" s="631">
        <v>5523</v>
      </c>
      <c r="G111" s="631">
        <v>15518</v>
      </c>
      <c r="H111" s="631">
        <v>40395</v>
      </c>
      <c r="I111" s="631">
        <v>33052</v>
      </c>
      <c r="J111" s="631">
        <v>73447</v>
      </c>
      <c r="K111" s="631">
        <v>4240</v>
      </c>
      <c r="L111" s="631">
        <v>7015</v>
      </c>
      <c r="M111" s="631">
        <v>11255</v>
      </c>
      <c r="N111" s="631">
        <v>5342</v>
      </c>
      <c r="O111" s="631">
        <v>4975</v>
      </c>
      <c r="P111" s="631">
        <v>10317</v>
      </c>
      <c r="Q111" s="631">
        <v>72373</v>
      </c>
      <c r="R111" s="631">
        <v>55532</v>
      </c>
      <c r="S111" s="631">
        <v>127905</v>
      </c>
      <c r="T111" s="631">
        <v>960</v>
      </c>
      <c r="U111" s="631">
        <v>1078</v>
      </c>
      <c r="V111" s="631">
        <v>2038</v>
      </c>
    </row>
    <row r="112" spans="1:22">
      <c r="A112" s="628" t="s">
        <v>828</v>
      </c>
      <c r="B112" s="613">
        <v>12868</v>
      </c>
      <c r="C112" s="613">
        <v>4612</v>
      </c>
      <c r="D112" s="613">
        <v>17480</v>
      </c>
      <c r="E112" s="613">
        <v>11407</v>
      </c>
      <c r="F112" s="613">
        <v>6025</v>
      </c>
      <c r="G112" s="613">
        <v>17432</v>
      </c>
      <c r="H112" s="613">
        <v>43027</v>
      </c>
      <c r="I112" s="613">
        <v>32871</v>
      </c>
      <c r="J112" s="613">
        <v>75898</v>
      </c>
      <c r="K112" s="613">
        <v>5055</v>
      </c>
      <c r="L112" s="613">
        <v>7529</v>
      </c>
      <c r="M112" s="613">
        <v>12584</v>
      </c>
      <c r="N112" s="613">
        <v>6735</v>
      </c>
      <c r="O112" s="613">
        <v>6412</v>
      </c>
      <c r="P112" s="613">
        <v>13147</v>
      </c>
      <c r="Q112" s="613">
        <v>79092</v>
      </c>
      <c r="R112" s="613">
        <v>57449</v>
      </c>
      <c r="S112" s="613">
        <v>136541</v>
      </c>
      <c r="T112" s="613">
        <v>928</v>
      </c>
      <c r="U112" s="613">
        <v>524</v>
      </c>
      <c r="V112" s="613">
        <v>1452</v>
      </c>
    </row>
    <row r="113" spans="1:22" ht="15">
      <c r="A113" s="623" t="s">
        <v>31</v>
      </c>
      <c r="B113" s="624"/>
      <c r="C113" s="625"/>
      <c r="D113" s="625"/>
      <c r="E113" s="625"/>
      <c r="F113" s="625"/>
      <c r="G113" s="626"/>
      <c r="H113" s="624"/>
      <c r="I113" s="625"/>
      <c r="J113" s="626"/>
      <c r="K113" s="624"/>
      <c r="L113" s="625"/>
      <c r="M113" s="625"/>
      <c r="N113" s="625"/>
      <c r="O113" s="625"/>
      <c r="P113" s="626"/>
      <c r="Q113" s="624"/>
      <c r="R113" s="625"/>
      <c r="S113" s="625"/>
      <c r="T113" s="625"/>
      <c r="U113" s="625"/>
      <c r="V113" s="626"/>
    </row>
    <row r="114" spans="1:22">
      <c r="A114" s="612" t="s">
        <v>832</v>
      </c>
      <c r="B114" s="321">
        <v>3193</v>
      </c>
      <c r="C114" s="321">
        <v>1976</v>
      </c>
      <c r="D114" s="321">
        <v>5169</v>
      </c>
      <c r="E114" s="321">
        <v>2939</v>
      </c>
      <c r="F114" s="321">
        <v>2788</v>
      </c>
      <c r="G114" s="321">
        <v>5727</v>
      </c>
      <c r="H114" s="321">
        <v>15166</v>
      </c>
      <c r="I114" s="321">
        <v>26837</v>
      </c>
      <c r="J114" s="321">
        <v>42003</v>
      </c>
      <c r="K114" s="321">
        <v>997</v>
      </c>
      <c r="L114" s="321">
        <v>2310</v>
      </c>
      <c r="M114" s="321">
        <v>3307</v>
      </c>
      <c r="N114" s="321">
        <v>1361</v>
      </c>
      <c r="O114" s="321">
        <v>3882</v>
      </c>
      <c r="P114" s="321">
        <v>5243</v>
      </c>
      <c r="Q114" s="321">
        <v>23712</v>
      </c>
      <c r="R114" s="321">
        <v>37846</v>
      </c>
      <c r="S114" s="321">
        <v>61558</v>
      </c>
      <c r="T114" s="321">
        <v>56</v>
      </c>
      <c r="U114" s="321">
        <v>53</v>
      </c>
      <c r="V114" s="321">
        <v>109</v>
      </c>
    </row>
    <row r="115" spans="1:22">
      <c r="A115" s="628" t="s">
        <v>831</v>
      </c>
      <c r="B115" s="321">
        <v>3119</v>
      </c>
      <c r="C115" s="321">
        <v>1982</v>
      </c>
      <c r="D115" s="321">
        <v>5101</v>
      </c>
      <c r="E115" s="321">
        <v>2903</v>
      </c>
      <c r="F115" s="321">
        <v>2752</v>
      </c>
      <c r="G115" s="321">
        <v>5655</v>
      </c>
      <c r="H115" s="321">
        <v>14630</v>
      </c>
      <c r="I115" s="321">
        <v>25499</v>
      </c>
      <c r="J115" s="321">
        <v>40129</v>
      </c>
      <c r="K115" s="321">
        <v>979</v>
      </c>
      <c r="L115" s="321">
        <v>2359</v>
      </c>
      <c r="M115" s="321">
        <v>3338</v>
      </c>
      <c r="N115" s="321">
        <v>1253</v>
      </c>
      <c r="O115" s="321">
        <v>3622</v>
      </c>
      <c r="P115" s="321">
        <v>4875</v>
      </c>
      <c r="Q115" s="321">
        <v>22945</v>
      </c>
      <c r="R115" s="321">
        <v>36291</v>
      </c>
      <c r="S115" s="321">
        <v>59236</v>
      </c>
      <c r="T115" s="321">
        <v>61</v>
      </c>
      <c r="U115" s="321">
        <v>77</v>
      </c>
      <c r="V115" s="321">
        <v>138</v>
      </c>
    </row>
    <row r="116" spans="1:22">
      <c r="A116" s="628" t="s">
        <v>830</v>
      </c>
      <c r="B116" s="321">
        <v>2915</v>
      </c>
      <c r="C116" s="321">
        <v>1808</v>
      </c>
      <c r="D116" s="321">
        <v>4723</v>
      </c>
      <c r="E116" s="321">
        <v>2907</v>
      </c>
      <c r="F116" s="321">
        <v>2687</v>
      </c>
      <c r="G116" s="321">
        <v>5594</v>
      </c>
      <c r="H116" s="321">
        <v>13698</v>
      </c>
      <c r="I116" s="321">
        <v>23434</v>
      </c>
      <c r="J116" s="321">
        <v>37132</v>
      </c>
      <c r="K116" s="321">
        <v>873</v>
      </c>
      <c r="L116" s="321">
        <v>2227</v>
      </c>
      <c r="M116" s="321">
        <v>3100</v>
      </c>
      <c r="N116" s="321">
        <v>1162</v>
      </c>
      <c r="O116" s="321">
        <v>3440</v>
      </c>
      <c r="P116" s="321">
        <v>4602</v>
      </c>
      <c r="Q116" s="321">
        <v>21608</v>
      </c>
      <c r="R116" s="321">
        <v>33669</v>
      </c>
      <c r="S116" s="321">
        <v>55277</v>
      </c>
      <c r="T116" s="321">
        <v>53</v>
      </c>
      <c r="U116" s="321">
        <v>73</v>
      </c>
      <c r="V116" s="321">
        <v>126</v>
      </c>
    </row>
    <row r="117" spans="1:22">
      <c r="A117" s="629" t="s">
        <v>829</v>
      </c>
      <c r="B117" s="631">
        <v>3079</v>
      </c>
      <c r="C117" s="631">
        <v>1813</v>
      </c>
      <c r="D117" s="631">
        <v>4892</v>
      </c>
      <c r="E117" s="631">
        <v>3030</v>
      </c>
      <c r="F117" s="631">
        <v>2675</v>
      </c>
      <c r="G117" s="631">
        <v>5705</v>
      </c>
      <c r="H117" s="631">
        <v>13838</v>
      </c>
      <c r="I117" s="631">
        <v>23469</v>
      </c>
      <c r="J117" s="631">
        <v>37307</v>
      </c>
      <c r="K117" s="631">
        <v>833</v>
      </c>
      <c r="L117" s="631">
        <v>2129</v>
      </c>
      <c r="M117" s="631">
        <v>2962</v>
      </c>
      <c r="N117" s="631">
        <v>1008</v>
      </c>
      <c r="O117" s="631">
        <v>2943</v>
      </c>
      <c r="P117" s="631">
        <v>3951</v>
      </c>
      <c r="Q117" s="631">
        <v>21893</v>
      </c>
      <c r="R117" s="631">
        <v>33109</v>
      </c>
      <c r="S117" s="631">
        <v>55002</v>
      </c>
      <c r="T117" s="631">
        <v>105</v>
      </c>
      <c r="U117" s="631">
        <v>80</v>
      </c>
      <c r="V117" s="631">
        <v>185</v>
      </c>
    </row>
    <row r="118" spans="1:22">
      <c r="A118" s="628" t="s">
        <v>828</v>
      </c>
      <c r="B118" s="613">
        <v>3412</v>
      </c>
      <c r="C118" s="613">
        <v>2103</v>
      </c>
      <c r="D118" s="613">
        <v>5515</v>
      </c>
      <c r="E118" s="613">
        <v>3592</v>
      </c>
      <c r="F118" s="613">
        <v>3089</v>
      </c>
      <c r="G118" s="613">
        <v>6681</v>
      </c>
      <c r="H118" s="613">
        <v>15293</v>
      </c>
      <c r="I118" s="613">
        <v>23271</v>
      </c>
      <c r="J118" s="613">
        <v>38564</v>
      </c>
      <c r="K118" s="613">
        <v>1260</v>
      </c>
      <c r="L118" s="613">
        <v>2361</v>
      </c>
      <c r="M118" s="613">
        <v>3621</v>
      </c>
      <c r="N118" s="613">
        <v>1467</v>
      </c>
      <c r="O118" s="613">
        <v>3748</v>
      </c>
      <c r="P118" s="613">
        <v>5215</v>
      </c>
      <c r="Q118" s="613">
        <v>25024</v>
      </c>
      <c r="R118" s="613">
        <v>34572</v>
      </c>
      <c r="S118" s="613">
        <v>59596</v>
      </c>
      <c r="T118" s="613">
        <v>173</v>
      </c>
      <c r="U118" s="613">
        <v>188</v>
      </c>
      <c r="V118" s="613">
        <v>361</v>
      </c>
    </row>
    <row r="119" spans="1:22" ht="15">
      <c r="A119" s="623" t="s">
        <v>761</v>
      </c>
      <c r="B119" s="624"/>
      <c r="C119" s="625"/>
      <c r="D119" s="625"/>
      <c r="E119" s="625"/>
      <c r="F119" s="625"/>
      <c r="G119" s="626"/>
      <c r="H119" s="624"/>
      <c r="I119" s="625"/>
      <c r="J119" s="626"/>
      <c r="K119" s="624"/>
      <c r="L119" s="625"/>
      <c r="M119" s="625"/>
      <c r="N119" s="625"/>
      <c r="O119" s="625"/>
      <c r="P119" s="626"/>
      <c r="Q119" s="624"/>
      <c r="R119" s="625"/>
      <c r="S119" s="625"/>
      <c r="T119" s="625"/>
      <c r="U119" s="625"/>
      <c r="V119" s="626"/>
    </row>
    <row r="120" spans="1:22">
      <c r="A120" s="612" t="s">
        <v>832</v>
      </c>
      <c r="B120" s="321">
        <v>6</v>
      </c>
      <c r="C120" s="321">
        <v>3</v>
      </c>
      <c r="D120" s="321">
        <v>9</v>
      </c>
      <c r="E120" s="321">
        <v>5</v>
      </c>
      <c r="F120" s="321">
        <v>1</v>
      </c>
      <c r="G120" s="321">
        <v>6</v>
      </c>
      <c r="H120" s="321">
        <v>86</v>
      </c>
      <c r="I120" s="321">
        <v>47</v>
      </c>
      <c r="J120" s="321">
        <v>133</v>
      </c>
      <c r="K120" s="321">
        <v>5</v>
      </c>
      <c r="L120" s="321">
        <v>0</v>
      </c>
      <c r="M120" s="321">
        <v>5</v>
      </c>
      <c r="N120" s="321">
        <v>33</v>
      </c>
      <c r="O120" s="321">
        <v>13</v>
      </c>
      <c r="P120" s="321">
        <v>46</v>
      </c>
      <c r="Q120" s="321">
        <v>135</v>
      </c>
      <c r="R120" s="321">
        <v>64</v>
      </c>
      <c r="S120" s="321">
        <v>199</v>
      </c>
      <c r="T120" s="321">
        <v>0</v>
      </c>
      <c r="U120" s="321">
        <v>0</v>
      </c>
      <c r="V120" s="321">
        <v>0</v>
      </c>
    </row>
    <row r="121" spans="1:22" ht="15">
      <c r="A121" s="623" t="s">
        <v>32</v>
      </c>
      <c r="B121" s="624"/>
      <c r="C121" s="625"/>
      <c r="D121" s="625"/>
      <c r="E121" s="625"/>
      <c r="F121" s="625"/>
      <c r="G121" s="626"/>
      <c r="H121" s="624"/>
      <c r="I121" s="625"/>
      <c r="J121" s="626"/>
      <c r="K121" s="624"/>
      <c r="L121" s="625"/>
      <c r="M121" s="625"/>
      <c r="N121" s="625"/>
      <c r="O121" s="625"/>
      <c r="P121" s="626"/>
      <c r="Q121" s="624"/>
      <c r="R121" s="625"/>
      <c r="S121" s="625"/>
      <c r="T121" s="625"/>
      <c r="U121" s="625"/>
      <c r="V121" s="626"/>
    </row>
    <row r="122" spans="1:22">
      <c r="A122" s="612" t="s">
        <v>832</v>
      </c>
      <c r="B122" s="321">
        <v>2</v>
      </c>
      <c r="C122" s="321">
        <v>1</v>
      </c>
      <c r="D122" s="321">
        <v>3</v>
      </c>
      <c r="E122" s="321">
        <v>0</v>
      </c>
      <c r="F122" s="321">
        <v>0</v>
      </c>
      <c r="G122" s="321">
        <v>0</v>
      </c>
      <c r="H122" s="321">
        <v>23</v>
      </c>
      <c r="I122" s="321">
        <v>19</v>
      </c>
      <c r="J122" s="321">
        <v>42</v>
      </c>
      <c r="K122" s="321">
        <v>0</v>
      </c>
      <c r="L122" s="321">
        <v>0</v>
      </c>
      <c r="M122" s="321">
        <v>0</v>
      </c>
      <c r="N122" s="321">
        <v>0</v>
      </c>
      <c r="O122" s="321">
        <v>0</v>
      </c>
      <c r="P122" s="321">
        <v>0</v>
      </c>
      <c r="Q122" s="321">
        <v>25</v>
      </c>
      <c r="R122" s="321">
        <v>20</v>
      </c>
      <c r="S122" s="321">
        <v>45</v>
      </c>
      <c r="T122" s="321">
        <v>0</v>
      </c>
      <c r="U122" s="321">
        <v>0</v>
      </c>
      <c r="V122" s="321">
        <v>0</v>
      </c>
    </row>
    <row r="123" spans="1:22">
      <c r="A123" s="628" t="s">
        <v>831</v>
      </c>
      <c r="B123" s="321">
        <v>2</v>
      </c>
      <c r="C123" s="321">
        <v>1</v>
      </c>
      <c r="D123" s="321">
        <v>3</v>
      </c>
      <c r="E123" s="321">
        <v>0</v>
      </c>
      <c r="F123" s="321">
        <v>0</v>
      </c>
      <c r="G123" s="321">
        <v>0</v>
      </c>
      <c r="H123" s="321">
        <v>23</v>
      </c>
      <c r="I123" s="321">
        <v>19</v>
      </c>
      <c r="J123" s="321">
        <v>42</v>
      </c>
      <c r="K123" s="321">
        <v>0</v>
      </c>
      <c r="L123" s="321">
        <v>0</v>
      </c>
      <c r="M123" s="321">
        <v>0</v>
      </c>
      <c r="N123" s="321">
        <v>0</v>
      </c>
      <c r="O123" s="321">
        <v>0</v>
      </c>
      <c r="P123" s="321">
        <v>0</v>
      </c>
      <c r="Q123" s="321">
        <v>25</v>
      </c>
      <c r="R123" s="321">
        <v>20</v>
      </c>
      <c r="S123" s="321">
        <v>45</v>
      </c>
      <c r="T123" s="321">
        <v>0</v>
      </c>
      <c r="U123" s="321">
        <v>0</v>
      </c>
      <c r="V123" s="321">
        <v>0</v>
      </c>
    </row>
    <row r="124" spans="1:22">
      <c r="A124" s="628" t="s">
        <v>830</v>
      </c>
      <c r="B124" s="321">
        <v>3</v>
      </c>
      <c r="C124" s="321">
        <v>0</v>
      </c>
      <c r="D124" s="321">
        <v>3</v>
      </c>
      <c r="E124" s="321">
        <v>0</v>
      </c>
      <c r="F124" s="321">
        <v>0</v>
      </c>
      <c r="G124" s="321">
        <v>0</v>
      </c>
      <c r="H124" s="321">
        <v>22</v>
      </c>
      <c r="I124" s="321">
        <v>20</v>
      </c>
      <c r="J124" s="321">
        <v>42</v>
      </c>
      <c r="K124" s="321">
        <v>0</v>
      </c>
      <c r="L124" s="321">
        <v>0</v>
      </c>
      <c r="M124" s="321">
        <v>0</v>
      </c>
      <c r="N124" s="321">
        <v>0</v>
      </c>
      <c r="O124" s="321">
        <v>0</v>
      </c>
      <c r="P124" s="321">
        <v>0</v>
      </c>
      <c r="Q124" s="321">
        <v>25</v>
      </c>
      <c r="R124" s="321">
        <v>20</v>
      </c>
      <c r="S124" s="321">
        <v>45</v>
      </c>
      <c r="T124" s="321">
        <v>0</v>
      </c>
      <c r="U124" s="321">
        <v>0</v>
      </c>
      <c r="V124" s="321">
        <v>0</v>
      </c>
    </row>
    <row r="125" spans="1:22">
      <c r="A125" s="629" t="s">
        <v>829</v>
      </c>
      <c r="B125" s="631">
        <v>3</v>
      </c>
      <c r="C125" s="631">
        <v>0</v>
      </c>
      <c r="D125" s="631">
        <v>3</v>
      </c>
      <c r="E125" s="631">
        <v>4</v>
      </c>
      <c r="F125" s="631">
        <v>0</v>
      </c>
      <c r="G125" s="631">
        <v>4</v>
      </c>
      <c r="H125" s="631">
        <v>19</v>
      </c>
      <c r="I125" s="631">
        <v>11</v>
      </c>
      <c r="J125" s="631">
        <v>30</v>
      </c>
      <c r="K125" s="631">
        <v>0</v>
      </c>
      <c r="L125" s="631">
        <v>0</v>
      </c>
      <c r="M125" s="631">
        <v>0</v>
      </c>
      <c r="N125" s="631">
        <v>0</v>
      </c>
      <c r="O125" s="631">
        <v>0</v>
      </c>
      <c r="P125" s="631">
        <v>0</v>
      </c>
      <c r="Q125" s="631">
        <v>26</v>
      </c>
      <c r="R125" s="631">
        <v>11</v>
      </c>
      <c r="S125" s="631">
        <v>37</v>
      </c>
      <c r="T125" s="631">
        <v>0</v>
      </c>
      <c r="U125" s="631">
        <v>0</v>
      </c>
      <c r="V125" s="631">
        <v>0</v>
      </c>
    </row>
    <row r="126" spans="1:22">
      <c r="A126" s="628" t="s">
        <v>828</v>
      </c>
      <c r="B126" s="613">
        <v>3</v>
      </c>
      <c r="C126" s="613">
        <v>0</v>
      </c>
      <c r="D126" s="613">
        <v>3</v>
      </c>
      <c r="E126" s="613">
        <v>4</v>
      </c>
      <c r="F126" s="613">
        <v>0</v>
      </c>
      <c r="G126" s="613">
        <v>4</v>
      </c>
      <c r="H126" s="613">
        <v>20</v>
      </c>
      <c r="I126" s="613">
        <v>13</v>
      </c>
      <c r="J126" s="613">
        <v>33</v>
      </c>
      <c r="K126" s="613">
        <v>0</v>
      </c>
      <c r="L126" s="613">
        <v>0</v>
      </c>
      <c r="M126" s="613">
        <v>0</v>
      </c>
      <c r="N126" s="613">
        <v>0</v>
      </c>
      <c r="O126" s="613">
        <v>0</v>
      </c>
      <c r="P126" s="613">
        <v>0</v>
      </c>
      <c r="Q126" s="613">
        <v>27</v>
      </c>
      <c r="R126" s="613">
        <v>13</v>
      </c>
      <c r="S126" s="613">
        <v>40</v>
      </c>
      <c r="T126" s="613">
        <v>0</v>
      </c>
      <c r="U126" s="613">
        <v>0</v>
      </c>
      <c r="V126" s="613">
        <v>0</v>
      </c>
    </row>
    <row r="127" spans="1:22" ht="15">
      <c r="A127" s="623" t="s">
        <v>33</v>
      </c>
      <c r="B127" s="624"/>
      <c r="C127" s="625"/>
      <c r="D127" s="625"/>
      <c r="E127" s="625"/>
      <c r="F127" s="625"/>
      <c r="G127" s="626"/>
      <c r="H127" s="624"/>
      <c r="I127" s="625"/>
      <c r="J127" s="626"/>
      <c r="K127" s="624"/>
      <c r="L127" s="625"/>
      <c r="M127" s="625"/>
      <c r="N127" s="625"/>
      <c r="O127" s="625"/>
      <c r="P127" s="626"/>
      <c r="Q127" s="624"/>
      <c r="R127" s="625"/>
      <c r="S127" s="625"/>
      <c r="T127" s="625"/>
      <c r="U127" s="625"/>
      <c r="V127" s="626"/>
    </row>
    <row r="128" spans="1:22">
      <c r="A128" s="612" t="s">
        <v>832</v>
      </c>
      <c r="B128" s="321">
        <v>4775</v>
      </c>
      <c r="C128" s="321">
        <v>2549</v>
      </c>
      <c r="D128" s="321">
        <v>7324</v>
      </c>
      <c r="E128" s="321">
        <v>3985</v>
      </c>
      <c r="F128" s="321">
        <v>2311</v>
      </c>
      <c r="G128" s="321">
        <v>6296</v>
      </c>
      <c r="H128" s="321">
        <v>25048</v>
      </c>
      <c r="I128" s="321">
        <v>17483</v>
      </c>
      <c r="J128" s="321">
        <v>42531</v>
      </c>
      <c r="K128" s="321">
        <v>1426</v>
      </c>
      <c r="L128" s="321">
        <v>2260</v>
      </c>
      <c r="M128" s="321">
        <v>3686</v>
      </c>
      <c r="N128" s="321">
        <v>1947</v>
      </c>
      <c r="O128" s="321">
        <v>1818</v>
      </c>
      <c r="P128" s="321">
        <v>3765</v>
      </c>
      <c r="Q128" s="321">
        <v>37474</v>
      </c>
      <c r="R128" s="321">
        <v>26632</v>
      </c>
      <c r="S128" s="321">
        <v>64106</v>
      </c>
      <c r="T128" s="321">
        <v>293</v>
      </c>
      <c r="U128" s="321">
        <v>211</v>
      </c>
      <c r="V128" s="321">
        <v>504</v>
      </c>
    </row>
    <row r="129" spans="1:22">
      <c r="A129" s="628" t="s">
        <v>831</v>
      </c>
      <c r="B129" s="321">
        <v>4472</v>
      </c>
      <c r="C129" s="321">
        <v>2402</v>
      </c>
      <c r="D129" s="321">
        <v>6874</v>
      </c>
      <c r="E129" s="321">
        <v>3613</v>
      </c>
      <c r="F129" s="321">
        <v>2083</v>
      </c>
      <c r="G129" s="321">
        <v>5696</v>
      </c>
      <c r="H129" s="321">
        <v>22811</v>
      </c>
      <c r="I129" s="321">
        <v>15762</v>
      </c>
      <c r="J129" s="321">
        <v>38573</v>
      </c>
      <c r="K129" s="321">
        <v>1442</v>
      </c>
      <c r="L129" s="321">
        <v>2081</v>
      </c>
      <c r="M129" s="321">
        <v>3523</v>
      </c>
      <c r="N129" s="321">
        <v>2166</v>
      </c>
      <c r="O129" s="321">
        <v>1910</v>
      </c>
      <c r="P129" s="321">
        <v>4076</v>
      </c>
      <c r="Q129" s="321">
        <v>34772</v>
      </c>
      <c r="R129" s="321">
        <v>24412</v>
      </c>
      <c r="S129" s="321">
        <v>59184</v>
      </c>
      <c r="T129" s="321">
        <v>268</v>
      </c>
      <c r="U129" s="321">
        <v>174</v>
      </c>
      <c r="V129" s="321">
        <v>442</v>
      </c>
    </row>
    <row r="130" spans="1:22">
      <c r="A130" s="628" t="s">
        <v>830</v>
      </c>
      <c r="B130" s="321">
        <v>3949</v>
      </c>
      <c r="C130" s="321">
        <v>1995</v>
      </c>
      <c r="D130" s="321">
        <v>5944</v>
      </c>
      <c r="E130" s="321">
        <v>3542</v>
      </c>
      <c r="F130" s="321">
        <v>2117</v>
      </c>
      <c r="G130" s="321">
        <v>5659</v>
      </c>
      <c r="H130" s="321">
        <v>20945</v>
      </c>
      <c r="I130" s="321">
        <v>14606</v>
      </c>
      <c r="J130" s="321">
        <v>35551</v>
      </c>
      <c r="K130" s="321">
        <v>1580</v>
      </c>
      <c r="L130" s="321">
        <v>2116</v>
      </c>
      <c r="M130" s="321">
        <v>3696</v>
      </c>
      <c r="N130" s="321">
        <v>1688</v>
      </c>
      <c r="O130" s="321">
        <v>1563</v>
      </c>
      <c r="P130" s="321">
        <v>3251</v>
      </c>
      <c r="Q130" s="321">
        <v>31931</v>
      </c>
      <c r="R130" s="321">
        <v>22559</v>
      </c>
      <c r="S130" s="321">
        <v>54490</v>
      </c>
      <c r="T130" s="321">
        <v>227</v>
      </c>
      <c r="U130" s="321">
        <v>162</v>
      </c>
      <c r="V130" s="321">
        <v>389</v>
      </c>
    </row>
    <row r="131" spans="1:22">
      <c r="A131" s="629" t="s">
        <v>829</v>
      </c>
      <c r="B131" s="631">
        <v>4924</v>
      </c>
      <c r="C131" s="631">
        <v>2315</v>
      </c>
      <c r="D131" s="631">
        <v>7239</v>
      </c>
      <c r="E131" s="631">
        <v>4150</v>
      </c>
      <c r="F131" s="631">
        <v>1973</v>
      </c>
      <c r="G131" s="631">
        <v>6123</v>
      </c>
      <c r="H131" s="631">
        <v>25702</v>
      </c>
      <c r="I131" s="631">
        <v>16538</v>
      </c>
      <c r="J131" s="631">
        <v>42240</v>
      </c>
      <c r="K131" s="631">
        <v>2049</v>
      </c>
      <c r="L131" s="631">
        <v>2485</v>
      </c>
      <c r="M131" s="631">
        <v>4534</v>
      </c>
      <c r="N131" s="631">
        <v>1913</v>
      </c>
      <c r="O131" s="631">
        <v>1558</v>
      </c>
      <c r="P131" s="631">
        <v>3471</v>
      </c>
      <c r="Q131" s="631">
        <v>39002</v>
      </c>
      <c r="R131" s="631">
        <v>25039</v>
      </c>
      <c r="S131" s="631">
        <v>64041</v>
      </c>
      <c r="T131" s="631">
        <v>257</v>
      </c>
      <c r="U131" s="631">
        <v>170</v>
      </c>
      <c r="V131" s="631">
        <v>427</v>
      </c>
    </row>
    <row r="132" spans="1:22">
      <c r="A132" s="628" t="s">
        <v>828</v>
      </c>
      <c r="B132" s="613">
        <v>5771</v>
      </c>
      <c r="C132" s="613">
        <v>2662</v>
      </c>
      <c r="D132" s="613">
        <v>8433</v>
      </c>
      <c r="E132" s="613">
        <v>5103</v>
      </c>
      <c r="F132" s="613">
        <v>2524</v>
      </c>
      <c r="G132" s="613">
        <v>7627</v>
      </c>
      <c r="H132" s="613">
        <v>29034</v>
      </c>
      <c r="I132" s="613">
        <v>18344</v>
      </c>
      <c r="J132" s="613">
        <v>47378</v>
      </c>
      <c r="K132" s="613">
        <v>2443</v>
      </c>
      <c r="L132" s="613">
        <v>2859</v>
      </c>
      <c r="M132" s="613">
        <v>5302</v>
      </c>
      <c r="N132" s="613">
        <v>2613</v>
      </c>
      <c r="O132" s="613">
        <v>1992</v>
      </c>
      <c r="P132" s="613">
        <v>4605</v>
      </c>
      <c r="Q132" s="613">
        <v>44964</v>
      </c>
      <c r="R132" s="613">
        <v>28381</v>
      </c>
      <c r="S132" s="613">
        <v>73345</v>
      </c>
      <c r="T132" s="613">
        <v>511</v>
      </c>
      <c r="U132" s="613">
        <v>353</v>
      </c>
      <c r="V132" s="613">
        <v>864</v>
      </c>
    </row>
    <row r="133" spans="1:22" ht="15">
      <c r="A133" s="623" t="s">
        <v>34</v>
      </c>
      <c r="B133" s="624"/>
      <c r="C133" s="625"/>
      <c r="D133" s="625"/>
      <c r="E133" s="625"/>
      <c r="F133" s="625"/>
      <c r="G133" s="626"/>
      <c r="H133" s="624"/>
      <c r="I133" s="625"/>
      <c r="J133" s="626"/>
      <c r="K133" s="624"/>
      <c r="L133" s="625"/>
      <c r="M133" s="625"/>
      <c r="N133" s="625"/>
      <c r="O133" s="625"/>
      <c r="P133" s="626"/>
      <c r="Q133" s="624"/>
      <c r="R133" s="625"/>
      <c r="S133" s="625"/>
      <c r="T133" s="625"/>
      <c r="U133" s="625"/>
      <c r="V133" s="626"/>
    </row>
    <row r="134" spans="1:22">
      <c r="A134" s="612" t="s">
        <v>832</v>
      </c>
      <c r="B134" s="321">
        <v>10412</v>
      </c>
      <c r="C134" s="321">
        <v>4103</v>
      </c>
      <c r="D134" s="321">
        <v>14515</v>
      </c>
      <c r="E134" s="321">
        <v>12789</v>
      </c>
      <c r="F134" s="321">
        <v>6465</v>
      </c>
      <c r="G134" s="321">
        <v>19254</v>
      </c>
      <c r="H134" s="321">
        <v>63431</v>
      </c>
      <c r="I134" s="321">
        <v>45524</v>
      </c>
      <c r="J134" s="321">
        <v>108955</v>
      </c>
      <c r="K134" s="321">
        <v>2273</v>
      </c>
      <c r="L134" s="321">
        <v>4536</v>
      </c>
      <c r="M134" s="321">
        <v>6809</v>
      </c>
      <c r="N134" s="321">
        <v>4749</v>
      </c>
      <c r="O134" s="321">
        <v>5565</v>
      </c>
      <c r="P134" s="321">
        <v>10314</v>
      </c>
      <c r="Q134" s="321">
        <v>95447</v>
      </c>
      <c r="R134" s="321">
        <v>67685</v>
      </c>
      <c r="S134" s="321">
        <v>163132</v>
      </c>
      <c r="T134" s="321">
        <v>1793</v>
      </c>
      <c r="U134" s="321">
        <v>1492</v>
      </c>
      <c r="V134" s="321">
        <v>3285</v>
      </c>
    </row>
    <row r="135" spans="1:22">
      <c r="A135" s="628" t="s">
        <v>831</v>
      </c>
      <c r="B135" s="321">
        <v>9752</v>
      </c>
      <c r="C135" s="321">
        <v>3846</v>
      </c>
      <c r="D135" s="321">
        <v>13598</v>
      </c>
      <c r="E135" s="321">
        <v>12731</v>
      </c>
      <c r="F135" s="321">
        <v>6213</v>
      </c>
      <c r="G135" s="321">
        <v>18944</v>
      </c>
      <c r="H135" s="321">
        <v>63627</v>
      </c>
      <c r="I135" s="321">
        <v>44010</v>
      </c>
      <c r="J135" s="321">
        <v>107637</v>
      </c>
      <c r="K135" s="321">
        <v>2169</v>
      </c>
      <c r="L135" s="321">
        <v>3990</v>
      </c>
      <c r="M135" s="321">
        <v>6159</v>
      </c>
      <c r="N135" s="321">
        <v>4465</v>
      </c>
      <c r="O135" s="321">
        <v>5010</v>
      </c>
      <c r="P135" s="321">
        <v>9475</v>
      </c>
      <c r="Q135" s="321">
        <v>94465</v>
      </c>
      <c r="R135" s="321">
        <v>64474</v>
      </c>
      <c r="S135" s="321">
        <v>158939</v>
      </c>
      <c r="T135" s="321">
        <v>1721</v>
      </c>
      <c r="U135" s="321">
        <v>1405</v>
      </c>
      <c r="V135" s="321">
        <v>3126</v>
      </c>
    </row>
    <row r="136" spans="1:22">
      <c r="A136" s="628" t="s">
        <v>830</v>
      </c>
      <c r="B136" s="321">
        <v>9043</v>
      </c>
      <c r="C136" s="321">
        <v>3405</v>
      </c>
      <c r="D136" s="321">
        <v>12448</v>
      </c>
      <c r="E136" s="321">
        <v>12369</v>
      </c>
      <c r="F136" s="321">
        <v>5969</v>
      </c>
      <c r="G136" s="321">
        <v>18338</v>
      </c>
      <c r="H136" s="321">
        <v>63323</v>
      </c>
      <c r="I136" s="321">
        <v>42772</v>
      </c>
      <c r="J136" s="321">
        <v>106095</v>
      </c>
      <c r="K136" s="321">
        <v>1723</v>
      </c>
      <c r="L136" s="321">
        <v>3052</v>
      </c>
      <c r="M136" s="321">
        <v>4775</v>
      </c>
      <c r="N136" s="321">
        <v>3840</v>
      </c>
      <c r="O136" s="321">
        <v>4207</v>
      </c>
      <c r="P136" s="321">
        <v>8047</v>
      </c>
      <c r="Q136" s="321">
        <v>91935</v>
      </c>
      <c r="R136" s="321">
        <v>60667</v>
      </c>
      <c r="S136" s="321">
        <v>152602</v>
      </c>
      <c r="T136" s="321">
        <v>1637</v>
      </c>
      <c r="U136" s="321">
        <v>1262</v>
      </c>
      <c r="V136" s="321">
        <v>2899</v>
      </c>
    </row>
    <row r="137" spans="1:22">
      <c r="A137" s="629" t="s">
        <v>829</v>
      </c>
      <c r="B137" s="631">
        <v>8922</v>
      </c>
      <c r="C137" s="631">
        <v>3278</v>
      </c>
      <c r="D137" s="631">
        <v>12200</v>
      </c>
      <c r="E137" s="631">
        <v>12552</v>
      </c>
      <c r="F137" s="631">
        <v>5944</v>
      </c>
      <c r="G137" s="631">
        <v>18496</v>
      </c>
      <c r="H137" s="631">
        <v>63830</v>
      </c>
      <c r="I137" s="631">
        <v>42204</v>
      </c>
      <c r="J137" s="631">
        <v>106034</v>
      </c>
      <c r="K137" s="631">
        <v>1509</v>
      </c>
      <c r="L137" s="631">
        <v>2449</v>
      </c>
      <c r="M137" s="631">
        <v>3958</v>
      </c>
      <c r="N137" s="631">
        <v>3740</v>
      </c>
      <c r="O137" s="631">
        <v>3779</v>
      </c>
      <c r="P137" s="631">
        <v>7519</v>
      </c>
      <c r="Q137" s="631">
        <v>92019</v>
      </c>
      <c r="R137" s="631">
        <v>58647</v>
      </c>
      <c r="S137" s="631">
        <v>150666</v>
      </c>
      <c r="T137" s="631">
        <v>1415</v>
      </c>
      <c r="U137" s="631">
        <v>973</v>
      </c>
      <c r="V137" s="631">
        <v>2388</v>
      </c>
    </row>
    <row r="138" spans="1:22">
      <c r="A138" s="628" t="s">
        <v>828</v>
      </c>
      <c r="B138" s="613">
        <v>11255</v>
      </c>
      <c r="C138" s="613">
        <v>3800</v>
      </c>
      <c r="D138" s="613">
        <v>15055</v>
      </c>
      <c r="E138" s="613">
        <v>14552</v>
      </c>
      <c r="F138" s="613">
        <v>6779</v>
      </c>
      <c r="G138" s="613">
        <v>21331</v>
      </c>
      <c r="H138" s="613">
        <v>68752</v>
      </c>
      <c r="I138" s="613">
        <v>42463</v>
      </c>
      <c r="J138" s="613">
        <v>111215</v>
      </c>
      <c r="K138" s="613">
        <v>1982</v>
      </c>
      <c r="L138" s="613">
        <v>2284</v>
      </c>
      <c r="M138" s="613">
        <v>4266</v>
      </c>
      <c r="N138" s="613">
        <v>7068</v>
      </c>
      <c r="O138" s="613">
        <v>6703</v>
      </c>
      <c r="P138" s="613">
        <v>13771</v>
      </c>
      <c r="Q138" s="613">
        <v>103609</v>
      </c>
      <c r="R138" s="613">
        <v>62029</v>
      </c>
      <c r="S138" s="613">
        <v>165638</v>
      </c>
      <c r="T138" s="613">
        <v>3139</v>
      </c>
      <c r="U138" s="613">
        <v>2401</v>
      </c>
      <c r="V138" s="613">
        <v>5540</v>
      </c>
    </row>
    <row r="139" spans="1:22" ht="15">
      <c r="A139" s="623" t="s">
        <v>35</v>
      </c>
      <c r="B139" s="624"/>
      <c r="C139" s="625"/>
      <c r="D139" s="625"/>
      <c r="E139" s="625"/>
      <c r="F139" s="625"/>
      <c r="G139" s="626"/>
      <c r="H139" s="624"/>
      <c r="I139" s="625"/>
      <c r="J139" s="626"/>
      <c r="K139" s="624"/>
      <c r="L139" s="625"/>
      <c r="M139" s="625"/>
      <c r="N139" s="625"/>
      <c r="O139" s="625"/>
      <c r="P139" s="626"/>
      <c r="Q139" s="624"/>
      <c r="R139" s="625"/>
      <c r="S139" s="625"/>
      <c r="T139" s="625"/>
      <c r="U139" s="625"/>
      <c r="V139" s="626"/>
    </row>
    <row r="140" spans="1:22">
      <c r="A140" s="612" t="s">
        <v>832</v>
      </c>
      <c r="B140" s="321">
        <v>274</v>
      </c>
      <c r="C140" s="321">
        <v>107</v>
      </c>
      <c r="D140" s="321">
        <v>381</v>
      </c>
      <c r="E140" s="321">
        <v>521</v>
      </c>
      <c r="F140" s="321">
        <v>408</v>
      </c>
      <c r="G140" s="321">
        <v>929</v>
      </c>
      <c r="H140" s="321">
        <v>1796</v>
      </c>
      <c r="I140" s="321">
        <v>1874</v>
      </c>
      <c r="J140" s="321">
        <v>3670</v>
      </c>
      <c r="K140" s="321">
        <v>24</v>
      </c>
      <c r="L140" s="321">
        <v>174</v>
      </c>
      <c r="M140" s="321">
        <v>198</v>
      </c>
      <c r="N140" s="321">
        <v>128</v>
      </c>
      <c r="O140" s="321">
        <v>128</v>
      </c>
      <c r="P140" s="321">
        <v>256</v>
      </c>
      <c r="Q140" s="321">
        <v>2792</v>
      </c>
      <c r="R140" s="321">
        <v>2702</v>
      </c>
      <c r="S140" s="321">
        <v>5494</v>
      </c>
      <c r="T140" s="321">
        <v>49</v>
      </c>
      <c r="U140" s="321">
        <v>11</v>
      </c>
      <c r="V140" s="321">
        <v>60</v>
      </c>
    </row>
    <row r="141" spans="1:22">
      <c r="A141" s="628" t="s">
        <v>831</v>
      </c>
      <c r="B141" s="321">
        <v>256</v>
      </c>
      <c r="C141" s="321">
        <v>93</v>
      </c>
      <c r="D141" s="321">
        <v>349</v>
      </c>
      <c r="E141" s="321">
        <v>625</v>
      </c>
      <c r="F141" s="321">
        <v>480</v>
      </c>
      <c r="G141" s="321">
        <v>1105</v>
      </c>
      <c r="H141" s="321">
        <v>1596</v>
      </c>
      <c r="I141" s="321">
        <v>1650</v>
      </c>
      <c r="J141" s="321">
        <v>3246</v>
      </c>
      <c r="K141" s="321">
        <v>17</v>
      </c>
      <c r="L141" s="321">
        <v>104</v>
      </c>
      <c r="M141" s="321">
        <v>121</v>
      </c>
      <c r="N141" s="321">
        <v>83</v>
      </c>
      <c r="O141" s="321">
        <v>83</v>
      </c>
      <c r="P141" s="321">
        <v>166</v>
      </c>
      <c r="Q141" s="321">
        <v>2616</v>
      </c>
      <c r="R141" s="321">
        <v>2419</v>
      </c>
      <c r="S141" s="321">
        <v>5035</v>
      </c>
      <c r="T141" s="321">
        <v>39</v>
      </c>
      <c r="U141" s="321">
        <v>9</v>
      </c>
      <c r="V141" s="321">
        <v>48</v>
      </c>
    </row>
    <row r="142" spans="1:22">
      <c r="A142" s="628" t="s">
        <v>830</v>
      </c>
      <c r="B142" s="321">
        <v>205</v>
      </c>
      <c r="C142" s="321">
        <v>75</v>
      </c>
      <c r="D142" s="321">
        <v>280</v>
      </c>
      <c r="E142" s="321">
        <v>461</v>
      </c>
      <c r="F142" s="321">
        <v>367</v>
      </c>
      <c r="G142" s="321">
        <v>828</v>
      </c>
      <c r="H142" s="321">
        <v>1095</v>
      </c>
      <c r="I142" s="321">
        <v>1043</v>
      </c>
      <c r="J142" s="321">
        <v>2138</v>
      </c>
      <c r="K142" s="321">
        <v>10</v>
      </c>
      <c r="L142" s="321">
        <v>49</v>
      </c>
      <c r="M142" s="321">
        <v>59</v>
      </c>
      <c r="N142" s="321">
        <v>46</v>
      </c>
      <c r="O142" s="321">
        <v>46</v>
      </c>
      <c r="P142" s="321">
        <v>92</v>
      </c>
      <c r="Q142" s="321">
        <v>1817</v>
      </c>
      <c r="R142" s="321">
        <v>1583</v>
      </c>
      <c r="S142" s="321">
        <v>3400</v>
      </c>
      <c r="T142" s="321">
        <v>0</v>
      </c>
      <c r="U142" s="321">
        <v>3</v>
      </c>
      <c r="V142" s="321">
        <v>3</v>
      </c>
    </row>
    <row r="143" spans="1:22">
      <c r="A143" s="629" t="s">
        <v>829</v>
      </c>
      <c r="B143" s="631">
        <v>327</v>
      </c>
      <c r="C143" s="631">
        <v>118</v>
      </c>
      <c r="D143" s="631">
        <v>445</v>
      </c>
      <c r="E143" s="631">
        <v>692</v>
      </c>
      <c r="F143" s="631">
        <v>541</v>
      </c>
      <c r="G143" s="631">
        <v>1233</v>
      </c>
      <c r="H143" s="631">
        <v>1343</v>
      </c>
      <c r="I143" s="631">
        <v>1258</v>
      </c>
      <c r="J143" s="631">
        <v>2601</v>
      </c>
      <c r="K143" s="631">
        <v>19</v>
      </c>
      <c r="L143" s="631">
        <v>53</v>
      </c>
      <c r="M143" s="631">
        <v>72</v>
      </c>
      <c r="N143" s="631">
        <v>53</v>
      </c>
      <c r="O143" s="631">
        <v>49</v>
      </c>
      <c r="P143" s="631">
        <v>102</v>
      </c>
      <c r="Q143" s="631">
        <v>2439</v>
      </c>
      <c r="R143" s="631">
        <v>2030</v>
      </c>
      <c r="S143" s="631">
        <v>4469</v>
      </c>
      <c r="T143" s="631">
        <v>5</v>
      </c>
      <c r="U143" s="631">
        <v>11</v>
      </c>
      <c r="V143" s="631">
        <v>16</v>
      </c>
    </row>
    <row r="144" spans="1:22">
      <c r="A144" s="628" t="s">
        <v>828</v>
      </c>
      <c r="B144" s="613">
        <v>285</v>
      </c>
      <c r="C144" s="613">
        <v>98</v>
      </c>
      <c r="D144" s="613">
        <v>383</v>
      </c>
      <c r="E144" s="613">
        <v>599</v>
      </c>
      <c r="F144" s="613">
        <v>443</v>
      </c>
      <c r="G144" s="613">
        <v>1042</v>
      </c>
      <c r="H144" s="613">
        <v>1495</v>
      </c>
      <c r="I144" s="613">
        <v>1259</v>
      </c>
      <c r="J144" s="613">
        <v>2754</v>
      </c>
      <c r="K144" s="613">
        <v>62</v>
      </c>
      <c r="L144" s="613">
        <v>89</v>
      </c>
      <c r="M144" s="613">
        <v>151</v>
      </c>
      <c r="N144" s="613">
        <v>225</v>
      </c>
      <c r="O144" s="613">
        <v>264</v>
      </c>
      <c r="P144" s="613">
        <v>489</v>
      </c>
      <c r="Q144" s="613">
        <v>2666</v>
      </c>
      <c r="R144" s="613">
        <v>2153</v>
      </c>
      <c r="S144" s="613">
        <v>4819</v>
      </c>
      <c r="T144" s="613">
        <v>17</v>
      </c>
      <c r="U144" s="613">
        <v>17</v>
      </c>
      <c r="V144" s="613">
        <v>34</v>
      </c>
    </row>
    <row r="145" spans="1:22" ht="15">
      <c r="A145" s="623" t="s">
        <v>36</v>
      </c>
      <c r="B145" s="624"/>
      <c r="C145" s="625"/>
      <c r="D145" s="625"/>
      <c r="E145" s="625"/>
      <c r="F145" s="625"/>
      <c r="G145" s="626"/>
      <c r="H145" s="624"/>
      <c r="I145" s="625"/>
      <c r="J145" s="626"/>
      <c r="K145" s="624"/>
      <c r="L145" s="625"/>
      <c r="M145" s="625"/>
      <c r="N145" s="625"/>
      <c r="O145" s="625"/>
      <c r="P145" s="626"/>
      <c r="Q145" s="624"/>
      <c r="R145" s="625"/>
      <c r="S145" s="625"/>
      <c r="T145" s="625"/>
      <c r="U145" s="625"/>
      <c r="V145" s="626"/>
    </row>
    <row r="146" spans="1:22">
      <c r="A146" s="612" t="s">
        <v>832</v>
      </c>
      <c r="B146" s="321">
        <v>171</v>
      </c>
      <c r="C146" s="321">
        <v>69</v>
      </c>
      <c r="D146" s="321">
        <v>240</v>
      </c>
      <c r="E146" s="321">
        <v>244</v>
      </c>
      <c r="F146" s="321">
        <v>229</v>
      </c>
      <c r="G146" s="321">
        <v>473</v>
      </c>
      <c r="H146" s="321">
        <v>1077</v>
      </c>
      <c r="I146" s="321">
        <v>1539</v>
      </c>
      <c r="J146" s="321">
        <v>2616</v>
      </c>
      <c r="K146" s="321">
        <v>50</v>
      </c>
      <c r="L146" s="321">
        <v>96</v>
      </c>
      <c r="M146" s="321">
        <v>146</v>
      </c>
      <c r="N146" s="321">
        <v>53</v>
      </c>
      <c r="O146" s="321">
        <v>83</v>
      </c>
      <c r="P146" s="321">
        <v>136</v>
      </c>
      <c r="Q146" s="321">
        <v>1597</v>
      </c>
      <c r="R146" s="321">
        <v>2027</v>
      </c>
      <c r="S146" s="321">
        <v>3624</v>
      </c>
      <c r="T146" s="321">
        <v>2</v>
      </c>
      <c r="U146" s="321">
        <v>11</v>
      </c>
      <c r="V146" s="321">
        <v>13</v>
      </c>
    </row>
    <row r="147" spans="1:22">
      <c r="A147" s="628" t="s">
        <v>831</v>
      </c>
      <c r="B147" s="321">
        <v>160</v>
      </c>
      <c r="C147" s="321">
        <v>65</v>
      </c>
      <c r="D147" s="321">
        <v>225</v>
      </c>
      <c r="E147" s="321">
        <v>240</v>
      </c>
      <c r="F147" s="321">
        <v>241</v>
      </c>
      <c r="G147" s="321">
        <v>481</v>
      </c>
      <c r="H147" s="321">
        <v>957</v>
      </c>
      <c r="I147" s="321">
        <v>1353</v>
      </c>
      <c r="J147" s="321">
        <v>2310</v>
      </c>
      <c r="K147" s="321">
        <v>42</v>
      </c>
      <c r="L147" s="321">
        <v>98</v>
      </c>
      <c r="M147" s="321">
        <v>140</v>
      </c>
      <c r="N147" s="321">
        <v>60</v>
      </c>
      <c r="O147" s="321">
        <v>83</v>
      </c>
      <c r="P147" s="321">
        <v>143</v>
      </c>
      <c r="Q147" s="321">
        <v>1462</v>
      </c>
      <c r="R147" s="321">
        <v>1850</v>
      </c>
      <c r="S147" s="321">
        <v>3312</v>
      </c>
      <c r="T147" s="321">
        <v>3</v>
      </c>
      <c r="U147" s="321">
        <v>10</v>
      </c>
      <c r="V147" s="321">
        <v>13</v>
      </c>
    </row>
    <row r="148" spans="1:22">
      <c r="A148" s="628" t="s">
        <v>830</v>
      </c>
      <c r="B148" s="321">
        <v>142</v>
      </c>
      <c r="C148" s="321">
        <v>56</v>
      </c>
      <c r="D148" s="321">
        <v>198</v>
      </c>
      <c r="E148" s="321">
        <v>201</v>
      </c>
      <c r="F148" s="321">
        <v>219</v>
      </c>
      <c r="G148" s="321">
        <v>420</v>
      </c>
      <c r="H148" s="321">
        <v>857</v>
      </c>
      <c r="I148" s="321">
        <v>1123</v>
      </c>
      <c r="J148" s="321">
        <v>1980</v>
      </c>
      <c r="K148" s="321">
        <v>34</v>
      </c>
      <c r="L148" s="321">
        <v>74</v>
      </c>
      <c r="M148" s="321">
        <v>108</v>
      </c>
      <c r="N148" s="321">
        <v>38</v>
      </c>
      <c r="O148" s="321">
        <v>53</v>
      </c>
      <c r="P148" s="321">
        <v>91</v>
      </c>
      <c r="Q148" s="321">
        <v>1274</v>
      </c>
      <c r="R148" s="321">
        <v>1530</v>
      </c>
      <c r="S148" s="321">
        <v>2804</v>
      </c>
      <c r="T148" s="321">
        <v>2</v>
      </c>
      <c r="U148" s="321">
        <v>5</v>
      </c>
      <c r="V148" s="321">
        <v>7</v>
      </c>
    </row>
    <row r="149" spans="1:22">
      <c r="A149" s="629" t="s">
        <v>829</v>
      </c>
      <c r="B149" s="631">
        <v>141</v>
      </c>
      <c r="C149" s="631">
        <v>59</v>
      </c>
      <c r="D149" s="631">
        <v>200</v>
      </c>
      <c r="E149" s="631">
        <v>222</v>
      </c>
      <c r="F149" s="631">
        <v>225</v>
      </c>
      <c r="G149" s="631">
        <v>447</v>
      </c>
      <c r="H149" s="631">
        <v>919</v>
      </c>
      <c r="I149" s="631">
        <v>1226</v>
      </c>
      <c r="J149" s="631">
        <v>2145</v>
      </c>
      <c r="K149" s="631">
        <v>32</v>
      </c>
      <c r="L149" s="631">
        <v>71</v>
      </c>
      <c r="M149" s="631">
        <v>103</v>
      </c>
      <c r="N149" s="631">
        <v>47</v>
      </c>
      <c r="O149" s="631">
        <v>62</v>
      </c>
      <c r="P149" s="631">
        <v>109</v>
      </c>
      <c r="Q149" s="631">
        <v>1363</v>
      </c>
      <c r="R149" s="631">
        <v>1648</v>
      </c>
      <c r="S149" s="631">
        <v>3011</v>
      </c>
      <c r="T149" s="631">
        <v>2</v>
      </c>
      <c r="U149" s="631">
        <v>5</v>
      </c>
      <c r="V149" s="631">
        <v>7</v>
      </c>
    </row>
    <row r="150" spans="1:22">
      <c r="A150" s="628" t="s">
        <v>828</v>
      </c>
      <c r="B150" s="613">
        <v>98</v>
      </c>
      <c r="C150" s="613">
        <v>39</v>
      </c>
      <c r="D150" s="613">
        <v>137</v>
      </c>
      <c r="E150" s="613">
        <v>263</v>
      </c>
      <c r="F150" s="613">
        <v>256</v>
      </c>
      <c r="G150" s="613">
        <v>519</v>
      </c>
      <c r="H150" s="613">
        <v>828</v>
      </c>
      <c r="I150" s="613">
        <v>1221</v>
      </c>
      <c r="J150" s="613">
        <v>2049</v>
      </c>
      <c r="K150" s="613">
        <v>22</v>
      </c>
      <c r="L150" s="613">
        <v>33</v>
      </c>
      <c r="M150" s="613">
        <v>55</v>
      </c>
      <c r="N150" s="613">
        <v>89</v>
      </c>
      <c r="O150" s="613">
        <v>94</v>
      </c>
      <c r="P150" s="613">
        <v>183</v>
      </c>
      <c r="Q150" s="613">
        <v>1300</v>
      </c>
      <c r="R150" s="613">
        <v>1643</v>
      </c>
      <c r="S150" s="613">
        <v>2943</v>
      </c>
      <c r="T150" s="613">
        <v>10</v>
      </c>
      <c r="U150" s="613">
        <v>1</v>
      </c>
      <c r="V150" s="613">
        <v>11</v>
      </c>
    </row>
    <row r="151" spans="1:22" ht="15">
      <c r="A151" s="632" t="s">
        <v>37</v>
      </c>
      <c r="B151" s="614"/>
      <c r="C151" s="633"/>
      <c r="D151" s="633"/>
      <c r="E151" s="633"/>
      <c r="F151" s="633"/>
      <c r="G151" s="634"/>
      <c r="H151" s="614"/>
      <c r="I151" s="633"/>
      <c r="J151" s="634"/>
      <c r="K151" s="614"/>
      <c r="L151" s="633"/>
      <c r="M151" s="633"/>
      <c r="N151" s="633"/>
      <c r="O151" s="633"/>
      <c r="P151" s="634"/>
      <c r="Q151" s="614"/>
      <c r="R151" s="633"/>
      <c r="S151" s="633"/>
      <c r="T151" s="633"/>
      <c r="U151" s="633"/>
      <c r="V151" s="634"/>
    </row>
    <row r="152" spans="1:22">
      <c r="A152" s="612" t="s">
        <v>832</v>
      </c>
      <c r="B152" s="321">
        <v>128</v>
      </c>
      <c r="C152" s="321">
        <v>29</v>
      </c>
      <c r="D152" s="321">
        <v>157</v>
      </c>
      <c r="E152" s="321">
        <v>262</v>
      </c>
      <c r="F152" s="321">
        <v>207</v>
      </c>
      <c r="G152" s="321">
        <v>469</v>
      </c>
      <c r="H152" s="321">
        <v>501</v>
      </c>
      <c r="I152" s="321">
        <v>467</v>
      </c>
      <c r="J152" s="321">
        <v>968</v>
      </c>
      <c r="K152" s="321">
        <v>36</v>
      </c>
      <c r="L152" s="321">
        <v>84</v>
      </c>
      <c r="M152" s="321">
        <v>120</v>
      </c>
      <c r="N152" s="321">
        <v>98</v>
      </c>
      <c r="O152" s="321">
        <v>99</v>
      </c>
      <c r="P152" s="321">
        <v>197</v>
      </c>
      <c r="Q152" s="321">
        <v>1032</v>
      </c>
      <c r="R152" s="321">
        <v>895</v>
      </c>
      <c r="S152" s="321">
        <v>1927</v>
      </c>
      <c r="T152" s="321">
        <v>7</v>
      </c>
      <c r="U152" s="321">
        <v>9</v>
      </c>
      <c r="V152" s="321">
        <v>16</v>
      </c>
    </row>
    <row r="153" spans="1:22">
      <c r="A153" s="628" t="s">
        <v>831</v>
      </c>
      <c r="B153" s="321">
        <v>118</v>
      </c>
      <c r="C153" s="321">
        <v>25</v>
      </c>
      <c r="D153" s="321">
        <v>143</v>
      </c>
      <c r="E153" s="321">
        <v>259</v>
      </c>
      <c r="F153" s="321">
        <v>203</v>
      </c>
      <c r="G153" s="321">
        <v>462</v>
      </c>
      <c r="H153" s="321">
        <v>479</v>
      </c>
      <c r="I153" s="321">
        <v>434</v>
      </c>
      <c r="J153" s="321">
        <v>913</v>
      </c>
      <c r="K153" s="321">
        <v>35</v>
      </c>
      <c r="L153" s="321">
        <v>90</v>
      </c>
      <c r="M153" s="321">
        <v>125</v>
      </c>
      <c r="N153" s="321">
        <v>97</v>
      </c>
      <c r="O153" s="321">
        <v>113</v>
      </c>
      <c r="P153" s="321">
        <v>210</v>
      </c>
      <c r="Q153" s="321">
        <v>994</v>
      </c>
      <c r="R153" s="321">
        <v>874</v>
      </c>
      <c r="S153" s="321">
        <v>1868</v>
      </c>
      <c r="T153" s="321">
        <v>6</v>
      </c>
      <c r="U153" s="321">
        <v>9</v>
      </c>
      <c r="V153" s="321">
        <v>15</v>
      </c>
    </row>
    <row r="154" spans="1:22">
      <c r="A154" s="628" t="s">
        <v>830</v>
      </c>
      <c r="B154" s="321">
        <v>107</v>
      </c>
      <c r="C154" s="321">
        <v>17</v>
      </c>
      <c r="D154" s="321">
        <v>124</v>
      </c>
      <c r="E154" s="321">
        <v>254</v>
      </c>
      <c r="F154" s="321">
        <v>203</v>
      </c>
      <c r="G154" s="321">
        <v>457</v>
      </c>
      <c r="H154" s="321">
        <v>453</v>
      </c>
      <c r="I154" s="321">
        <v>402</v>
      </c>
      <c r="J154" s="321">
        <v>855</v>
      </c>
      <c r="K154" s="321">
        <v>17</v>
      </c>
      <c r="L154" s="321">
        <v>72</v>
      </c>
      <c r="M154" s="321">
        <v>89</v>
      </c>
      <c r="N154" s="321">
        <v>88</v>
      </c>
      <c r="O154" s="321">
        <v>101</v>
      </c>
      <c r="P154" s="321">
        <v>189</v>
      </c>
      <c r="Q154" s="321">
        <v>928</v>
      </c>
      <c r="R154" s="321">
        <v>805</v>
      </c>
      <c r="S154" s="321">
        <v>1733</v>
      </c>
      <c r="T154" s="321">
        <v>9</v>
      </c>
      <c r="U154" s="321">
        <v>10</v>
      </c>
      <c r="V154" s="321">
        <v>19</v>
      </c>
    </row>
    <row r="155" spans="1:22">
      <c r="A155" s="628" t="s">
        <v>829</v>
      </c>
      <c r="B155" s="559">
        <v>106</v>
      </c>
      <c r="C155" s="559">
        <v>17</v>
      </c>
      <c r="D155" s="559">
        <v>123</v>
      </c>
      <c r="E155" s="559">
        <v>261</v>
      </c>
      <c r="F155" s="559">
        <v>197</v>
      </c>
      <c r="G155" s="559">
        <v>458</v>
      </c>
      <c r="H155" s="559">
        <v>439</v>
      </c>
      <c r="I155" s="559">
        <v>395</v>
      </c>
      <c r="J155" s="559">
        <v>834</v>
      </c>
      <c r="K155" s="559">
        <v>13</v>
      </c>
      <c r="L155" s="559">
        <v>77</v>
      </c>
      <c r="M155" s="559">
        <v>90</v>
      </c>
      <c r="N155" s="559">
        <v>80</v>
      </c>
      <c r="O155" s="559">
        <v>80</v>
      </c>
      <c r="P155" s="559">
        <v>160</v>
      </c>
      <c r="Q155" s="559">
        <v>901</v>
      </c>
      <c r="R155" s="559">
        <v>771</v>
      </c>
      <c r="S155" s="559">
        <v>1672</v>
      </c>
      <c r="T155" s="559">
        <v>2</v>
      </c>
      <c r="U155" s="559">
        <v>5</v>
      </c>
      <c r="V155" s="559">
        <v>7</v>
      </c>
    </row>
    <row r="156" spans="1:22">
      <c r="A156" s="628" t="s">
        <v>828</v>
      </c>
      <c r="B156" s="613">
        <v>99</v>
      </c>
      <c r="C156" s="613">
        <v>17</v>
      </c>
      <c r="D156" s="613">
        <v>116</v>
      </c>
      <c r="E156" s="613">
        <v>283</v>
      </c>
      <c r="F156" s="613">
        <v>211</v>
      </c>
      <c r="G156" s="613">
        <v>494</v>
      </c>
      <c r="H156" s="613">
        <v>353</v>
      </c>
      <c r="I156" s="613">
        <v>303</v>
      </c>
      <c r="J156" s="613">
        <v>656</v>
      </c>
      <c r="K156" s="613">
        <v>19</v>
      </c>
      <c r="L156" s="613">
        <v>82</v>
      </c>
      <c r="M156" s="613">
        <v>101</v>
      </c>
      <c r="N156" s="613">
        <v>164</v>
      </c>
      <c r="O156" s="613">
        <v>127</v>
      </c>
      <c r="P156" s="613">
        <v>291</v>
      </c>
      <c r="Q156" s="613">
        <v>918</v>
      </c>
      <c r="R156" s="613">
        <v>740</v>
      </c>
      <c r="S156" s="613">
        <v>1658</v>
      </c>
      <c r="T156" s="613">
        <v>17</v>
      </c>
      <c r="U156" s="613">
        <v>10</v>
      </c>
      <c r="V156" s="613">
        <v>27</v>
      </c>
    </row>
    <row r="157" spans="1:22" ht="15">
      <c r="A157" s="623" t="s">
        <v>38</v>
      </c>
      <c r="B157" s="624"/>
      <c r="C157" s="625"/>
      <c r="D157" s="625"/>
      <c r="E157" s="625"/>
      <c r="F157" s="625"/>
      <c r="G157" s="626"/>
      <c r="H157" s="624"/>
      <c r="I157" s="625"/>
      <c r="J157" s="626"/>
      <c r="K157" s="624"/>
      <c r="L157" s="625"/>
      <c r="M157" s="625"/>
      <c r="N157" s="625"/>
      <c r="O157" s="625"/>
      <c r="P157" s="626"/>
      <c r="Q157" s="624"/>
      <c r="R157" s="625"/>
      <c r="S157" s="625"/>
      <c r="T157" s="625"/>
      <c r="U157" s="625"/>
      <c r="V157" s="626"/>
    </row>
    <row r="158" spans="1:22">
      <c r="A158" s="612" t="s">
        <v>832</v>
      </c>
      <c r="B158" s="321">
        <v>112</v>
      </c>
      <c r="C158" s="321">
        <v>50</v>
      </c>
      <c r="D158" s="321">
        <v>162</v>
      </c>
      <c r="E158" s="321">
        <v>70</v>
      </c>
      <c r="F158" s="321">
        <v>99</v>
      </c>
      <c r="G158" s="321">
        <v>169</v>
      </c>
      <c r="H158" s="321">
        <v>824</v>
      </c>
      <c r="I158" s="321">
        <v>1127</v>
      </c>
      <c r="J158" s="321">
        <v>1951</v>
      </c>
      <c r="K158" s="321">
        <v>29</v>
      </c>
      <c r="L158" s="321">
        <v>57</v>
      </c>
      <c r="M158" s="321">
        <v>86</v>
      </c>
      <c r="N158" s="321">
        <v>19</v>
      </c>
      <c r="O158" s="321">
        <v>28</v>
      </c>
      <c r="P158" s="321">
        <v>47</v>
      </c>
      <c r="Q158" s="321">
        <v>1058</v>
      </c>
      <c r="R158" s="321">
        <v>1363</v>
      </c>
      <c r="S158" s="321">
        <v>2421</v>
      </c>
      <c r="T158" s="321">
        <v>4</v>
      </c>
      <c r="U158" s="321">
        <v>2</v>
      </c>
      <c r="V158" s="321">
        <v>6</v>
      </c>
    </row>
    <row r="159" spans="1:22">
      <c r="A159" s="628" t="s">
        <v>831</v>
      </c>
      <c r="B159" s="321">
        <v>115</v>
      </c>
      <c r="C159" s="321">
        <v>50</v>
      </c>
      <c r="D159" s="321">
        <v>165</v>
      </c>
      <c r="E159" s="321">
        <v>83</v>
      </c>
      <c r="F159" s="321">
        <v>97</v>
      </c>
      <c r="G159" s="321">
        <v>180</v>
      </c>
      <c r="H159" s="321">
        <v>812</v>
      </c>
      <c r="I159" s="321">
        <v>1097</v>
      </c>
      <c r="J159" s="321">
        <v>1909</v>
      </c>
      <c r="K159" s="321">
        <v>29</v>
      </c>
      <c r="L159" s="321">
        <v>50</v>
      </c>
      <c r="M159" s="321">
        <v>79</v>
      </c>
      <c r="N159" s="321">
        <v>20</v>
      </c>
      <c r="O159" s="321">
        <v>13</v>
      </c>
      <c r="P159" s="321">
        <v>33</v>
      </c>
      <c r="Q159" s="321">
        <v>1067</v>
      </c>
      <c r="R159" s="321">
        <v>1312</v>
      </c>
      <c r="S159" s="321">
        <v>2379</v>
      </c>
      <c r="T159" s="321">
        <v>8</v>
      </c>
      <c r="U159" s="321">
        <v>5</v>
      </c>
      <c r="V159" s="321">
        <v>13</v>
      </c>
    </row>
    <row r="160" spans="1:22">
      <c r="A160" s="628" t="s">
        <v>830</v>
      </c>
      <c r="B160" s="321">
        <v>99</v>
      </c>
      <c r="C160" s="321">
        <v>44</v>
      </c>
      <c r="D160" s="321">
        <v>143</v>
      </c>
      <c r="E160" s="321">
        <v>94</v>
      </c>
      <c r="F160" s="321">
        <v>96</v>
      </c>
      <c r="G160" s="321">
        <v>190</v>
      </c>
      <c r="H160" s="321">
        <v>758</v>
      </c>
      <c r="I160" s="321">
        <v>1060</v>
      </c>
      <c r="J160" s="321">
        <v>1818</v>
      </c>
      <c r="K160" s="321">
        <v>27</v>
      </c>
      <c r="L160" s="321">
        <v>48</v>
      </c>
      <c r="M160" s="321">
        <v>75</v>
      </c>
      <c r="N160" s="321">
        <v>20</v>
      </c>
      <c r="O160" s="321">
        <v>10</v>
      </c>
      <c r="P160" s="321">
        <v>30</v>
      </c>
      <c r="Q160" s="321">
        <v>1006</v>
      </c>
      <c r="R160" s="321">
        <v>1261</v>
      </c>
      <c r="S160" s="321">
        <v>2267</v>
      </c>
      <c r="T160" s="321">
        <v>8</v>
      </c>
      <c r="U160" s="321">
        <v>3</v>
      </c>
      <c r="V160" s="321">
        <v>11</v>
      </c>
    </row>
    <row r="161" spans="1:22">
      <c r="A161" s="629" t="s">
        <v>829</v>
      </c>
      <c r="B161" s="631">
        <v>108</v>
      </c>
      <c r="C161" s="631">
        <v>45</v>
      </c>
      <c r="D161" s="631">
        <v>153</v>
      </c>
      <c r="E161" s="631">
        <v>125</v>
      </c>
      <c r="F161" s="631">
        <v>138</v>
      </c>
      <c r="G161" s="631">
        <v>263</v>
      </c>
      <c r="H161" s="631">
        <v>701</v>
      </c>
      <c r="I161" s="631">
        <v>955</v>
      </c>
      <c r="J161" s="631">
        <v>1656</v>
      </c>
      <c r="K161" s="631">
        <v>31</v>
      </c>
      <c r="L161" s="631">
        <v>54</v>
      </c>
      <c r="M161" s="631">
        <v>85</v>
      </c>
      <c r="N161" s="631">
        <v>22</v>
      </c>
      <c r="O161" s="631">
        <v>12</v>
      </c>
      <c r="P161" s="631">
        <v>34</v>
      </c>
      <c r="Q161" s="631">
        <v>993</v>
      </c>
      <c r="R161" s="631">
        <v>1205</v>
      </c>
      <c r="S161" s="631">
        <v>2198</v>
      </c>
      <c r="T161" s="631">
        <v>6</v>
      </c>
      <c r="U161" s="631">
        <v>1</v>
      </c>
      <c r="V161" s="631">
        <v>7</v>
      </c>
    </row>
    <row r="162" spans="1:22">
      <c r="A162" s="628" t="s">
        <v>828</v>
      </c>
      <c r="B162" s="613">
        <v>98</v>
      </c>
      <c r="C162" s="613">
        <v>31</v>
      </c>
      <c r="D162" s="613">
        <v>129</v>
      </c>
      <c r="E162" s="613">
        <v>92</v>
      </c>
      <c r="F162" s="613">
        <v>106</v>
      </c>
      <c r="G162" s="613">
        <v>198</v>
      </c>
      <c r="H162" s="613">
        <v>791</v>
      </c>
      <c r="I162" s="613">
        <v>908</v>
      </c>
      <c r="J162" s="613">
        <v>1699</v>
      </c>
      <c r="K162" s="613">
        <v>23</v>
      </c>
      <c r="L162" s="613">
        <v>45</v>
      </c>
      <c r="M162" s="613">
        <v>68</v>
      </c>
      <c r="N162" s="613">
        <v>23</v>
      </c>
      <c r="O162" s="613">
        <v>33</v>
      </c>
      <c r="P162" s="613">
        <v>56</v>
      </c>
      <c r="Q162" s="613">
        <v>1027</v>
      </c>
      <c r="R162" s="613">
        <v>1123</v>
      </c>
      <c r="S162" s="613">
        <v>2150</v>
      </c>
      <c r="T162" s="613">
        <v>22</v>
      </c>
      <c r="U162" s="613">
        <v>18</v>
      </c>
      <c r="V162" s="613">
        <v>40</v>
      </c>
    </row>
    <row r="163" spans="1:22" ht="15">
      <c r="A163" s="623" t="s">
        <v>39</v>
      </c>
      <c r="B163" s="624"/>
      <c r="C163" s="625"/>
      <c r="D163" s="625"/>
      <c r="E163" s="625"/>
      <c r="F163" s="625"/>
      <c r="G163" s="626"/>
      <c r="H163" s="624"/>
      <c r="I163" s="625"/>
      <c r="J163" s="626"/>
      <c r="K163" s="624"/>
      <c r="L163" s="625"/>
      <c r="M163" s="625"/>
      <c r="N163" s="625"/>
      <c r="O163" s="625"/>
      <c r="P163" s="626"/>
      <c r="Q163" s="624"/>
      <c r="R163" s="625"/>
      <c r="S163" s="625"/>
      <c r="T163" s="625"/>
      <c r="U163" s="625"/>
      <c r="V163" s="626"/>
    </row>
    <row r="164" spans="1:22">
      <c r="A164" s="612" t="s">
        <v>832</v>
      </c>
      <c r="B164" s="321">
        <v>2325</v>
      </c>
      <c r="C164" s="321">
        <v>642</v>
      </c>
      <c r="D164" s="321">
        <v>2967</v>
      </c>
      <c r="E164" s="321">
        <v>2880</v>
      </c>
      <c r="F164" s="321">
        <v>1131</v>
      </c>
      <c r="G164" s="321">
        <v>4011</v>
      </c>
      <c r="H164" s="321">
        <v>17447</v>
      </c>
      <c r="I164" s="321">
        <v>10222</v>
      </c>
      <c r="J164" s="321">
        <v>27669</v>
      </c>
      <c r="K164" s="321">
        <v>1414</v>
      </c>
      <c r="L164" s="321">
        <v>2026</v>
      </c>
      <c r="M164" s="321">
        <v>3440</v>
      </c>
      <c r="N164" s="321">
        <v>847</v>
      </c>
      <c r="O164" s="321">
        <v>863</v>
      </c>
      <c r="P164" s="321">
        <v>1710</v>
      </c>
      <c r="Q164" s="321">
        <v>25065</v>
      </c>
      <c r="R164" s="321">
        <v>14991</v>
      </c>
      <c r="S164" s="321">
        <v>40056</v>
      </c>
      <c r="T164" s="321">
        <v>152</v>
      </c>
      <c r="U164" s="321">
        <v>107</v>
      </c>
      <c r="V164" s="321">
        <v>259</v>
      </c>
    </row>
    <row r="165" spans="1:22">
      <c r="A165" s="628" t="s">
        <v>831</v>
      </c>
      <c r="B165" s="321">
        <v>2261</v>
      </c>
      <c r="C165" s="321">
        <v>593</v>
      </c>
      <c r="D165" s="321">
        <v>2854</v>
      </c>
      <c r="E165" s="321">
        <v>2857</v>
      </c>
      <c r="F165" s="321">
        <v>1122</v>
      </c>
      <c r="G165" s="321">
        <v>3979</v>
      </c>
      <c r="H165" s="321">
        <v>16802</v>
      </c>
      <c r="I165" s="321">
        <v>9463</v>
      </c>
      <c r="J165" s="321">
        <v>26265</v>
      </c>
      <c r="K165" s="321">
        <v>1329</v>
      </c>
      <c r="L165" s="321">
        <v>1836</v>
      </c>
      <c r="M165" s="321">
        <v>3165</v>
      </c>
      <c r="N165" s="321">
        <v>797</v>
      </c>
      <c r="O165" s="321">
        <v>792</v>
      </c>
      <c r="P165" s="321">
        <v>1589</v>
      </c>
      <c r="Q165" s="321">
        <v>24205</v>
      </c>
      <c r="R165" s="321">
        <v>13892</v>
      </c>
      <c r="S165" s="321">
        <v>38097</v>
      </c>
      <c r="T165" s="321">
        <v>159</v>
      </c>
      <c r="U165" s="321">
        <v>86</v>
      </c>
      <c r="V165" s="321">
        <v>245</v>
      </c>
    </row>
    <row r="166" spans="1:22">
      <c r="A166" s="628" t="s">
        <v>830</v>
      </c>
      <c r="B166" s="321">
        <v>2073</v>
      </c>
      <c r="C166" s="321">
        <v>552</v>
      </c>
      <c r="D166" s="321">
        <v>2625</v>
      </c>
      <c r="E166" s="321">
        <v>2596</v>
      </c>
      <c r="F166" s="321">
        <v>998</v>
      </c>
      <c r="G166" s="321">
        <v>3594</v>
      </c>
      <c r="H166" s="321">
        <v>16535</v>
      </c>
      <c r="I166" s="321">
        <v>8903</v>
      </c>
      <c r="J166" s="321">
        <v>25438</v>
      </c>
      <c r="K166" s="321">
        <v>1274</v>
      </c>
      <c r="L166" s="321">
        <v>1738</v>
      </c>
      <c r="M166" s="321">
        <v>3012</v>
      </c>
      <c r="N166" s="321">
        <v>808</v>
      </c>
      <c r="O166" s="321">
        <v>780</v>
      </c>
      <c r="P166" s="321">
        <v>1588</v>
      </c>
      <c r="Q166" s="321">
        <v>23433</v>
      </c>
      <c r="R166" s="321">
        <v>13048</v>
      </c>
      <c r="S166" s="321">
        <v>36481</v>
      </c>
      <c r="T166" s="321">
        <v>147</v>
      </c>
      <c r="U166" s="321">
        <v>77</v>
      </c>
      <c r="V166" s="321">
        <v>224</v>
      </c>
    </row>
    <row r="167" spans="1:22">
      <c r="A167" s="629" t="s">
        <v>829</v>
      </c>
      <c r="B167" s="631">
        <v>2197</v>
      </c>
      <c r="C167" s="631">
        <v>598</v>
      </c>
      <c r="D167" s="631">
        <v>2795</v>
      </c>
      <c r="E167" s="631">
        <v>2583</v>
      </c>
      <c r="F167" s="631">
        <v>1050</v>
      </c>
      <c r="G167" s="631">
        <v>3633</v>
      </c>
      <c r="H167" s="631">
        <v>16854</v>
      </c>
      <c r="I167" s="631">
        <v>8894</v>
      </c>
      <c r="J167" s="631">
        <v>25748</v>
      </c>
      <c r="K167" s="631">
        <v>1396</v>
      </c>
      <c r="L167" s="631">
        <v>1751</v>
      </c>
      <c r="M167" s="631">
        <v>3147</v>
      </c>
      <c r="N167" s="631">
        <v>664</v>
      </c>
      <c r="O167" s="631">
        <v>617</v>
      </c>
      <c r="P167" s="631">
        <v>1281</v>
      </c>
      <c r="Q167" s="631">
        <v>23807</v>
      </c>
      <c r="R167" s="631">
        <v>12977</v>
      </c>
      <c r="S167" s="631">
        <v>36784</v>
      </c>
      <c r="T167" s="631">
        <v>113</v>
      </c>
      <c r="U167" s="631">
        <v>67</v>
      </c>
      <c r="V167" s="631">
        <v>180</v>
      </c>
    </row>
    <row r="168" spans="1:22">
      <c r="A168" s="628" t="s">
        <v>828</v>
      </c>
      <c r="B168" s="613">
        <v>2460</v>
      </c>
      <c r="C168" s="613">
        <v>612</v>
      </c>
      <c r="D168" s="613">
        <v>3072</v>
      </c>
      <c r="E168" s="613">
        <v>3187</v>
      </c>
      <c r="F168" s="613">
        <v>1179</v>
      </c>
      <c r="G168" s="613">
        <v>4366</v>
      </c>
      <c r="H168" s="613">
        <v>20317</v>
      </c>
      <c r="I168" s="613">
        <v>9424</v>
      </c>
      <c r="J168" s="613">
        <v>29741</v>
      </c>
      <c r="K168" s="613">
        <v>1886</v>
      </c>
      <c r="L168" s="613">
        <v>2061</v>
      </c>
      <c r="M168" s="613">
        <v>3947</v>
      </c>
      <c r="N168" s="613">
        <v>1307</v>
      </c>
      <c r="O168" s="613">
        <v>1215</v>
      </c>
      <c r="P168" s="613">
        <v>2522</v>
      </c>
      <c r="Q168" s="613">
        <v>29157</v>
      </c>
      <c r="R168" s="613">
        <v>14491</v>
      </c>
      <c r="S168" s="613">
        <v>43648</v>
      </c>
      <c r="T168" s="613">
        <v>408</v>
      </c>
      <c r="U168" s="613">
        <v>171</v>
      </c>
      <c r="V168" s="613">
        <v>579</v>
      </c>
    </row>
    <row r="169" spans="1:22" ht="15">
      <c r="A169" s="623" t="s">
        <v>40</v>
      </c>
      <c r="B169" s="624"/>
      <c r="C169" s="625"/>
      <c r="D169" s="625"/>
      <c r="E169" s="625"/>
      <c r="F169" s="625"/>
      <c r="G169" s="626"/>
      <c r="H169" s="624"/>
      <c r="I169" s="625"/>
      <c r="J169" s="626"/>
      <c r="K169" s="624"/>
      <c r="L169" s="625"/>
      <c r="M169" s="625"/>
      <c r="N169" s="625"/>
      <c r="O169" s="625"/>
      <c r="P169" s="626"/>
      <c r="Q169" s="624"/>
      <c r="R169" s="625"/>
      <c r="S169" s="625"/>
      <c r="T169" s="625"/>
      <c r="U169" s="625"/>
      <c r="V169" s="626"/>
    </row>
    <row r="170" spans="1:22">
      <c r="A170" s="612" t="s">
        <v>832</v>
      </c>
      <c r="B170" s="321">
        <v>754</v>
      </c>
      <c r="C170" s="321">
        <v>282</v>
      </c>
      <c r="D170" s="321">
        <v>1036</v>
      </c>
      <c r="E170" s="321">
        <v>508</v>
      </c>
      <c r="F170" s="321">
        <v>352</v>
      </c>
      <c r="G170" s="321">
        <v>860</v>
      </c>
      <c r="H170" s="321">
        <v>1941</v>
      </c>
      <c r="I170" s="321">
        <v>1564</v>
      </c>
      <c r="J170" s="321">
        <v>3505</v>
      </c>
      <c r="K170" s="321">
        <v>337</v>
      </c>
      <c r="L170" s="321">
        <v>551</v>
      </c>
      <c r="M170" s="321">
        <v>888</v>
      </c>
      <c r="N170" s="321">
        <v>34</v>
      </c>
      <c r="O170" s="321">
        <v>45</v>
      </c>
      <c r="P170" s="321">
        <v>79</v>
      </c>
      <c r="Q170" s="321">
        <v>3576</v>
      </c>
      <c r="R170" s="321">
        <v>2795</v>
      </c>
      <c r="S170" s="321">
        <v>6371</v>
      </c>
      <c r="T170" s="321">
        <v>2</v>
      </c>
      <c r="U170" s="321">
        <v>1</v>
      </c>
      <c r="V170" s="321">
        <v>3</v>
      </c>
    </row>
    <row r="171" spans="1:22">
      <c r="A171" s="628" t="s">
        <v>831</v>
      </c>
      <c r="B171" s="321">
        <v>648</v>
      </c>
      <c r="C171" s="321">
        <v>244</v>
      </c>
      <c r="D171" s="321">
        <v>892</v>
      </c>
      <c r="E171" s="321">
        <v>464</v>
      </c>
      <c r="F171" s="321">
        <v>276</v>
      </c>
      <c r="G171" s="321">
        <v>740</v>
      </c>
      <c r="H171" s="321">
        <v>1930</v>
      </c>
      <c r="I171" s="321">
        <v>1486</v>
      </c>
      <c r="J171" s="321">
        <v>3416</v>
      </c>
      <c r="K171" s="321">
        <v>298</v>
      </c>
      <c r="L171" s="321">
        <v>461</v>
      </c>
      <c r="M171" s="321">
        <v>759</v>
      </c>
      <c r="N171" s="321">
        <v>33</v>
      </c>
      <c r="O171" s="321">
        <v>37</v>
      </c>
      <c r="P171" s="321">
        <v>70</v>
      </c>
      <c r="Q171" s="321">
        <v>3375</v>
      </c>
      <c r="R171" s="321">
        <v>2504</v>
      </c>
      <c r="S171" s="321">
        <v>5879</v>
      </c>
      <c r="T171" s="321">
        <v>2</v>
      </c>
      <c r="U171" s="321">
        <v>0</v>
      </c>
      <c r="V171" s="321">
        <v>2</v>
      </c>
    </row>
    <row r="172" spans="1:22">
      <c r="A172" s="628" t="s">
        <v>830</v>
      </c>
      <c r="B172" s="321">
        <v>592</v>
      </c>
      <c r="C172" s="321">
        <v>215</v>
      </c>
      <c r="D172" s="321">
        <v>807</v>
      </c>
      <c r="E172" s="321">
        <v>495</v>
      </c>
      <c r="F172" s="321">
        <v>263</v>
      </c>
      <c r="G172" s="321">
        <v>758</v>
      </c>
      <c r="H172" s="321">
        <v>1741</v>
      </c>
      <c r="I172" s="321">
        <v>1433</v>
      </c>
      <c r="J172" s="321">
        <v>3174</v>
      </c>
      <c r="K172" s="321">
        <v>197</v>
      </c>
      <c r="L172" s="321">
        <v>380</v>
      </c>
      <c r="M172" s="321">
        <v>577</v>
      </c>
      <c r="N172" s="321">
        <v>54</v>
      </c>
      <c r="O172" s="321">
        <v>43</v>
      </c>
      <c r="P172" s="321">
        <v>97</v>
      </c>
      <c r="Q172" s="321">
        <v>3079</v>
      </c>
      <c r="R172" s="321">
        <v>2334</v>
      </c>
      <c r="S172" s="321">
        <v>5413</v>
      </c>
      <c r="T172" s="321">
        <v>0</v>
      </c>
      <c r="U172" s="321">
        <v>0</v>
      </c>
      <c r="V172" s="559">
        <v>0</v>
      </c>
    </row>
    <row r="173" spans="1:22">
      <c r="A173" s="629" t="s">
        <v>829</v>
      </c>
      <c r="B173" s="631">
        <v>601</v>
      </c>
      <c r="C173" s="631">
        <v>214</v>
      </c>
      <c r="D173" s="631">
        <v>815</v>
      </c>
      <c r="E173" s="631">
        <v>543</v>
      </c>
      <c r="F173" s="631">
        <v>258</v>
      </c>
      <c r="G173" s="631">
        <v>801</v>
      </c>
      <c r="H173" s="631">
        <v>1951</v>
      </c>
      <c r="I173" s="631">
        <v>1483</v>
      </c>
      <c r="J173" s="631">
        <v>3434</v>
      </c>
      <c r="K173" s="631">
        <v>237</v>
      </c>
      <c r="L173" s="631">
        <v>363</v>
      </c>
      <c r="M173" s="631">
        <v>600</v>
      </c>
      <c r="N173" s="631">
        <v>63</v>
      </c>
      <c r="O173" s="631">
        <v>37</v>
      </c>
      <c r="P173" s="631">
        <v>100</v>
      </c>
      <c r="Q173" s="631">
        <v>3395</v>
      </c>
      <c r="R173" s="631">
        <v>2355</v>
      </c>
      <c r="S173" s="631">
        <v>5750</v>
      </c>
      <c r="T173" s="631">
        <v>0</v>
      </c>
      <c r="U173" s="631">
        <v>0</v>
      </c>
      <c r="V173" s="631">
        <v>0</v>
      </c>
    </row>
    <row r="174" spans="1:22">
      <c r="A174" s="628" t="s">
        <v>828</v>
      </c>
      <c r="B174" s="613">
        <v>679</v>
      </c>
      <c r="C174" s="613">
        <v>214</v>
      </c>
      <c r="D174" s="613">
        <v>893</v>
      </c>
      <c r="E174" s="613">
        <v>655</v>
      </c>
      <c r="F174" s="613">
        <v>290</v>
      </c>
      <c r="G174" s="613">
        <v>945</v>
      </c>
      <c r="H174" s="613">
        <v>2344</v>
      </c>
      <c r="I174" s="613">
        <v>1570</v>
      </c>
      <c r="J174" s="613">
        <v>3914</v>
      </c>
      <c r="K174" s="613">
        <v>292</v>
      </c>
      <c r="L174" s="613">
        <v>338</v>
      </c>
      <c r="M174" s="613">
        <v>630</v>
      </c>
      <c r="N174" s="613">
        <v>101</v>
      </c>
      <c r="O174" s="613">
        <v>108</v>
      </c>
      <c r="P174" s="613">
        <v>209</v>
      </c>
      <c r="Q174" s="613">
        <v>4071</v>
      </c>
      <c r="R174" s="613">
        <v>2520</v>
      </c>
      <c r="S174" s="613">
        <v>6591</v>
      </c>
      <c r="T174" s="613">
        <v>10</v>
      </c>
      <c r="U174" s="613">
        <v>4</v>
      </c>
      <c r="V174" s="613">
        <v>14</v>
      </c>
    </row>
    <row r="175" spans="1:22" ht="15">
      <c r="A175" s="623" t="s">
        <v>41</v>
      </c>
      <c r="B175" s="624"/>
      <c r="C175" s="625"/>
      <c r="D175" s="625"/>
      <c r="E175" s="625"/>
      <c r="F175" s="625"/>
      <c r="G175" s="626"/>
      <c r="H175" s="624"/>
      <c r="I175" s="625"/>
      <c r="J175" s="626"/>
      <c r="K175" s="624"/>
      <c r="L175" s="625"/>
      <c r="M175" s="625"/>
      <c r="N175" s="625"/>
      <c r="O175" s="625"/>
      <c r="P175" s="626"/>
      <c r="Q175" s="624"/>
      <c r="R175" s="625"/>
      <c r="S175" s="625"/>
      <c r="T175" s="625"/>
      <c r="U175" s="625"/>
      <c r="V175" s="626"/>
    </row>
    <row r="176" spans="1:22">
      <c r="A176" s="612" t="s">
        <v>832</v>
      </c>
      <c r="B176" s="321">
        <v>2407</v>
      </c>
      <c r="C176" s="321">
        <v>1352</v>
      </c>
      <c r="D176" s="321">
        <v>3759</v>
      </c>
      <c r="E176" s="321">
        <v>2189</v>
      </c>
      <c r="F176" s="321">
        <v>2079</v>
      </c>
      <c r="G176" s="321">
        <v>4268</v>
      </c>
      <c r="H176" s="321">
        <v>15309</v>
      </c>
      <c r="I176" s="321">
        <v>22280</v>
      </c>
      <c r="J176" s="321">
        <v>37589</v>
      </c>
      <c r="K176" s="321">
        <v>536</v>
      </c>
      <c r="L176" s="321">
        <v>3729</v>
      </c>
      <c r="M176" s="321">
        <v>4265</v>
      </c>
      <c r="N176" s="321">
        <v>466</v>
      </c>
      <c r="O176" s="321">
        <v>1238</v>
      </c>
      <c r="P176" s="321">
        <v>1704</v>
      </c>
      <c r="Q176" s="321">
        <v>21105</v>
      </c>
      <c r="R176" s="321">
        <v>30967</v>
      </c>
      <c r="S176" s="321">
        <v>52072</v>
      </c>
      <c r="T176" s="321">
        <v>198</v>
      </c>
      <c r="U176" s="321">
        <v>289</v>
      </c>
      <c r="V176" s="321">
        <v>487</v>
      </c>
    </row>
    <row r="177" spans="1:22">
      <c r="A177" s="628" t="s">
        <v>831</v>
      </c>
      <c r="B177" s="321">
        <v>2344</v>
      </c>
      <c r="C177" s="321">
        <v>1353</v>
      </c>
      <c r="D177" s="321">
        <v>3697</v>
      </c>
      <c r="E177" s="321">
        <v>2220</v>
      </c>
      <c r="F177" s="321">
        <v>2081</v>
      </c>
      <c r="G177" s="321">
        <v>4301</v>
      </c>
      <c r="H177" s="321">
        <v>15202</v>
      </c>
      <c r="I177" s="321">
        <v>21862</v>
      </c>
      <c r="J177" s="321">
        <v>37064</v>
      </c>
      <c r="K177" s="321">
        <v>536</v>
      </c>
      <c r="L177" s="321">
        <v>3787</v>
      </c>
      <c r="M177" s="321">
        <v>4323</v>
      </c>
      <c r="N177" s="321">
        <v>423</v>
      </c>
      <c r="O177" s="321">
        <v>1366</v>
      </c>
      <c r="P177" s="321">
        <v>1789</v>
      </c>
      <c r="Q177" s="321">
        <v>20871</v>
      </c>
      <c r="R177" s="321">
        <v>30704</v>
      </c>
      <c r="S177" s="321">
        <v>51575</v>
      </c>
      <c r="T177" s="321">
        <v>146</v>
      </c>
      <c r="U177" s="321">
        <v>255</v>
      </c>
      <c r="V177" s="321">
        <v>401</v>
      </c>
    </row>
    <row r="178" spans="1:22">
      <c r="A178" s="628" t="s">
        <v>830</v>
      </c>
      <c r="B178" s="321">
        <v>2078</v>
      </c>
      <c r="C178" s="321">
        <v>1147</v>
      </c>
      <c r="D178" s="321">
        <v>3225</v>
      </c>
      <c r="E178" s="321">
        <v>1997</v>
      </c>
      <c r="F178" s="321">
        <v>1893</v>
      </c>
      <c r="G178" s="321">
        <v>3890</v>
      </c>
      <c r="H178" s="321">
        <v>13661</v>
      </c>
      <c r="I178" s="321">
        <v>19711</v>
      </c>
      <c r="J178" s="321">
        <v>33372</v>
      </c>
      <c r="K178" s="321">
        <v>493</v>
      </c>
      <c r="L178" s="321">
        <v>3253</v>
      </c>
      <c r="M178" s="321">
        <v>3746</v>
      </c>
      <c r="N178" s="321">
        <v>432</v>
      </c>
      <c r="O178" s="321">
        <v>1270</v>
      </c>
      <c r="P178" s="321">
        <v>1702</v>
      </c>
      <c r="Q178" s="321">
        <v>18770</v>
      </c>
      <c r="R178" s="321">
        <v>27514</v>
      </c>
      <c r="S178" s="321">
        <v>46284</v>
      </c>
      <c r="T178" s="321">
        <v>109</v>
      </c>
      <c r="U178" s="321">
        <v>240</v>
      </c>
      <c r="V178" s="321">
        <v>349</v>
      </c>
    </row>
    <row r="179" spans="1:22">
      <c r="A179" s="629" t="s">
        <v>829</v>
      </c>
      <c r="B179" s="631">
        <v>2262</v>
      </c>
      <c r="C179" s="631">
        <v>1309</v>
      </c>
      <c r="D179" s="631">
        <v>3571</v>
      </c>
      <c r="E179" s="631">
        <v>2279</v>
      </c>
      <c r="F179" s="631">
        <v>2120</v>
      </c>
      <c r="G179" s="631">
        <v>4399</v>
      </c>
      <c r="H179" s="631">
        <v>15509</v>
      </c>
      <c r="I179" s="631">
        <v>20549</v>
      </c>
      <c r="J179" s="631">
        <v>36058</v>
      </c>
      <c r="K179" s="631">
        <v>633</v>
      </c>
      <c r="L179" s="631">
        <v>4274</v>
      </c>
      <c r="M179" s="631">
        <v>4907</v>
      </c>
      <c r="N179" s="631">
        <v>473</v>
      </c>
      <c r="O179" s="631">
        <v>1379</v>
      </c>
      <c r="P179" s="631">
        <v>1852</v>
      </c>
      <c r="Q179" s="631">
        <v>21291</v>
      </c>
      <c r="R179" s="631">
        <v>29872</v>
      </c>
      <c r="S179" s="631">
        <v>51163</v>
      </c>
      <c r="T179" s="631">
        <v>133</v>
      </c>
      <c r="U179" s="631">
        <v>239</v>
      </c>
      <c r="V179" s="631">
        <v>372</v>
      </c>
    </row>
    <row r="180" spans="1:22">
      <c r="A180" s="628" t="s">
        <v>828</v>
      </c>
      <c r="B180" s="613">
        <v>2491</v>
      </c>
      <c r="C180" s="613">
        <v>1317</v>
      </c>
      <c r="D180" s="613">
        <v>3808</v>
      </c>
      <c r="E180" s="613">
        <v>2682</v>
      </c>
      <c r="F180" s="613">
        <v>2672</v>
      </c>
      <c r="G180" s="613">
        <v>5354</v>
      </c>
      <c r="H180" s="613">
        <v>17229</v>
      </c>
      <c r="I180" s="613">
        <v>18703</v>
      </c>
      <c r="J180" s="613">
        <v>35932</v>
      </c>
      <c r="K180" s="613">
        <v>905</v>
      </c>
      <c r="L180" s="613">
        <v>4290</v>
      </c>
      <c r="M180" s="613">
        <v>5195</v>
      </c>
      <c r="N180" s="613">
        <v>1562</v>
      </c>
      <c r="O180" s="613">
        <v>3856</v>
      </c>
      <c r="P180" s="613">
        <v>5418</v>
      </c>
      <c r="Q180" s="613">
        <v>24869</v>
      </c>
      <c r="R180" s="613">
        <v>30838</v>
      </c>
      <c r="S180" s="613">
        <v>55707</v>
      </c>
      <c r="T180" s="613">
        <v>136</v>
      </c>
      <c r="U180" s="613">
        <v>284</v>
      </c>
      <c r="V180" s="613">
        <v>420</v>
      </c>
    </row>
    <row r="181" spans="1:22" ht="15">
      <c r="A181" s="623" t="s">
        <v>42</v>
      </c>
      <c r="B181" s="624"/>
      <c r="C181" s="625"/>
      <c r="D181" s="625"/>
      <c r="E181" s="625"/>
      <c r="F181" s="625"/>
      <c r="G181" s="626"/>
      <c r="H181" s="624"/>
      <c r="I181" s="625"/>
      <c r="J181" s="626"/>
      <c r="K181" s="624"/>
      <c r="L181" s="625"/>
      <c r="M181" s="625"/>
      <c r="N181" s="625"/>
      <c r="O181" s="625"/>
      <c r="P181" s="626"/>
      <c r="Q181" s="624"/>
      <c r="R181" s="625"/>
      <c r="S181" s="625"/>
      <c r="T181" s="625"/>
      <c r="U181" s="625"/>
      <c r="V181" s="626"/>
    </row>
    <row r="182" spans="1:22">
      <c r="A182" s="612" t="s">
        <v>832</v>
      </c>
      <c r="B182" s="321">
        <v>5152</v>
      </c>
      <c r="C182" s="321">
        <v>1913</v>
      </c>
      <c r="D182" s="321">
        <v>7065</v>
      </c>
      <c r="E182" s="321">
        <v>4322</v>
      </c>
      <c r="F182" s="321">
        <v>2797</v>
      </c>
      <c r="G182" s="321">
        <v>7119</v>
      </c>
      <c r="H182" s="321">
        <v>36311</v>
      </c>
      <c r="I182" s="321">
        <v>22011</v>
      </c>
      <c r="J182" s="321">
        <v>58322</v>
      </c>
      <c r="K182" s="321">
        <v>2575</v>
      </c>
      <c r="L182" s="321">
        <v>1206</v>
      </c>
      <c r="M182" s="321">
        <v>3781</v>
      </c>
      <c r="N182" s="321">
        <v>515</v>
      </c>
      <c r="O182" s="321">
        <v>295</v>
      </c>
      <c r="P182" s="321">
        <v>810</v>
      </c>
      <c r="Q182" s="321">
        <v>49032</v>
      </c>
      <c r="R182" s="321">
        <v>28345</v>
      </c>
      <c r="S182" s="321">
        <v>77377</v>
      </c>
      <c r="T182" s="321">
        <v>157</v>
      </c>
      <c r="U182" s="321">
        <v>123</v>
      </c>
      <c r="V182" s="321">
        <v>280</v>
      </c>
    </row>
    <row r="183" spans="1:22">
      <c r="A183" s="628" t="s">
        <v>831</v>
      </c>
      <c r="B183" s="321">
        <v>4689</v>
      </c>
      <c r="C183" s="321">
        <v>1678</v>
      </c>
      <c r="D183" s="321">
        <v>6367</v>
      </c>
      <c r="E183" s="321">
        <v>3866</v>
      </c>
      <c r="F183" s="321">
        <v>2468</v>
      </c>
      <c r="G183" s="321">
        <v>6334</v>
      </c>
      <c r="H183" s="321">
        <v>33600</v>
      </c>
      <c r="I183" s="321">
        <v>20306</v>
      </c>
      <c r="J183" s="321">
        <v>53906</v>
      </c>
      <c r="K183" s="321">
        <v>2309</v>
      </c>
      <c r="L183" s="321">
        <v>1111</v>
      </c>
      <c r="M183" s="321">
        <v>3420</v>
      </c>
      <c r="N183" s="321">
        <v>474</v>
      </c>
      <c r="O183" s="321">
        <v>313</v>
      </c>
      <c r="P183" s="321">
        <v>787</v>
      </c>
      <c r="Q183" s="321">
        <v>45110</v>
      </c>
      <c r="R183" s="321">
        <v>25978</v>
      </c>
      <c r="S183" s="321">
        <v>71088</v>
      </c>
      <c r="T183" s="321">
        <v>172</v>
      </c>
      <c r="U183" s="321">
        <v>102</v>
      </c>
      <c r="V183" s="321">
        <v>274</v>
      </c>
    </row>
    <row r="184" spans="1:22">
      <c r="A184" s="628" t="s">
        <v>830</v>
      </c>
      <c r="B184" s="321">
        <v>4030</v>
      </c>
      <c r="C184" s="321">
        <v>1428</v>
      </c>
      <c r="D184" s="321">
        <v>5458</v>
      </c>
      <c r="E184" s="321">
        <v>2799</v>
      </c>
      <c r="F184" s="321">
        <v>1517</v>
      </c>
      <c r="G184" s="321">
        <v>4316</v>
      </c>
      <c r="H184" s="321">
        <v>28613</v>
      </c>
      <c r="I184" s="321">
        <v>17942</v>
      </c>
      <c r="J184" s="321">
        <v>46555</v>
      </c>
      <c r="K184" s="321">
        <v>1841</v>
      </c>
      <c r="L184" s="321">
        <v>904</v>
      </c>
      <c r="M184" s="321">
        <v>2745</v>
      </c>
      <c r="N184" s="321">
        <v>450</v>
      </c>
      <c r="O184" s="321">
        <v>305</v>
      </c>
      <c r="P184" s="321">
        <v>755</v>
      </c>
      <c r="Q184" s="321">
        <v>37863</v>
      </c>
      <c r="R184" s="321">
        <v>22182</v>
      </c>
      <c r="S184" s="321">
        <v>60045</v>
      </c>
      <c r="T184" s="321">
        <v>130</v>
      </c>
      <c r="U184" s="321">
        <v>86</v>
      </c>
      <c r="V184" s="321">
        <v>216</v>
      </c>
    </row>
    <row r="185" spans="1:22">
      <c r="A185" s="629" t="s">
        <v>829</v>
      </c>
      <c r="B185" s="631">
        <v>4545</v>
      </c>
      <c r="C185" s="631">
        <v>1638</v>
      </c>
      <c r="D185" s="631">
        <v>6183</v>
      </c>
      <c r="E185" s="631">
        <v>2576</v>
      </c>
      <c r="F185" s="631">
        <v>1226</v>
      </c>
      <c r="G185" s="631">
        <v>3802</v>
      </c>
      <c r="H185" s="631">
        <v>33399</v>
      </c>
      <c r="I185" s="631">
        <v>19118</v>
      </c>
      <c r="J185" s="631">
        <v>52517</v>
      </c>
      <c r="K185" s="631">
        <v>2068</v>
      </c>
      <c r="L185" s="631">
        <v>879</v>
      </c>
      <c r="M185" s="631">
        <v>2947</v>
      </c>
      <c r="N185" s="631">
        <v>494</v>
      </c>
      <c r="O185" s="631">
        <v>305</v>
      </c>
      <c r="P185" s="631">
        <v>799</v>
      </c>
      <c r="Q185" s="631">
        <v>43281</v>
      </c>
      <c r="R185" s="631">
        <v>23259</v>
      </c>
      <c r="S185" s="631">
        <v>66540</v>
      </c>
      <c r="T185" s="631">
        <v>197</v>
      </c>
      <c r="U185" s="631">
        <v>93</v>
      </c>
      <c r="V185" s="631">
        <v>290</v>
      </c>
    </row>
    <row r="186" spans="1:22">
      <c r="A186" s="628" t="s">
        <v>828</v>
      </c>
      <c r="B186" s="613">
        <v>5176</v>
      </c>
      <c r="C186" s="613">
        <v>1816</v>
      </c>
      <c r="D186" s="613">
        <v>6992</v>
      </c>
      <c r="E186" s="613">
        <v>3321</v>
      </c>
      <c r="F186" s="613">
        <v>1291</v>
      </c>
      <c r="G186" s="613">
        <v>4612</v>
      </c>
      <c r="H186" s="613">
        <v>35433</v>
      </c>
      <c r="I186" s="613">
        <v>18631</v>
      </c>
      <c r="J186" s="613">
        <v>54064</v>
      </c>
      <c r="K186" s="613">
        <v>1459</v>
      </c>
      <c r="L186" s="613">
        <v>579</v>
      </c>
      <c r="M186" s="613">
        <v>2038</v>
      </c>
      <c r="N186" s="613">
        <v>721</v>
      </c>
      <c r="O186" s="613">
        <v>477</v>
      </c>
      <c r="P186" s="613">
        <v>1198</v>
      </c>
      <c r="Q186" s="613">
        <v>46110</v>
      </c>
      <c r="R186" s="613">
        <v>22794</v>
      </c>
      <c r="S186" s="613">
        <v>68904</v>
      </c>
      <c r="T186" s="613">
        <v>230</v>
      </c>
      <c r="U186" s="613">
        <v>132</v>
      </c>
      <c r="V186" s="613">
        <v>362</v>
      </c>
    </row>
    <row r="187" spans="1:22" ht="15">
      <c r="A187" s="623" t="s">
        <v>43</v>
      </c>
      <c r="B187" s="624"/>
      <c r="C187" s="625"/>
      <c r="D187" s="625"/>
      <c r="E187" s="625"/>
      <c r="F187" s="625"/>
      <c r="G187" s="626"/>
      <c r="H187" s="624"/>
      <c r="I187" s="625"/>
      <c r="J187" s="626"/>
      <c r="K187" s="624"/>
      <c r="L187" s="625"/>
      <c r="M187" s="625"/>
      <c r="N187" s="625"/>
      <c r="O187" s="625"/>
      <c r="P187" s="626"/>
      <c r="Q187" s="624"/>
      <c r="R187" s="625"/>
      <c r="S187" s="625"/>
      <c r="T187" s="625"/>
      <c r="U187" s="625"/>
      <c r="V187" s="626"/>
    </row>
    <row r="188" spans="1:22">
      <c r="A188" s="612" t="s">
        <v>832</v>
      </c>
      <c r="B188" s="321">
        <v>101</v>
      </c>
      <c r="C188" s="321">
        <v>29</v>
      </c>
      <c r="D188" s="321">
        <v>130</v>
      </c>
      <c r="E188" s="321">
        <v>132</v>
      </c>
      <c r="F188" s="321">
        <v>59</v>
      </c>
      <c r="G188" s="321">
        <v>191</v>
      </c>
      <c r="H188" s="321">
        <v>729</v>
      </c>
      <c r="I188" s="321">
        <v>537</v>
      </c>
      <c r="J188" s="321">
        <v>1266</v>
      </c>
      <c r="K188" s="321">
        <v>26</v>
      </c>
      <c r="L188" s="321">
        <v>52</v>
      </c>
      <c r="M188" s="321">
        <v>78</v>
      </c>
      <c r="N188" s="321">
        <v>8</v>
      </c>
      <c r="O188" s="321">
        <v>30</v>
      </c>
      <c r="P188" s="321">
        <v>38</v>
      </c>
      <c r="Q188" s="321">
        <v>1000</v>
      </c>
      <c r="R188" s="321">
        <v>711</v>
      </c>
      <c r="S188" s="321">
        <v>1711</v>
      </c>
      <c r="T188" s="321">
        <v>4</v>
      </c>
      <c r="U188" s="321">
        <v>4</v>
      </c>
      <c r="V188" s="321">
        <v>8</v>
      </c>
    </row>
    <row r="189" spans="1:22" ht="15.75" customHeight="1">
      <c r="A189" s="628" t="s">
        <v>831</v>
      </c>
      <c r="B189" s="321">
        <v>97</v>
      </c>
      <c r="C189" s="321">
        <v>29</v>
      </c>
      <c r="D189" s="321">
        <v>126</v>
      </c>
      <c r="E189" s="321">
        <v>115</v>
      </c>
      <c r="F189" s="321">
        <v>49</v>
      </c>
      <c r="G189" s="321">
        <v>164</v>
      </c>
      <c r="H189" s="321">
        <v>676</v>
      </c>
      <c r="I189" s="321">
        <v>484</v>
      </c>
      <c r="J189" s="321">
        <v>1160</v>
      </c>
      <c r="K189" s="321">
        <v>30</v>
      </c>
      <c r="L189" s="321">
        <v>62</v>
      </c>
      <c r="M189" s="321">
        <v>92</v>
      </c>
      <c r="N189" s="321">
        <v>6</v>
      </c>
      <c r="O189" s="321">
        <v>7</v>
      </c>
      <c r="P189" s="321">
        <v>13</v>
      </c>
      <c r="Q189" s="321">
        <v>929</v>
      </c>
      <c r="R189" s="321">
        <v>635</v>
      </c>
      <c r="S189" s="321">
        <v>1564</v>
      </c>
      <c r="T189" s="321">
        <v>5</v>
      </c>
      <c r="U189" s="321">
        <v>4</v>
      </c>
      <c r="V189" s="321">
        <v>9</v>
      </c>
    </row>
    <row r="190" spans="1:22">
      <c r="A190" s="628" t="s">
        <v>830</v>
      </c>
      <c r="B190" s="321">
        <v>94</v>
      </c>
      <c r="C190" s="321">
        <v>31</v>
      </c>
      <c r="D190" s="321">
        <v>125</v>
      </c>
      <c r="E190" s="321">
        <v>111</v>
      </c>
      <c r="F190" s="321">
        <v>46</v>
      </c>
      <c r="G190" s="321">
        <v>157</v>
      </c>
      <c r="H190" s="321">
        <v>631</v>
      </c>
      <c r="I190" s="321">
        <v>438</v>
      </c>
      <c r="J190" s="321">
        <v>1069</v>
      </c>
      <c r="K190" s="321">
        <v>35</v>
      </c>
      <c r="L190" s="321">
        <v>71</v>
      </c>
      <c r="M190" s="321">
        <v>106</v>
      </c>
      <c r="N190" s="321">
        <v>8</v>
      </c>
      <c r="O190" s="321">
        <v>8</v>
      </c>
      <c r="P190" s="321">
        <v>16</v>
      </c>
      <c r="Q190" s="321">
        <v>883</v>
      </c>
      <c r="R190" s="321">
        <v>600</v>
      </c>
      <c r="S190" s="321">
        <v>1483</v>
      </c>
      <c r="T190" s="321">
        <v>4</v>
      </c>
      <c r="U190" s="321">
        <v>6</v>
      </c>
      <c r="V190" s="321">
        <v>10</v>
      </c>
    </row>
    <row r="191" spans="1:22">
      <c r="A191" s="629" t="s">
        <v>829</v>
      </c>
      <c r="B191" s="631">
        <v>76</v>
      </c>
      <c r="C191" s="631">
        <v>27</v>
      </c>
      <c r="D191" s="631">
        <v>103</v>
      </c>
      <c r="E191" s="631">
        <v>102</v>
      </c>
      <c r="F191" s="631">
        <v>44</v>
      </c>
      <c r="G191" s="631">
        <v>146</v>
      </c>
      <c r="H191" s="631">
        <v>542</v>
      </c>
      <c r="I191" s="631">
        <v>374</v>
      </c>
      <c r="J191" s="631">
        <v>916</v>
      </c>
      <c r="K191" s="631">
        <v>50</v>
      </c>
      <c r="L191" s="631">
        <v>80</v>
      </c>
      <c r="M191" s="631">
        <v>130</v>
      </c>
      <c r="N191" s="631">
        <v>1</v>
      </c>
      <c r="O191" s="631">
        <v>6</v>
      </c>
      <c r="P191" s="631">
        <v>7</v>
      </c>
      <c r="Q191" s="631">
        <v>771</v>
      </c>
      <c r="R191" s="631">
        <v>531</v>
      </c>
      <c r="S191" s="631">
        <v>1302</v>
      </c>
      <c r="T191" s="631">
        <v>0</v>
      </c>
      <c r="U191" s="631">
        <v>0</v>
      </c>
      <c r="V191" s="631">
        <v>0</v>
      </c>
    </row>
    <row r="192" spans="1:22">
      <c r="A192" s="628" t="s">
        <v>828</v>
      </c>
      <c r="B192" s="613">
        <v>81</v>
      </c>
      <c r="C192" s="613">
        <v>29</v>
      </c>
      <c r="D192" s="613">
        <v>110</v>
      </c>
      <c r="E192" s="613">
        <v>100</v>
      </c>
      <c r="F192" s="613">
        <v>39</v>
      </c>
      <c r="G192" s="613">
        <v>139</v>
      </c>
      <c r="H192" s="613">
        <v>453</v>
      </c>
      <c r="I192" s="613">
        <v>278</v>
      </c>
      <c r="J192" s="613">
        <v>731</v>
      </c>
      <c r="K192" s="613">
        <v>108</v>
      </c>
      <c r="L192" s="613">
        <v>152</v>
      </c>
      <c r="M192" s="613">
        <v>260</v>
      </c>
      <c r="N192" s="613">
        <v>84</v>
      </c>
      <c r="O192" s="613">
        <v>74</v>
      </c>
      <c r="P192" s="613">
        <v>158</v>
      </c>
      <c r="Q192" s="613">
        <v>826</v>
      </c>
      <c r="R192" s="613">
        <v>572</v>
      </c>
      <c r="S192" s="613">
        <v>1398</v>
      </c>
      <c r="T192" s="613">
        <v>3</v>
      </c>
      <c r="U192" s="613">
        <v>9</v>
      </c>
      <c r="V192" s="613">
        <v>12</v>
      </c>
    </row>
    <row r="193" spans="1:22" ht="15">
      <c r="A193" s="623" t="s">
        <v>44</v>
      </c>
      <c r="B193" s="624"/>
      <c r="C193" s="625"/>
      <c r="D193" s="625"/>
      <c r="E193" s="625"/>
      <c r="F193" s="625"/>
      <c r="G193" s="626"/>
      <c r="H193" s="624"/>
      <c r="I193" s="625"/>
      <c r="J193" s="626"/>
      <c r="K193" s="624"/>
      <c r="L193" s="625"/>
      <c r="M193" s="625"/>
      <c r="N193" s="625"/>
      <c r="O193" s="625"/>
      <c r="P193" s="626"/>
      <c r="Q193" s="624"/>
      <c r="R193" s="625"/>
      <c r="S193" s="625"/>
      <c r="T193" s="625"/>
      <c r="U193" s="625"/>
      <c r="V193" s="626"/>
    </row>
    <row r="194" spans="1:22">
      <c r="A194" s="612" t="s">
        <v>832</v>
      </c>
      <c r="B194" s="321">
        <v>11804</v>
      </c>
      <c r="C194" s="321">
        <v>5628</v>
      </c>
      <c r="D194" s="321">
        <v>17432</v>
      </c>
      <c r="E194" s="321">
        <v>11581</v>
      </c>
      <c r="F194" s="321">
        <v>8847</v>
      </c>
      <c r="G194" s="321">
        <v>20428</v>
      </c>
      <c r="H194" s="321">
        <v>74366</v>
      </c>
      <c r="I194" s="321">
        <v>77009</v>
      </c>
      <c r="J194" s="321">
        <v>151375</v>
      </c>
      <c r="K194" s="321">
        <v>2286</v>
      </c>
      <c r="L194" s="321">
        <v>5484</v>
      </c>
      <c r="M194" s="321">
        <v>7770</v>
      </c>
      <c r="N194" s="321">
        <v>2223</v>
      </c>
      <c r="O194" s="321">
        <v>2512</v>
      </c>
      <c r="P194" s="321">
        <v>4735</v>
      </c>
      <c r="Q194" s="321">
        <v>102469</v>
      </c>
      <c r="R194" s="321">
        <v>99616</v>
      </c>
      <c r="S194" s="321">
        <v>202085</v>
      </c>
      <c r="T194" s="321">
        <v>209</v>
      </c>
      <c r="U194" s="321">
        <v>136</v>
      </c>
      <c r="V194" s="321">
        <v>345</v>
      </c>
    </row>
    <row r="195" spans="1:22">
      <c r="A195" s="628" t="s">
        <v>831</v>
      </c>
      <c r="B195" s="321">
        <v>10975</v>
      </c>
      <c r="C195" s="321">
        <v>5162</v>
      </c>
      <c r="D195" s="321">
        <v>16137</v>
      </c>
      <c r="E195" s="321">
        <v>11262</v>
      </c>
      <c r="F195" s="321">
        <v>8260</v>
      </c>
      <c r="G195" s="321">
        <v>19522</v>
      </c>
      <c r="H195" s="321">
        <v>73693</v>
      </c>
      <c r="I195" s="321">
        <v>74475</v>
      </c>
      <c r="J195" s="321">
        <v>148168</v>
      </c>
      <c r="K195" s="321">
        <v>2159</v>
      </c>
      <c r="L195" s="321">
        <v>5299</v>
      </c>
      <c r="M195" s="321">
        <v>7458</v>
      </c>
      <c r="N195" s="321">
        <v>2206</v>
      </c>
      <c r="O195" s="321">
        <v>2274</v>
      </c>
      <c r="P195" s="321">
        <v>4480</v>
      </c>
      <c r="Q195" s="321">
        <v>100433</v>
      </c>
      <c r="R195" s="321">
        <v>95560</v>
      </c>
      <c r="S195" s="321">
        <v>195993</v>
      </c>
      <c r="T195" s="321">
        <v>138</v>
      </c>
      <c r="U195" s="321">
        <v>90</v>
      </c>
      <c r="V195" s="321">
        <v>228</v>
      </c>
    </row>
    <row r="196" spans="1:22">
      <c r="A196" s="628" t="s">
        <v>830</v>
      </c>
      <c r="B196" s="321">
        <v>10376</v>
      </c>
      <c r="C196" s="321">
        <v>4907</v>
      </c>
      <c r="D196" s="321">
        <v>15283</v>
      </c>
      <c r="E196" s="321">
        <v>10979</v>
      </c>
      <c r="F196" s="321">
        <v>7954</v>
      </c>
      <c r="G196" s="321">
        <v>18933</v>
      </c>
      <c r="H196" s="321">
        <v>74130</v>
      </c>
      <c r="I196" s="321">
        <v>72638</v>
      </c>
      <c r="J196" s="321">
        <v>146768</v>
      </c>
      <c r="K196" s="321">
        <v>2158</v>
      </c>
      <c r="L196" s="321">
        <v>4980</v>
      </c>
      <c r="M196" s="321">
        <v>7138</v>
      </c>
      <c r="N196" s="321">
        <v>1951</v>
      </c>
      <c r="O196" s="321">
        <v>1959</v>
      </c>
      <c r="P196" s="321">
        <v>3910</v>
      </c>
      <c r="Q196" s="321">
        <v>99790</v>
      </c>
      <c r="R196" s="321">
        <v>92510</v>
      </c>
      <c r="S196" s="321">
        <v>192300</v>
      </c>
      <c r="T196" s="321">
        <v>196</v>
      </c>
      <c r="U196" s="321">
        <v>72</v>
      </c>
      <c r="V196" s="321">
        <v>268</v>
      </c>
    </row>
    <row r="197" spans="1:22">
      <c r="A197" s="629" t="s">
        <v>829</v>
      </c>
      <c r="B197" s="631">
        <v>10785</v>
      </c>
      <c r="C197" s="631">
        <v>4800</v>
      </c>
      <c r="D197" s="631">
        <v>15585</v>
      </c>
      <c r="E197" s="631">
        <v>11090</v>
      </c>
      <c r="F197" s="631">
        <v>7682</v>
      </c>
      <c r="G197" s="631">
        <v>18772</v>
      </c>
      <c r="H197" s="631">
        <v>75297</v>
      </c>
      <c r="I197" s="631">
        <v>70112</v>
      </c>
      <c r="J197" s="631">
        <v>145409</v>
      </c>
      <c r="K197" s="631">
        <v>2189</v>
      </c>
      <c r="L197" s="631">
        <v>4795</v>
      </c>
      <c r="M197" s="631">
        <v>6984</v>
      </c>
      <c r="N197" s="631">
        <v>1698</v>
      </c>
      <c r="O197" s="631">
        <v>1558</v>
      </c>
      <c r="P197" s="631">
        <v>3256</v>
      </c>
      <c r="Q197" s="631">
        <v>101257</v>
      </c>
      <c r="R197" s="631">
        <v>89035</v>
      </c>
      <c r="S197" s="631">
        <v>190292</v>
      </c>
      <c r="T197" s="631">
        <v>197</v>
      </c>
      <c r="U197" s="631">
        <v>86</v>
      </c>
      <c r="V197" s="631">
        <v>283</v>
      </c>
    </row>
    <row r="198" spans="1:22">
      <c r="A198" s="628" t="s">
        <v>828</v>
      </c>
      <c r="B198" s="613">
        <v>13297</v>
      </c>
      <c r="C198" s="613">
        <v>5558</v>
      </c>
      <c r="D198" s="613">
        <v>18855</v>
      </c>
      <c r="E198" s="613">
        <v>12833</v>
      </c>
      <c r="F198" s="613">
        <v>8562</v>
      </c>
      <c r="G198" s="613">
        <v>21395</v>
      </c>
      <c r="H198" s="613">
        <v>83587</v>
      </c>
      <c r="I198" s="613">
        <v>72244</v>
      </c>
      <c r="J198" s="613">
        <v>155831</v>
      </c>
      <c r="K198" s="613">
        <v>2536</v>
      </c>
      <c r="L198" s="613">
        <v>5519</v>
      </c>
      <c r="M198" s="613">
        <v>8055</v>
      </c>
      <c r="N198" s="613">
        <v>2618</v>
      </c>
      <c r="O198" s="613">
        <v>2474</v>
      </c>
      <c r="P198" s="613">
        <v>5092</v>
      </c>
      <c r="Q198" s="613">
        <v>114871</v>
      </c>
      <c r="R198" s="613">
        <v>94357</v>
      </c>
      <c r="S198" s="613">
        <v>209228</v>
      </c>
      <c r="T198" s="613">
        <v>354</v>
      </c>
      <c r="U198" s="613">
        <v>155</v>
      </c>
      <c r="V198" s="613">
        <v>509</v>
      </c>
    </row>
    <row r="199" spans="1:22" ht="15">
      <c r="A199" s="623" t="s">
        <v>134</v>
      </c>
      <c r="B199" s="624"/>
      <c r="C199" s="625"/>
      <c r="D199" s="625"/>
      <c r="E199" s="625"/>
      <c r="F199" s="625"/>
      <c r="G199" s="626"/>
      <c r="H199" s="624"/>
      <c r="I199" s="625"/>
      <c r="J199" s="626"/>
      <c r="K199" s="624"/>
      <c r="L199" s="625"/>
      <c r="M199" s="625"/>
      <c r="N199" s="625"/>
      <c r="O199" s="625"/>
      <c r="P199" s="626"/>
      <c r="Q199" s="624"/>
      <c r="R199" s="625"/>
      <c r="S199" s="625"/>
      <c r="T199" s="625"/>
      <c r="U199" s="625"/>
      <c r="V199" s="626"/>
    </row>
    <row r="200" spans="1:22">
      <c r="A200" s="612" t="s">
        <v>832</v>
      </c>
      <c r="B200" s="321">
        <v>5482</v>
      </c>
      <c r="C200" s="321">
        <v>1708</v>
      </c>
      <c r="D200" s="321">
        <v>7190</v>
      </c>
      <c r="E200" s="321">
        <v>4715</v>
      </c>
      <c r="F200" s="321">
        <v>2729</v>
      </c>
      <c r="G200" s="321">
        <v>7444</v>
      </c>
      <c r="H200" s="321">
        <v>36653</v>
      </c>
      <c r="I200" s="321">
        <v>25470</v>
      </c>
      <c r="J200" s="321">
        <v>62123</v>
      </c>
      <c r="K200" s="321">
        <v>888</v>
      </c>
      <c r="L200" s="321">
        <v>2319</v>
      </c>
      <c r="M200" s="321">
        <v>3207</v>
      </c>
      <c r="N200" s="321">
        <v>1535</v>
      </c>
      <c r="O200" s="321">
        <v>1086</v>
      </c>
      <c r="P200" s="321">
        <v>2621</v>
      </c>
      <c r="Q200" s="321">
        <v>49351</v>
      </c>
      <c r="R200" s="321">
        <v>33352</v>
      </c>
      <c r="S200" s="321">
        <v>82703</v>
      </c>
      <c r="T200" s="321">
        <v>78</v>
      </c>
      <c r="U200" s="321">
        <v>40</v>
      </c>
      <c r="V200" s="321">
        <v>118</v>
      </c>
    </row>
    <row r="201" spans="1:22">
      <c r="A201" s="628" t="s">
        <v>831</v>
      </c>
      <c r="B201" s="321">
        <v>5261</v>
      </c>
      <c r="C201" s="321">
        <v>1556</v>
      </c>
      <c r="D201" s="321">
        <v>6817</v>
      </c>
      <c r="E201" s="321">
        <v>4356</v>
      </c>
      <c r="F201" s="321">
        <v>2432</v>
      </c>
      <c r="G201" s="321">
        <v>6788</v>
      </c>
      <c r="H201" s="321">
        <v>36881</v>
      </c>
      <c r="I201" s="321">
        <v>24506</v>
      </c>
      <c r="J201" s="321">
        <v>61387</v>
      </c>
      <c r="K201" s="321">
        <v>658</v>
      </c>
      <c r="L201" s="321">
        <v>1890</v>
      </c>
      <c r="M201" s="321">
        <v>2548</v>
      </c>
      <c r="N201" s="321">
        <v>1532</v>
      </c>
      <c r="O201" s="321">
        <v>1130</v>
      </c>
      <c r="P201" s="321">
        <v>2662</v>
      </c>
      <c r="Q201" s="321">
        <v>48761</v>
      </c>
      <c r="R201" s="321">
        <v>31557</v>
      </c>
      <c r="S201" s="321">
        <v>80318</v>
      </c>
      <c r="T201" s="321">
        <v>73</v>
      </c>
      <c r="U201" s="321">
        <v>43</v>
      </c>
      <c r="V201" s="321">
        <v>116</v>
      </c>
    </row>
    <row r="202" spans="1:22">
      <c r="A202" s="628" t="s">
        <v>830</v>
      </c>
      <c r="B202" s="321">
        <v>4352</v>
      </c>
      <c r="C202" s="321">
        <v>1149</v>
      </c>
      <c r="D202" s="321">
        <v>5501</v>
      </c>
      <c r="E202" s="321">
        <v>3900</v>
      </c>
      <c r="F202" s="321">
        <v>2135</v>
      </c>
      <c r="G202" s="321">
        <v>6035</v>
      </c>
      <c r="H202" s="321">
        <v>35955</v>
      </c>
      <c r="I202" s="321">
        <v>23027</v>
      </c>
      <c r="J202" s="321">
        <v>58982</v>
      </c>
      <c r="K202" s="321">
        <v>269</v>
      </c>
      <c r="L202" s="321">
        <v>1185</v>
      </c>
      <c r="M202" s="321">
        <v>1454</v>
      </c>
      <c r="N202" s="321">
        <v>1283</v>
      </c>
      <c r="O202" s="321">
        <v>1007</v>
      </c>
      <c r="P202" s="321">
        <v>2290</v>
      </c>
      <c r="Q202" s="321">
        <v>45811</v>
      </c>
      <c r="R202" s="321">
        <v>28531</v>
      </c>
      <c r="S202" s="321">
        <v>74342</v>
      </c>
      <c r="T202" s="321">
        <v>52</v>
      </c>
      <c r="U202" s="321">
        <v>28</v>
      </c>
      <c r="V202" s="321">
        <v>80</v>
      </c>
    </row>
    <row r="203" spans="1:22">
      <c r="A203" s="629" t="s">
        <v>829</v>
      </c>
      <c r="B203" s="631">
        <v>4793</v>
      </c>
      <c r="C203" s="631">
        <v>1235</v>
      </c>
      <c r="D203" s="631">
        <v>6028</v>
      </c>
      <c r="E203" s="631">
        <v>4404</v>
      </c>
      <c r="F203" s="631">
        <v>2278</v>
      </c>
      <c r="G203" s="631">
        <v>6682</v>
      </c>
      <c r="H203" s="631">
        <v>42078</v>
      </c>
      <c r="I203" s="631">
        <v>24537</v>
      </c>
      <c r="J203" s="631">
        <v>66615</v>
      </c>
      <c r="K203" s="631">
        <v>405</v>
      </c>
      <c r="L203" s="631">
        <v>2036</v>
      </c>
      <c r="M203" s="631">
        <v>2441</v>
      </c>
      <c r="N203" s="631">
        <v>1337</v>
      </c>
      <c r="O203" s="631">
        <v>1060</v>
      </c>
      <c r="P203" s="631">
        <v>2397</v>
      </c>
      <c r="Q203" s="631">
        <v>53066</v>
      </c>
      <c r="R203" s="631">
        <v>31167</v>
      </c>
      <c r="S203" s="631">
        <v>84233</v>
      </c>
      <c r="T203" s="631">
        <v>49</v>
      </c>
      <c r="U203" s="631">
        <v>21</v>
      </c>
      <c r="V203" s="631">
        <v>70</v>
      </c>
    </row>
    <row r="204" spans="1:22">
      <c r="A204" s="628" t="s">
        <v>828</v>
      </c>
      <c r="B204" s="613">
        <v>6026</v>
      </c>
      <c r="C204" s="613">
        <v>1568</v>
      </c>
      <c r="D204" s="613">
        <v>7594</v>
      </c>
      <c r="E204" s="613">
        <v>6252</v>
      </c>
      <c r="F204" s="613">
        <v>3050</v>
      </c>
      <c r="G204" s="613">
        <v>9302</v>
      </c>
      <c r="H204" s="613">
        <v>44302</v>
      </c>
      <c r="I204" s="613">
        <v>25055</v>
      </c>
      <c r="J204" s="613">
        <v>69357</v>
      </c>
      <c r="K204" s="613">
        <v>568</v>
      </c>
      <c r="L204" s="613">
        <v>2225</v>
      </c>
      <c r="M204" s="613">
        <v>2793</v>
      </c>
      <c r="N204" s="613">
        <v>2120</v>
      </c>
      <c r="O204" s="613">
        <v>1559</v>
      </c>
      <c r="P204" s="613">
        <v>3679</v>
      </c>
      <c r="Q204" s="613">
        <v>59268</v>
      </c>
      <c r="R204" s="613">
        <v>33457</v>
      </c>
      <c r="S204" s="613">
        <v>92725</v>
      </c>
      <c r="T204" s="613">
        <v>135</v>
      </c>
      <c r="U204" s="613">
        <v>71</v>
      </c>
      <c r="V204" s="613">
        <v>206</v>
      </c>
    </row>
    <row r="205" spans="1:22" ht="15">
      <c r="A205" s="623" t="s">
        <v>45</v>
      </c>
      <c r="B205" s="624"/>
      <c r="C205" s="625"/>
      <c r="D205" s="625"/>
      <c r="E205" s="625"/>
      <c r="F205" s="625"/>
      <c r="G205" s="626"/>
      <c r="H205" s="624"/>
      <c r="I205" s="625"/>
      <c r="J205" s="626"/>
      <c r="K205" s="624"/>
      <c r="L205" s="625"/>
      <c r="M205" s="625"/>
      <c r="N205" s="625"/>
      <c r="O205" s="625"/>
      <c r="P205" s="626"/>
      <c r="Q205" s="624"/>
      <c r="R205" s="625"/>
      <c r="S205" s="625"/>
      <c r="T205" s="625"/>
      <c r="U205" s="625"/>
      <c r="V205" s="626"/>
    </row>
    <row r="206" spans="1:22">
      <c r="A206" s="612" t="s">
        <v>832</v>
      </c>
      <c r="B206" s="321">
        <v>114</v>
      </c>
      <c r="C206" s="321">
        <v>29</v>
      </c>
      <c r="D206" s="321">
        <v>143</v>
      </c>
      <c r="E206" s="321">
        <v>167</v>
      </c>
      <c r="F206" s="321">
        <v>72</v>
      </c>
      <c r="G206" s="321">
        <v>239</v>
      </c>
      <c r="H206" s="321">
        <v>847</v>
      </c>
      <c r="I206" s="321">
        <v>414</v>
      </c>
      <c r="J206" s="321">
        <v>1261</v>
      </c>
      <c r="K206" s="321">
        <v>216</v>
      </c>
      <c r="L206" s="321">
        <v>263</v>
      </c>
      <c r="M206" s="321">
        <v>479</v>
      </c>
      <c r="N206" s="321">
        <v>118</v>
      </c>
      <c r="O206" s="321">
        <v>79</v>
      </c>
      <c r="P206" s="321">
        <v>197</v>
      </c>
      <c r="Q206" s="321">
        <v>1513</v>
      </c>
      <c r="R206" s="321">
        <v>898</v>
      </c>
      <c r="S206" s="321">
        <v>2411</v>
      </c>
      <c r="T206" s="321">
        <v>51</v>
      </c>
      <c r="U206" s="321">
        <v>41</v>
      </c>
      <c r="V206" s="321">
        <v>92</v>
      </c>
    </row>
    <row r="207" spans="1:22">
      <c r="A207" s="628" t="s">
        <v>831</v>
      </c>
      <c r="B207" s="321">
        <v>122</v>
      </c>
      <c r="C207" s="321">
        <v>27</v>
      </c>
      <c r="D207" s="321">
        <v>149</v>
      </c>
      <c r="E207" s="321">
        <v>165</v>
      </c>
      <c r="F207" s="321">
        <v>75</v>
      </c>
      <c r="G207" s="321">
        <v>240</v>
      </c>
      <c r="H207" s="321">
        <v>927</v>
      </c>
      <c r="I207" s="321">
        <v>461</v>
      </c>
      <c r="J207" s="321">
        <v>1388</v>
      </c>
      <c r="K207" s="321">
        <v>212</v>
      </c>
      <c r="L207" s="321">
        <v>238</v>
      </c>
      <c r="M207" s="321">
        <v>450</v>
      </c>
      <c r="N207" s="321">
        <v>110</v>
      </c>
      <c r="O207" s="321">
        <v>57</v>
      </c>
      <c r="P207" s="321">
        <v>167</v>
      </c>
      <c r="Q207" s="321">
        <v>1598</v>
      </c>
      <c r="R207" s="321">
        <v>896</v>
      </c>
      <c r="S207" s="321">
        <v>2494</v>
      </c>
      <c r="T207" s="321">
        <v>62</v>
      </c>
      <c r="U207" s="321">
        <v>38</v>
      </c>
      <c r="V207" s="321">
        <v>100</v>
      </c>
    </row>
    <row r="208" spans="1:22">
      <c r="A208" s="628" t="s">
        <v>830</v>
      </c>
      <c r="B208" s="321">
        <v>122</v>
      </c>
      <c r="C208" s="321">
        <v>29</v>
      </c>
      <c r="D208" s="321">
        <v>151</v>
      </c>
      <c r="E208" s="321">
        <v>159</v>
      </c>
      <c r="F208" s="321">
        <v>79</v>
      </c>
      <c r="G208" s="321">
        <v>238</v>
      </c>
      <c r="H208" s="321">
        <v>923</v>
      </c>
      <c r="I208" s="321">
        <v>471</v>
      </c>
      <c r="J208" s="321">
        <v>1394</v>
      </c>
      <c r="K208" s="321">
        <v>199</v>
      </c>
      <c r="L208" s="321">
        <v>233</v>
      </c>
      <c r="M208" s="321">
        <v>432</v>
      </c>
      <c r="N208" s="321">
        <v>82</v>
      </c>
      <c r="O208" s="321">
        <v>52</v>
      </c>
      <c r="P208" s="321">
        <v>134</v>
      </c>
      <c r="Q208" s="321">
        <v>1541</v>
      </c>
      <c r="R208" s="321">
        <v>909</v>
      </c>
      <c r="S208" s="321">
        <v>2450</v>
      </c>
      <c r="T208" s="321">
        <v>56</v>
      </c>
      <c r="U208" s="321">
        <v>45</v>
      </c>
      <c r="V208" s="321">
        <v>101</v>
      </c>
    </row>
    <row r="209" spans="1:22">
      <c r="A209" s="629" t="s">
        <v>829</v>
      </c>
      <c r="B209" s="631">
        <v>126</v>
      </c>
      <c r="C209" s="631">
        <v>32</v>
      </c>
      <c r="D209" s="631">
        <v>158</v>
      </c>
      <c r="E209" s="631">
        <v>169</v>
      </c>
      <c r="F209" s="631">
        <v>80</v>
      </c>
      <c r="G209" s="631">
        <v>249</v>
      </c>
      <c r="H209" s="631">
        <v>869</v>
      </c>
      <c r="I209" s="631">
        <v>438</v>
      </c>
      <c r="J209" s="631">
        <v>1307</v>
      </c>
      <c r="K209" s="631">
        <v>190</v>
      </c>
      <c r="L209" s="631">
        <v>231</v>
      </c>
      <c r="M209" s="631">
        <v>421</v>
      </c>
      <c r="N209" s="631">
        <v>98</v>
      </c>
      <c r="O209" s="631">
        <v>70</v>
      </c>
      <c r="P209" s="631">
        <v>168</v>
      </c>
      <c r="Q209" s="631">
        <v>1503</v>
      </c>
      <c r="R209" s="631">
        <v>894</v>
      </c>
      <c r="S209" s="631">
        <v>2397</v>
      </c>
      <c r="T209" s="631">
        <v>51</v>
      </c>
      <c r="U209" s="631">
        <v>43</v>
      </c>
      <c r="V209" s="631">
        <v>94</v>
      </c>
    </row>
    <row r="210" spans="1:22">
      <c r="A210" s="628" t="s">
        <v>828</v>
      </c>
      <c r="B210" s="613">
        <v>141</v>
      </c>
      <c r="C210" s="613">
        <v>32</v>
      </c>
      <c r="D210" s="613">
        <v>173</v>
      </c>
      <c r="E210" s="613">
        <v>186</v>
      </c>
      <c r="F210" s="613">
        <v>105</v>
      </c>
      <c r="G210" s="613">
        <v>291</v>
      </c>
      <c r="H210" s="613">
        <v>865</v>
      </c>
      <c r="I210" s="613">
        <v>392</v>
      </c>
      <c r="J210" s="613">
        <v>1257</v>
      </c>
      <c r="K210" s="613">
        <v>295</v>
      </c>
      <c r="L210" s="613">
        <v>244</v>
      </c>
      <c r="M210" s="613">
        <v>539</v>
      </c>
      <c r="N210" s="613">
        <v>128</v>
      </c>
      <c r="O210" s="613">
        <v>78</v>
      </c>
      <c r="P210" s="613">
        <v>206</v>
      </c>
      <c r="Q210" s="613">
        <v>1615</v>
      </c>
      <c r="R210" s="613">
        <v>851</v>
      </c>
      <c r="S210" s="613">
        <v>2466</v>
      </c>
      <c r="T210" s="613">
        <v>128</v>
      </c>
      <c r="U210" s="613">
        <v>112</v>
      </c>
      <c r="V210" s="613">
        <v>240</v>
      </c>
    </row>
    <row r="211" spans="1:22" ht="15">
      <c r="A211" s="623" t="s">
        <v>47</v>
      </c>
      <c r="B211" s="624"/>
      <c r="C211" s="625"/>
      <c r="D211" s="625"/>
      <c r="E211" s="625"/>
      <c r="F211" s="625"/>
      <c r="G211" s="626"/>
      <c r="H211" s="624"/>
      <c r="I211" s="625"/>
      <c r="J211" s="626"/>
      <c r="K211" s="624"/>
      <c r="L211" s="625"/>
      <c r="M211" s="625"/>
      <c r="N211" s="625"/>
      <c r="O211" s="625"/>
      <c r="P211" s="626"/>
      <c r="Q211" s="624"/>
      <c r="R211" s="625"/>
      <c r="S211" s="625"/>
      <c r="T211" s="625"/>
      <c r="U211" s="625"/>
      <c r="V211" s="626"/>
    </row>
    <row r="212" spans="1:22">
      <c r="A212" s="612" t="s">
        <v>832</v>
      </c>
      <c r="B212" s="321">
        <v>11650</v>
      </c>
      <c r="C212" s="321">
        <v>3364</v>
      </c>
      <c r="D212" s="321">
        <v>15014</v>
      </c>
      <c r="E212" s="321">
        <v>11301</v>
      </c>
      <c r="F212" s="321">
        <v>5319</v>
      </c>
      <c r="G212" s="321">
        <v>16620</v>
      </c>
      <c r="H212" s="321">
        <v>76631</v>
      </c>
      <c r="I212" s="321">
        <v>35426</v>
      </c>
      <c r="J212" s="321">
        <v>112057</v>
      </c>
      <c r="K212" s="321">
        <v>3115</v>
      </c>
      <c r="L212" s="321">
        <v>4214</v>
      </c>
      <c r="M212" s="321">
        <v>7329</v>
      </c>
      <c r="N212" s="321">
        <v>6840</v>
      </c>
      <c r="O212" s="321">
        <v>2924</v>
      </c>
      <c r="P212" s="321">
        <v>9764</v>
      </c>
      <c r="Q212" s="321">
        <v>109990</v>
      </c>
      <c r="R212" s="321">
        <v>51449</v>
      </c>
      <c r="S212" s="321">
        <v>161439</v>
      </c>
      <c r="T212" s="321">
        <v>453</v>
      </c>
      <c r="U212" s="321">
        <v>202</v>
      </c>
      <c r="V212" s="321">
        <v>655</v>
      </c>
    </row>
    <row r="213" spans="1:22">
      <c r="A213" s="628" t="s">
        <v>831</v>
      </c>
      <c r="B213" s="321">
        <v>10038</v>
      </c>
      <c r="C213" s="321">
        <v>2846</v>
      </c>
      <c r="D213" s="321">
        <v>12884</v>
      </c>
      <c r="E213" s="321">
        <v>10257</v>
      </c>
      <c r="F213" s="321">
        <v>4961</v>
      </c>
      <c r="G213" s="321">
        <v>15218</v>
      </c>
      <c r="H213" s="321">
        <v>67938</v>
      </c>
      <c r="I213" s="321">
        <v>31709</v>
      </c>
      <c r="J213" s="321">
        <v>99647</v>
      </c>
      <c r="K213" s="321">
        <v>2830</v>
      </c>
      <c r="L213" s="321">
        <v>3768</v>
      </c>
      <c r="M213" s="321">
        <v>6598</v>
      </c>
      <c r="N213" s="321">
        <v>4583</v>
      </c>
      <c r="O213" s="321">
        <v>2397</v>
      </c>
      <c r="P213" s="321">
        <v>6980</v>
      </c>
      <c r="Q213" s="321">
        <v>95991</v>
      </c>
      <c r="R213" s="321">
        <v>45848</v>
      </c>
      <c r="S213" s="321">
        <v>141839</v>
      </c>
      <c r="T213" s="321">
        <v>345</v>
      </c>
      <c r="U213" s="321">
        <v>167</v>
      </c>
      <c r="V213" s="321">
        <v>512</v>
      </c>
    </row>
    <row r="214" spans="1:22">
      <c r="A214" s="628" t="s">
        <v>830</v>
      </c>
      <c r="B214" s="321">
        <v>7872</v>
      </c>
      <c r="C214" s="321">
        <v>2199</v>
      </c>
      <c r="D214" s="321">
        <v>10071</v>
      </c>
      <c r="E214" s="321">
        <v>7983</v>
      </c>
      <c r="F214" s="321">
        <v>3883</v>
      </c>
      <c r="G214" s="321">
        <v>11866</v>
      </c>
      <c r="H214" s="321">
        <v>50625</v>
      </c>
      <c r="I214" s="321">
        <v>24040</v>
      </c>
      <c r="J214" s="321">
        <v>74665</v>
      </c>
      <c r="K214" s="321">
        <v>2498</v>
      </c>
      <c r="L214" s="321">
        <v>3274</v>
      </c>
      <c r="M214" s="321">
        <v>5772</v>
      </c>
      <c r="N214" s="321">
        <v>2815</v>
      </c>
      <c r="O214" s="321">
        <v>1722</v>
      </c>
      <c r="P214" s="321">
        <v>4537</v>
      </c>
      <c r="Q214" s="321">
        <v>72143</v>
      </c>
      <c r="R214" s="321">
        <v>35282</v>
      </c>
      <c r="S214" s="321">
        <v>107425</v>
      </c>
      <c r="T214" s="321">
        <v>350</v>
      </c>
      <c r="U214" s="321">
        <v>164</v>
      </c>
      <c r="V214" s="321">
        <v>514</v>
      </c>
    </row>
    <row r="215" spans="1:22">
      <c r="A215" s="629" t="s">
        <v>829</v>
      </c>
      <c r="B215" s="631">
        <v>11493</v>
      </c>
      <c r="C215" s="631">
        <v>3171</v>
      </c>
      <c r="D215" s="631">
        <v>14664</v>
      </c>
      <c r="E215" s="631">
        <v>10633</v>
      </c>
      <c r="F215" s="631">
        <v>4936</v>
      </c>
      <c r="G215" s="631">
        <v>15569</v>
      </c>
      <c r="H215" s="631">
        <v>72872</v>
      </c>
      <c r="I215" s="631">
        <v>32465</v>
      </c>
      <c r="J215" s="631">
        <v>105337</v>
      </c>
      <c r="K215" s="631">
        <v>2732</v>
      </c>
      <c r="L215" s="631">
        <v>3321</v>
      </c>
      <c r="M215" s="631">
        <v>6053</v>
      </c>
      <c r="N215" s="631">
        <v>3692</v>
      </c>
      <c r="O215" s="631">
        <v>2343</v>
      </c>
      <c r="P215" s="631">
        <v>6035</v>
      </c>
      <c r="Q215" s="631">
        <v>101826</v>
      </c>
      <c r="R215" s="631">
        <v>46392</v>
      </c>
      <c r="S215" s="631">
        <v>148218</v>
      </c>
      <c r="T215" s="631">
        <v>396</v>
      </c>
      <c r="U215" s="631">
        <v>156</v>
      </c>
      <c r="V215" s="631">
        <v>552</v>
      </c>
    </row>
    <row r="216" spans="1:22">
      <c r="A216" s="628" t="s">
        <v>828</v>
      </c>
      <c r="B216" s="613">
        <v>13387</v>
      </c>
      <c r="C216" s="613">
        <v>4209</v>
      </c>
      <c r="D216" s="613">
        <v>17596</v>
      </c>
      <c r="E216" s="613">
        <v>13617</v>
      </c>
      <c r="F216" s="613">
        <v>5914</v>
      </c>
      <c r="G216" s="613">
        <v>19531</v>
      </c>
      <c r="H216" s="613">
        <v>83288</v>
      </c>
      <c r="I216" s="613">
        <v>37657</v>
      </c>
      <c r="J216" s="613">
        <v>120945</v>
      </c>
      <c r="K216" s="613">
        <v>3286</v>
      </c>
      <c r="L216" s="613">
        <v>3416</v>
      </c>
      <c r="M216" s="613">
        <v>6702</v>
      </c>
      <c r="N216" s="613">
        <v>7035</v>
      </c>
      <c r="O216" s="613">
        <v>3909</v>
      </c>
      <c r="P216" s="613">
        <v>10944</v>
      </c>
      <c r="Q216" s="613">
        <v>120613</v>
      </c>
      <c r="R216" s="613">
        <v>55105</v>
      </c>
      <c r="S216" s="613">
        <v>175718</v>
      </c>
      <c r="T216" s="613">
        <v>539</v>
      </c>
      <c r="U216" s="613">
        <v>204</v>
      </c>
      <c r="V216" s="613">
        <v>743</v>
      </c>
    </row>
    <row r="217" spans="1:22" ht="15">
      <c r="A217" s="623" t="s">
        <v>46</v>
      </c>
      <c r="B217" s="624"/>
      <c r="C217" s="625"/>
      <c r="D217" s="625"/>
      <c r="E217" s="625"/>
      <c r="F217" s="625"/>
      <c r="G217" s="626"/>
      <c r="H217" s="624"/>
      <c r="I217" s="625"/>
      <c r="J217" s="626"/>
      <c r="K217" s="624"/>
      <c r="L217" s="625"/>
      <c r="M217" s="625"/>
      <c r="N217" s="625"/>
      <c r="O217" s="625"/>
      <c r="P217" s="626"/>
      <c r="Q217" s="624"/>
      <c r="R217" s="625"/>
      <c r="S217" s="625"/>
      <c r="T217" s="625"/>
      <c r="U217" s="625"/>
      <c r="V217" s="626"/>
    </row>
    <row r="218" spans="1:22">
      <c r="A218" s="612" t="s">
        <v>832</v>
      </c>
      <c r="B218" s="321">
        <v>1708</v>
      </c>
      <c r="C218" s="321">
        <v>558</v>
      </c>
      <c r="D218" s="321">
        <v>2266</v>
      </c>
      <c r="E218" s="321">
        <v>1400</v>
      </c>
      <c r="F218" s="321">
        <v>715</v>
      </c>
      <c r="G218" s="321">
        <v>2115</v>
      </c>
      <c r="H218" s="321">
        <v>7029</v>
      </c>
      <c r="I218" s="321">
        <v>4736</v>
      </c>
      <c r="J218" s="321">
        <v>11765</v>
      </c>
      <c r="K218" s="321">
        <v>390</v>
      </c>
      <c r="L218" s="321">
        <v>623</v>
      </c>
      <c r="M218" s="321">
        <v>1013</v>
      </c>
      <c r="N218" s="321">
        <v>595</v>
      </c>
      <c r="O218" s="321">
        <v>425</v>
      </c>
      <c r="P218" s="321">
        <v>1020</v>
      </c>
      <c r="Q218" s="321">
        <v>11214</v>
      </c>
      <c r="R218" s="321">
        <v>7100</v>
      </c>
      <c r="S218" s="321">
        <v>18314</v>
      </c>
      <c r="T218" s="321">
        <v>92</v>
      </c>
      <c r="U218" s="321">
        <v>43</v>
      </c>
      <c r="V218" s="321">
        <v>135</v>
      </c>
    </row>
    <row r="219" spans="1:22">
      <c r="A219" s="628" t="s">
        <v>831</v>
      </c>
      <c r="B219" s="321">
        <v>1645</v>
      </c>
      <c r="C219" s="321">
        <v>498</v>
      </c>
      <c r="D219" s="321">
        <v>2143</v>
      </c>
      <c r="E219" s="321">
        <v>1318</v>
      </c>
      <c r="F219" s="321">
        <v>701</v>
      </c>
      <c r="G219" s="321">
        <v>2019</v>
      </c>
      <c r="H219" s="321">
        <v>6803</v>
      </c>
      <c r="I219" s="321">
        <v>4327</v>
      </c>
      <c r="J219" s="321">
        <v>11130</v>
      </c>
      <c r="K219" s="321">
        <v>369</v>
      </c>
      <c r="L219" s="321">
        <v>570</v>
      </c>
      <c r="M219" s="321">
        <v>939</v>
      </c>
      <c r="N219" s="321">
        <v>719</v>
      </c>
      <c r="O219" s="321">
        <v>473</v>
      </c>
      <c r="P219" s="321">
        <v>1192</v>
      </c>
      <c r="Q219" s="321">
        <v>10910</v>
      </c>
      <c r="R219" s="321">
        <v>6602</v>
      </c>
      <c r="S219" s="321">
        <v>17512</v>
      </c>
      <c r="T219" s="321">
        <v>56</v>
      </c>
      <c r="U219" s="321">
        <v>33</v>
      </c>
      <c r="V219" s="321">
        <v>89</v>
      </c>
    </row>
    <row r="220" spans="1:22">
      <c r="A220" s="628" t="s">
        <v>830</v>
      </c>
      <c r="B220" s="321">
        <v>1490</v>
      </c>
      <c r="C220" s="321">
        <v>427</v>
      </c>
      <c r="D220" s="321">
        <v>1917</v>
      </c>
      <c r="E220" s="321">
        <v>1232</v>
      </c>
      <c r="F220" s="321">
        <v>664</v>
      </c>
      <c r="G220" s="321">
        <v>1896</v>
      </c>
      <c r="H220" s="321">
        <v>6235</v>
      </c>
      <c r="I220" s="321">
        <v>3752</v>
      </c>
      <c r="J220" s="321">
        <v>9987</v>
      </c>
      <c r="K220" s="321">
        <v>332</v>
      </c>
      <c r="L220" s="321">
        <v>483</v>
      </c>
      <c r="M220" s="321">
        <v>815</v>
      </c>
      <c r="N220" s="321">
        <v>645</v>
      </c>
      <c r="O220" s="321">
        <v>441</v>
      </c>
      <c r="P220" s="321">
        <v>1086</v>
      </c>
      <c r="Q220" s="321">
        <v>9974</v>
      </c>
      <c r="R220" s="321">
        <v>5796</v>
      </c>
      <c r="S220" s="321">
        <v>15770</v>
      </c>
      <c r="T220" s="321">
        <v>40</v>
      </c>
      <c r="U220" s="321">
        <v>29</v>
      </c>
      <c r="V220" s="321">
        <v>69</v>
      </c>
    </row>
    <row r="221" spans="1:22">
      <c r="A221" s="629" t="s">
        <v>829</v>
      </c>
      <c r="B221" s="631">
        <v>1429</v>
      </c>
      <c r="C221" s="631">
        <v>350</v>
      </c>
      <c r="D221" s="631">
        <v>1779</v>
      </c>
      <c r="E221" s="631">
        <v>1314</v>
      </c>
      <c r="F221" s="631">
        <v>672</v>
      </c>
      <c r="G221" s="631">
        <v>1986</v>
      </c>
      <c r="H221" s="631">
        <v>6185</v>
      </c>
      <c r="I221" s="631">
        <v>3598</v>
      </c>
      <c r="J221" s="631">
        <v>9783</v>
      </c>
      <c r="K221" s="631">
        <v>301</v>
      </c>
      <c r="L221" s="631">
        <v>383</v>
      </c>
      <c r="M221" s="631">
        <v>684</v>
      </c>
      <c r="N221" s="631">
        <v>589</v>
      </c>
      <c r="O221" s="631">
        <v>373</v>
      </c>
      <c r="P221" s="631">
        <v>962</v>
      </c>
      <c r="Q221" s="631">
        <v>9878</v>
      </c>
      <c r="R221" s="631">
        <v>5412</v>
      </c>
      <c r="S221" s="631">
        <v>15290</v>
      </c>
      <c r="T221" s="631">
        <v>60</v>
      </c>
      <c r="U221" s="631">
        <v>36</v>
      </c>
      <c r="V221" s="631">
        <v>96</v>
      </c>
    </row>
    <row r="222" spans="1:22">
      <c r="A222" s="628" t="s">
        <v>828</v>
      </c>
      <c r="B222" s="613">
        <v>1611</v>
      </c>
      <c r="C222" s="613">
        <v>357</v>
      </c>
      <c r="D222" s="613">
        <v>1968</v>
      </c>
      <c r="E222" s="613">
        <v>1392</v>
      </c>
      <c r="F222" s="613">
        <v>737</v>
      </c>
      <c r="G222" s="613">
        <v>2129</v>
      </c>
      <c r="H222" s="613">
        <v>7496</v>
      </c>
      <c r="I222" s="613">
        <v>4126</v>
      </c>
      <c r="J222" s="613">
        <v>11622</v>
      </c>
      <c r="K222" s="613">
        <v>565</v>
      </c>
      <c r="L222" s="613">
        <v>517</v>
      </c>
      <c r="M222" s="613">
        <v>1082</v>
      </c>
      <c r="N222" s="613">
        <v>919</v>
      </c>
      <c r="O222" s="613">
        <v>633</v>
      </c>
      <c r="P222" s="613">
        <v>1552</v>
      </c>
      <c r="Q222" s="613">
        <v>11983</v>
      </c>
      <c r="R222" s="613">
        <v>6370</v>
      </c>
      <c r="S222" s="613">
        <v>18353</v>
      </c>
      <c r="T222" s="613">
        <v>76</v>
      </c>
      <c r="U222" s="613">
        <v>35</v>
      </c>
      <c r="V222" s="613">
        <v>111</v>
      </c>
    </row>
    <row r="223" spans="1:22" ht="15">
      <c r="A223" s="623" t="s">
        <v>48</v>
      </c>
      <c r="B223" s="624"/>
      <c r="C223" s="625"/>
      <c r="D223" s="625"/>
      <c r="E223" s="625"/>
      <c r="F223" s="625"/>
      <c r="G223" s="626"/>
      <c r="H223" s="624"/>
      <c r="I223" s="625"/>
      <c r="J223" s="626"/>
      <c r="K223" s="624"/>
      <c r="L223" s="625"/>
      <c r="M223" s="625"/>
      <c r="N223" s="625"/>
      <c r="O223" s="625"/>
      <c r="P223" s="626"/>
      <c r="Q223" s="624"/>
      <c r="R223" s="625"/>
      <c r="S223" s="625"/>
      <c r="T223" s="625"/>
      <c r="U223" s="625"/>
      <c r="V223" s="626"/>
    </row>
    <row r="224" spans="1:22">
      <c r="A224" s="612" t="s">
        <v>832</v>
      </c>
      <c r="B224" s="321">
        <v>4216</v>
      </c>
      <c r="C224" s="321">
        <v>992</v>
      </c>
      <c r="D224" s="321">
        <v>5208</v>
      </c>
      <c r="E224" s="321">
        <v>4069</v>
      </c>
      <c r="F224" s="321">
        <v>2287</v>
      </c>
      <c r="G224" s="321">
        <v>6356</v>
      </c>
      <c r="H224" s="321">
        <v>25581</v>
      </c>
      <c r="I224" s="321">
        <v>12117</v>
      </c>
      <c r="J224" s="321">
        <v>37698</v>
      </c>
      <c r="K224" s="321">
        <v>1273</v>
      </c>
      <c r="L224" s="321">
        <v>1278</v>
      </c>
      <c r="M224" s="321">
        <v>2551</v>
      </c>
      <c r="N224" s="321">
        <v>6539</v>
      </c>
      <c r="O224" s="321">
        <v>5284</v>
      </c>
      <c r="P224" s="321">
        <v>11823</v>
      </c>
      <c r="Q224" s="321">
        <v>42780</v>
      </c>
      <c r="R224" s="321">
        <v>22766</v>
      </c>
      <c r="S224" s="321">
        <v>65546</v>
      </c>
      <c r="T224" s="321">
        <v>1102</v>
      </c>
      <c r="U224" s="321">
        <v>808</v>
      </c>
      <c r="V224" s="321">
        <v>1910</v>
      </c>
    </row>
    <row r="225" spans="1:22">
      <c r="A225" s="628" t="s">
        <v>831</v>
      </c>
      <c r="B225" s="321">
        <v>3783</v>
      </c>
      <c r="C225" s="321">
        <v>869</v>
      </c>
      <c r="D225" s="321">
        <v>4652</v>
      </c>
      <c r="E225" s="321">
        <v>3877</v>
      </c>
      <c r="F225" s="321">
        <v>2170</v>
      </c>
      <c r="G225" s="321">
        <v>6047</v>
      </c>
      <c r="H225" s="321">
        <v>23107</v>
      </c>
      <c r="I225" s="321">
        <v>10957</v>
      </c>
      <c r="J225" s="321">
        <v>34064</v>
      </c>
      <c r="K225" s="321">
        <v>1207</v>
      </c>
      <c r="L225" s="321">
        <v>1113</v>
      </c>
      <c r="M225" s="321">
        <v>2320</v>
      </c>
      <c r="N225" s="321">
        <v>6362</v>
      </c>
      <c r="O225" s="321">
        <v>5045</v>
      </c>
      <c r="P225" s="321">
        <v>11407</v>
      </c>
      <c r="Q225" s="321">
        <v>39264</v>
      </c>
      <c r="R225" s="321">
        <v>20812</v>
      </c>
      <c r="S225" s="321">
        <v>60076</v>
      </c>
      <c r="T225" s="321">
        <v>928</v>
      </c>
      <c r="U225" s="321">
        <v>658</v>
      </c>
      <c r="V225" s="321">
        <v>1586</v>
      </c>
    </row>
    <row r="226" spans="1:22">
      <c r="A226" s="628" t="s">
        <v>830</v>
      </c>
      <c r="B226" s="321">
        <v>3490</v>
      </c>
      <c r="C226" s="321">
        <v>820</v>
      </c>
      <c r="D226" s="321">
        <v>4310</v>
      </c>
      <c r="E226" s="321">
        <v>3576</v>
      </c>
      <c r="F226" s="321">
        <v>1998</v>
      </c>
      <c r="G226" s="321">
        <v>5574</v>
      </c>
      <c r="H226" s="321">
        <v>21277</v>
      </c>
      <c r="I226" s="321">
        <v>10025</v>
      </c>
      <c r="J226" s="321">
        <v>31302</v>
      </c>
      <c r="K226" s="321">
        <v>1080</v>
      </c>
      <c r="L226" s="321">
        <v>1028</v>
      </c>
      <c r="M226" s="321">
        <v>2108</v>
      </c>
      <c r="N226" s="321">
        <v>5788</v>
      </c>
      <c r="O226" s="321">
        <v>4565</v>
      </c>
      <c r="P226" s="321">
        <v>10353</v>
      </c>
      <c r="Q226" s="321">
        <v>36083</v>
      </c>
      <c r="R226" s="321">
        <v>19069</v>
      </c>
      <c r="S226" s="321">
        <v>55152</v>
      </c>
      <c r="T226" s="321">
        <v>872</v>
      </c>
      <c r="U226" s="321">
        <v>633</v>
      </c>
      <c r="V226" s="321">
        <v>1505</v>
      </c>
    </row>
    <row r="227" spans="1:22">
      <c r="A227" s="629" t="s">
        <v>829</v>
      </c>
      <c r="B227" s="631">
        <v>3251</v>
      </c>
      <c r="C227" s="631">
        <v>720</v>
      </c>
      <c r="D227" s="631">
        <v>3971</v>
      </c>
      <c r="E227" s="631">
        <v>3213</v>
      </c>
      <c r="F227" s="631">
        <v>1779</v>
      </c>
      <c r="G227" s="631">
        <v>4992</v>
      </c>
      <c r="H227" s="631">
        <v>17925</v>
      </c>
      <c r="I227" s="631">
        <v>8476</v>
      </c>
      <c r="J227" s="631">
        <v>26401</v>
      </c>
      <c r="K227" s="631">
        <v>1011</v>
      </c>
      <c r="L227" s="631">
        <v>851</v>
      </c>
      <c r="M227" s="631">
        <v>1862</v>
      </c>
      <c r="N227" s="631">
        <v>5606</v>
      </c>
      <c r="O227" s="631">
        <v>4252</v>
      </c>
      <c r="P227" s="631">
        <v>9858</v>
      </c>
      <c r="Q227" s="631">
        <v>31875</v>
      </c>
      <c r="R227" s="631">
        <v>16678</v>
      </c>
      <c r="S227" s="631">
        <v>48553</v>
      </c>
      <c r="T227" s="631">
        <v>869</v>
      </c>
      <c r="U227" s="631">
        <v>600</v>
      </c>
      <c r="V227" s="631">
        <v>1469</v>
      </c>
    </row>
    <row r="228" spans="1:22">
      <c r="A228" s="628" t="s">
        <v>828</v>
      </c>
      <c r="B228" s="613">
        <v>4184</v>
      </c>
      <c r="C228" s="613">
        <v>865</v>
      </c>
      <c r="D228" s="613">
        <v>5049</v>
      </c>
      <c r="E228" s="613">
        <v>4269</v>
      </c>
      <c r="F228" s="613">
        <v>2115</v>
      </c>
      <c r="G228" s="613">
        <v>6384</v>
      </c>
      <c r="H228" s="613">
        <v>18132</v>
      </c>
      <c r="I228" s="613">
        <v>8220</v>
      </c>
      <c r="J228" s="613">
        <v>26352</v>
      </c>
      <c r="K228" s="613">
        <v>1681</v>
      </c>
      <c r="L228" s="613">
        <v>885</v>
      </c>
      <c r="M228" s="613">
        <v>2566</v>
      </c>
      <c r="N228" s="613">
        <v>8078</v>
      </c>
      <c r="O228" s="613">
        <v>5732</v>
      </c>
      <c r="P228" s="613">
        <v>13810</v>
      </c>
      <c r="Q228" s="613">
        <v>36344</v>
      </c>
      <c r="R228" s="613">
        <v>17817</v>
      </c>
      <c r="S228" s="613">
        <v>54161</v>
      </c>
      <c r="T228" s="613">
        <v>2253</v>
      </c>
      <c r="U228" s="613">
        <v>1254</v>
      </c>
      <c r="V228" s="613">
        <v>3507</v>
      </c>
    </row>
  </sheetData>
  <mergeCells count="8">
    <mergeCell ref="Q2:S2"/>
    <mergeCell ref="T2:V2"/>
    <mergeCell ref="A2:A3"/>
    <mergeCell ref="B2:D2"/>
    <mergeCell ref="E2:G2"/>
    <mergeCell ref="H2:J2"/>
    <mergeCell ref="K2:M2"/>
    <mergeCell ref="N2:P2"/>
  </mergeCells>
  <printOptions horizontalCentered="1"/>
  <pageMargins left="0.39370078740157483" right="0.39370078740157483" top="0.39370078740157483" bottom="0.39370078740157483" header="0.15748031496062992" footer="0.23622047244094491"/>
  <pageSetup paperSize="9" scale="77" firstPageNumber="2" pageOrder="overThenDown" orientation="portrait" useFirstPageNumber="1" r:id="rId1"/>
  <headerFooter alignWithMargins="0">
    <oddFooter>&amp;L     AISHE 2019-20&amp;CT-51</oddFooter>
  </headerFooter>
  <rowBreaks count="3" manualBreakCount="3">
    <brk id="64" max="21" man="1"/>
    <brk id="126" max="21" man="1"/>
    <brk id="186" max="21" man="1"/>
  </rowBreaks>
  <colBreaks count="2" manualBreakCount="2">
    <brk id="7" max="338" man="1"/>
    <brk id="16" max="299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7030A0"/>
  </sheetPr>
  <dimension ref="A1:F155"/>
  <sheetViews>
    <sheetView view="pageBreakPreview" topLeftCell="A130" zoomScaleSheetLayoutView="100" workbookViewId="0">
      <selection activeCell="A20" sqref="A20"/>
    </sheetView>
  </sheetViews>
  <sheetFormatPr defaultColWidth="9.140625" defaultRowHeight="14.25"/>
  <cols>
    <col min="1" max="1" width="28.7109375" style="611" customWidth="1"/>
    <col min="2" max="5" width="13.5703125" style="611" customWidth="1"/>
    <col min="6" max="6" width="11.28515625" style="611" bestFit="1" customWidth="1"/>
    <col min="7" max="16384" width="9.140625" style="611"/>
  </cols>
  <sheetData>
    <row r="1" spans="1:6" s="621" customFormat="1" ht="27.75" customHeight="1">
      <c r="A1" s="593" t="s">
        <v>887</v>
      </c>
      <c r="B1" s="594" t="s">
        <v>888</v>
      </c>
    </row>
    <row r="2" spans="1:6" s="621" customFormat="1" ht="22.5" customHeight="1">
      <c r="A2" s="635" t="s">
        <v>850</v>
      </c>
      <c r="B2" s="635">
        <v>2015</v>
      </c>
      <c r="C2" s="635">
        <v>2016</v>
      </c>
      <c r="D2" s="636">
        <v>2017</v>
      </c>
      <c r="E2" s="635">
        <v>2018</v>
      </c>
      <c r="F2" s="635">
        <v>2019</v>
      </c>
    </row>
    <row r="3" spans="1:6" s="637" customFormat="1" ht="15" customHeight="1">
      <c r="A3" s="721">
        <v>1</v>
      </c>
      <c r="B3" s="721">
        <v>2</v>
      </c>
      <c r="C3" s="721">
        <v>3</v>
      </c>
      <c r="D3" s="721">
        <v>4</v>
      </c>
      <c r="E3" s="721">
        <v>5</v>
      </c>
      <c r="F3" s="721">
        <v>6</v>
      </c>
    </row>
    <row r="4" spans="1:6" ht="18" customHeight="1">
      <c r="A4" s="641" t="s">
        <v>833</v>
      </c>
      <c r="B4" s="633"/>
      <c r="C4" s="633"/>
      <c r="D4" s="633"/>
      <c r="E4" s="633"/>
      <c r="F4" s="634"/>
    </row>
    <row r="5" spans="1:6" ht="18" customHeight="1">
      <c r="A5" s="629" t="s">
        <v>714</v>
      </c>
      <c r="B5" s="630">
        <v>141290793</v>
      </c>
      <c r="C5" s="630">
        <v>141537252</v>
      </c>
      <c r="D5" s="630">
        <v>141829528</v>
      </c>
      <c r="E5" s="630">
        <v>142078501</v>
      </c>
      <c r="F5" s="722">
        <v>142328704</v>
      </c>
    </row>
    <row r="6" spans="1:6" ht="18" customHeight="1">
      <c r="A6" s="628" t="s">
        <v>851</v>
      </c>
      <c r="B6" s="613">
        <v>73176211</v>
      </c>
      <c r="C6" s="613">
        <v>73136991</v>
      </c>
      <c r="D6" s="613">
        <v>73121283</v>
      </c>
      <c r="E6" s="613">
        <v>73082095</v>
      </c>
      <c r="F6" s="719">
        <v>73042922</v>
      </c>
    </row>
    <row r="7" spans="1:6" ht="18" customHeight="1">
      <c r="A7" s="628" t="s">
        <v>852</v>
      </c>
      <c r="B7" s="613">
        <v>68114582</v>
      </c>
      <c r="C7" s="613">
        <v>68400261</v>
      </c>
      <c r="D7" s="613">
        <v>68708245</v>
      </c>
      <c r="E7" s="613">
        <v>68996406</v>
      </c>
      <c r="F7" s="719">
        <v>69285782</v>
      </c>
    </row>
    <row r="8" spans="1:6" ht="18" customHeight="1">
      <c r="A8" s="641" t="s">
        <v>154</v>
      </c>
      <c r="B8" s="633"/>
      <c r="C8" s="633"/>
      <c r="D8" s="633"/>
      <c r="E8" s="633"/>
      <c r="F8" s="634"/>
    </row>
    <row r="9" spans="1:6" ht="18" customHeight="1">
      <c r="A9" s="628" t="s">
        <v>714</v>
      </c>
      <c r="B9" s="613">
        <v>46909</v>
      </c>
      <c r="C9" s="613">
        <v>47603</v>
      </c>
      <c r="D9" s="720">
        <v>48639</v>
      </c>
      <c r="E9" s="638">
        <v>49667</v>
      </c>
      <c r="F9" s="613">
        <v>50691</v>
      </c>
    </row>
    <row r="10" spans="1:6" ht="18" customHeight="1">
      <c r="A10" s="628" t="s">
        <v>851</v>
      </c>
      <c r="B10" s="613">
        <v>23954</v>
      </c>
      <c r="C10" s="613">
        <v>24296</v>
      </c>
      <c r="D10" s="720">
        <v>24722</v>
      </c>
      <c r="E10" s="638">
        <v>25145</v>
      </c>
      <c r="F10" s="613">
        <v>25566</v>
      </c>
    </row>
    <row r="11" spans="1:6" ht="18" customHeight="1">
      <c r="A11" s="628" t="s">
        <v>852</v>
      </c>
      <c r="B11" s="613">
        <v>22955</v>
      </c>
      <c r="C11" s="613">
        <v>23307</v>
      </c>
      <c r="D11" s="720">
        <v>23917</v>
      </c>
      <c r="E11" s="638">
        <v>24522</v>
      </c>
      <c r="F11" s="613">
        <v>25125</v>
      </c>
    </row>
    <row r="12" spans="1:6" ht="18" customHeight="1">
      <c r="A12" s="641" t="s">
        <v>15</v>
      </c>
      <c r="B12" s="633"/>
      <c r="C12" s="633"/>
      <c r="D12" s="633"/>
      <c r="E12" s="633"/>
      <c r="F12" s="634"/>
    </row>
    <row r="13" spans="1:6" ht="18" customHeight="1">
      <c r="A13" s="628" t="s">
        <v>714</v>
      </c>
      <c r="B13" s="613">
        <v>5601939</v>
      </c>
      <c r="C13" s="613">
        <v>5548650</v>
      </c>
      <c r="D13" s="720">
        <v>5495217</v>
      </c>
      <c r="E13" s="638">
        <v>5441669</v>
      </c>
      <c r="F13" s="613">
        <v>5388091</v>
      </c>
    </row>
    <row r="14" spans="1:6" ht="18" customHeight="1">
      <c r="A14" s="628" t="s">
        <v>851</v>
      </c>
      <c r="B14" s="613">
        <v>2791849</v>
      </c>
      <c r="C14" s="613">
        <v>2760001</v>
      </c>
      <c r="D14" s="720">
        <v>2728267</v>
      </c>
      <c r="E14" s="638">
        <v>2696625</v>
      </c>
      <c r="F14" s="613">
        <v>2665126</v>
      </c>
    </row>
    <row r="15" spans="1:6" ht="18" customHeight="1">
      <c r="A15" s="628" t="s">
        <v>852</v>
      </c>
      <c r="B15" s="613">
        <v>2810090</v>
      </c>
      <c r="C15" s="613">
        <v>2788649</v>
      </c>
      <c r="D15" s="720">
        <v>2766950</v>
      </c>
      <c r="E15" s="638">
        <v>2745044</v>
      </c>
      <c r="F15" s="613">
        <v>2722965</v>
      </c>
    </row>
    <row r="16" spans="1:6" ht="18" customHeight="1">
      <c r="A16" s="641" t="s">
        <v>16</v>
      </c>
      <c r="B16" s="633"/>
      <c r="C16" s="633"/>
      <c r="D16" s="633"/>
      <c r="E16" s="633"/>
      <c r="F16" s="634"/>
    </row>
    <row r="17" spans="1:6" ht="18" customHeight="1">
      <c r="A17" s="628" t="s">
        <v>714</v>
      </c>
      <c r="B17" s="613">
        <v>162040</v>
      </c>
      <c r="C17" s="613">
        <v>160988</v>
      </c>
      <c r="D17" s="720">
        <v>159922</v>
      </c>
      <c r="E17" s="638">
        <v>158845</v>
      </c>
      <c r="F17" s="613">
        <v>157759</v>
      </c>
    </row>
    <row r="18" spans="1:6" ht="18" customHeight="1">
      <c r="A18" s="628" t="s">
        <v>851</v>
      </c>
      <c r="B18" s="613">
        <v>81086</v>
      </c>
      <c r="C18" s="613">
        <v>80541</v>
      </c>
      <c r="D18" s="720">
        <v>79992</v>
      </c>
      <c r="E18" s="638">
        <v>79439</v>
      </c>
      <c r="F18" s="613">
        <v>78884</v>
      </c>
    </row>
    <row r="19" spans="1:6" ht="18" customHeight="1">
      <c r="A19" s="628" t="s">
        <v>852</v>
      </c>
      <c r="B19" s="613">
        <v>80954</v>
      </c>
      <c r="C19" s="613">
        <v>80447</v>
      </c>
      <c r="D19" s="720">
        <v>79930</v>
      </c>
      <c r="E19" s="638">
        <v>79406</v>
      </c>
      <c r="F19" s="613">
        <v>78875</v>
      </c>
    </row>
    <row r="20" spans="1:6" ht="18" customHeight="1">
      <c r="A20" s="641" t="s">
        <v>17</v>
      </c>
      <c r="B20" s="633"/>
      <c r="C20" s="633"/>
      <c r="D20" s="633"/>
      <c r="E20" s="633"/>
      <c r="F20" s="634"/>
    </row>
    <row r="21" spans="1:6" ht="18" customHeight="1">
      <c r="A21" s="628" t="s">
        <v>714</v>
      </c>
      <c r="B21" s="613">
        <v>3696944</v>
      </c>
      <c r="C21" s="613">
        <v>3713244</v>
      </c>
      <c r="D21" s="720">
        <v>3729138</v>
      </c>
      <c r="E21" s="638">
        <v>3744693</v>
      </c>
      <c r="F21" s="613">
        <v>3759928</v>
      </c>
    </row>
    <row r="22" spans="1:6" ht="18" customHeight="1">
      <c r="A22" s="628" t="s">
        <v>851</v>
      </c>
      <c r="B22" s="613">
        <v>1802398</v>
      </c>
      <c r="C22" s="613">
        <v>1806802</v>
      </c>
      <c r="D22" s="720">
        <v>1811017</v>
      </c>
      <c r="E22" s="638">
        <v>1815087</v>
      </c>
      <c r="F22" s="613">
        <v>1819013</v>
      </c>
    </row>
    <row r="23" spans="1:6" ht="18" customHeight="1">
      <c r="A23" s="628" t="s">
        <v>852</v>
      </c>
      <c r="B23" s="613">
        <v>1894546</v>
      </c>
      <c r="C23" s="613">
        <v>1906442</v>
      </c>
      <c r="D23" s="720">
        <v>1918121</v>
      </c>
      <c r="E23" s="638">
        <v>1929606</v>
      </c>
      <c r="F23" s="613">
        <v>1940915</v>
      </c>
    </row>
    <row r="24" spans="1:6" ht="18" customHeight="1">
      <c r="A24" s="641" t="s">
        <v>18</v>
      </c>
      <c r="B24" s="633"/>
      <c r="C24" s="633"/>
      <c r="D24" s="633"/>
      <c r="E24" s="633"/>
      <c r="F24" s="634"/>
    </row>
    <row r="25" spans="1:6" ht="18" customHeight="1">
      <c r="A25" s="628" t="s">
        <v>714</v>
      </c>
      <c r="B25" s="613">
        <v>11202454</v>
      </c>
      <c r="C25" s="613">
        <v>11403681</v>
      </c>
      <c r="D25" s="720">
        <v>11607454</v>
      </c>
      <c r="E25" s="638">
        <v>11814017</v>
      </c>
      <c r="F25" s="613">
        <v>12023452</v>
      </c>
    </row>
    <row r="26" spans="1:6" ht="18" customHeight="1">
      <c r="A26" s="628" t="s">
        <v>851</v>
      </c>
      <c r="B26" s="613">
        <v>5871607</v>
      </c>
      <c r="C26" s="613">
        <v>5941675</v>
      </c>
      <c r="D26" s="720">
        <v>6011917</v>
      </c>
      <c r="E26" s="638">
        <v>6082469</v>
      </c>
      <c r="F26" s="613">
        <v>6153333</v>
      </c>
    </row>
    <row r="27" spans="1:6" ht="18" customHeight="1">
      <c r="A27" s="628" t="s">
        <v>852</v>
      </c>
      <c r="B27" s="613">
        <v>5330847</v>
      </c>
      <c r="C27" s="613">
        <v>5462006</v>
      </c>
      <c r="D27" s="720">
        <v>5595537</v>
      </c>
      <c r="E27" s="638">
        <v>5731548</v>
      </c>
      <c r="F27" s="613">
        <v>5870119</v>
      </c>
    </row>
    <row r="28" spans="1:6" ht="18" customHeight="1">
      <c r="A28" s="641" t="s">
        <v>19</v>
      </c>
      <c r="B28" s="633"/>
      <c r="C28" s="633"/>
      <c r="D28" s="633"/>
      <c r="E28" s="633"/>
      <c r="F28" s="634"/>
    </row>
    <row r="29" spans="1:6" ht="18" customHeight="1">
      <c r="A29" s="628" t="s">
        <v>714</v>
      </c>
      <c r="B29" s="613">
        <v>173634</v>
      </c>
      <c r="C29" s="613">
        <v>179685</v>
      </c>
      <c r="D29" s="720">
        <v>187731</v>
      </c>
      <c r="E29" s="638">
        <v>195852</v>
      </c>
      <c r="F29" s="613">
        <v>204551</v>
      </c>
    </row>
    <row r="30" spans="1:6" ht="18" customHeight="1">
      <c r="A30" s="628" t="s">
        <v>851</v>
      </c>
      <c r="B30" s="613">
        <v>101416</v>
      </c>
      <c r="C30" s="613">
        <v>105717</v>
      </c>
      <c r="D30" s="720">
        <v>111207</v>
      </c>
      <c r="E30" s="638">
        <v>116885</v>
      </c>
      <c r="F30" s="613">
        <v>123050</v>
      </c>
    </row>
    <row r="31" spans="1:6" ht="18" customHeight="1">
      <c r="A31" s="628" t="s">
        <v>852</v>
      </c>
      <c r="B31" s="613">
        <v>72218</v>
      </c>
      <c r="C31" s="613">
        <v>73968</v>
      </c>
      <c r="D31" s="720">
        <v>76524</v>
      </c>
      <c r="E31" s="638">
        <v>78967</v>
      </c>
      <c r="F31" s="613">
        <v>81501</v>
      </c>
    </row>
    <row r="32" spans="1:6" ht="18" customHeight="1">
      <c r="A32" s="641" t="s">
        <v>20</v>
      </c>
      <c r="B32" s="633"/>
      <c r="C32" s="633"/>
      <c r="D32" s="633"/>
      <c r="E32" s="633"/>
      <c r="F32" s="634"/>
    </row>
    <row r="33" spans="1:6" ht="18" customHeight="1">
      <c r="A33" s="628" t="s">
        <v>714</v>
      </c>
      <c r="B33" s="613">
        <v>3084628</v>
      </c>
      <c r="C33" s="613">
        <v>3106323</v>
      </c>
      <c r="D33" s="720">
        <v>3127770</v>
      </c>
      <c r="E33" s="638">
        <v>3149023</v>
      </c>
      <c r="F33" s="613">
        <v>3170092</v>
      </c>
    </row>
    <row r="34" spans="1:6" ht="18" customHeight="1">
      <c r="A34" s="628" t="s">
        <v>851</v>
      </c>
      <c r="B34" s="613">
        <v>1537485</v>
      </c>
      <c r="C34" s="613">
        <v>1545673</v>
      </c>
      <c r="D34" s="720">
        <v>1553735</v>
      </c>
      <c r="E34" s="638">
        <v>1561706</v>
      </c>
      <c r="F34" s="613">
        <v>1569585</v>
      </c>
    </row>
    <row r="35" spans="1:6" ht="18" customHeight="1">
      <c r="A35" s="628" t="s">
        <v>852</v>
      </c>
      <c r="B35" s="613">
        <v>1547143</v>
      </c>
      <c r="C35" s="613">
        <v>1560650</v>
      </c>
      <c r="D35" s="720">
        <v>1574035</v>
      </c>
      <c r="E35" s="638">
        <v>1587317</v>
      </c>
      <c r="F35" s="613">
        <v>1600507</v>
      </c>
    </row>
    <row r="36" spans="1:6" ht="18" customHeight="1">
      <c r="A36" s="641" t="s">
        <v>155</v>
      </c>
      <c r="B36" s="633"/>
      <c r="C36" s="633"/>
      <c r="D36" s="633"/>
      <c r="E36" s="633"/>
      <c r="F36" s="634"/>
    </row>
    <row r="37" spans="1:6" ht="18" customHeight="1">
      <c r="A37" s="628" t="s">
        <v>714</v>
      </c>
      <c r="B37" s="613">
        <v>59847</v>
      </c>
      <c r="C37" s="613">
        <v>61090</v>
      </c>
      <c r="D37" s="720">
        <v>63252</v>
      </c>
      <c r="E37" s="638">
        <v>65406</v>
      </c>
      <c r="F37" s="613">
        <v>67718</v>
      </c>
    </row>
    <row r="38" spans="1:6" ht="18" customHeight="1">
      <c r="A38" s="628" t="s">
        <v>851</v>
      </c>
      <c r="B38" s="613">
        <v>37280</v>
      </c>
      <c r="C38" s="613">
        <v>38285</v>
      </c>
      <c r="D38" s="720">
        <v>39623</v>
      </c>
      <c r="E38" s="638">
        <v>40957</v>
      </c>
      <c r="F38" s="613">
        <v>42453</v>
      </c>
    </row>
    <row r="39" spans="1:6" ht="18" customHeight="1">
      <c r="A39" s="628" t="s">
        <v>852</v>
      </c>
      <c r="B39" s="613">
        <v>22567</v>
      </c>
      <c r="C39" s="613">
        <v>22805</v>
      </c>
      <c r="D39" s="720">
        <v>23629</v>
      </c>
      <c r="E39" s="638">
        <v>24449</v>
      </c>
      <c r="F39" s="613">
        <v>25265</v>
      </c>
    </row>
    <row r="40" spans="1:6" ht="18" customHeight="1">
      <c r="A40" s="641" t="s">
        <v>156</v>
      </c>
      <c r="B40" s="633"/>
      <c r="C40" s="633"/>
      <c r="D40" s="633"/>
      <c r="E40" s="633"/>
      <c r="F40" s="634"/>
    </row>
    <row r="41" spans="1:6" ht="18" customHeight="1">
      <c r="A41" s="628" t="s">
        <v>714</v>
      </c>
      <c r="B41" s="613">
        <v>54430</v>
      </c>
      <c r="C41" s="613">
        <v>56683</v>
      </c>
      <c r="D41" s="720">
        <v>59187</v>
      </c>
      <c r="E41" s="638">
        <v>61686</v>
      </c>
      <c r="F41" s="613">
        <v>64690</v>
      </c>
    </row>
    <row r="42" spans="1:6" ht="18" customHeight="1">
      <c r="A42" s="628" t="s">
        <v>851</v>
      </c>
      <c r="B42" s="613">
        <v>40975</v>
      </c>
      <c r="C42" s="613">
        <v>42713</v>
      </c>
      <c r="D42" s="720">
        <v>44832</v>
      </c>
      <c r="E42" s="638">
        <v>46948</v>
      </c>
      <c r="F42" s="613">
        <v>49443</v>
      </c>
    </row>
    <row r="43" spans="1:6" ht="18" customHeight="1">
      <c r="A43" s="628" t="s">
        <v>852</v>
      </c>
      <c r="B43" s="613">
        <v>13455</v>
      </c>
      <c r="C43" s="613">
        <v>13970</v>
      </c>
      <c r="D43" s="720">
        <v>14355</v>
      </c>
      <c r="E43" s="638">
        <v>14738</v>
      </c>
      <c r="F43" s="613">
        <v>15247</v>
      </c>
    </row>
    <row r="44" spans="1:6" ht="18" customHeight="1">
      <c r="A44" s="641" t="s">
        <v>23</v>
      </c>
      <c r="B44" s="633"/>
      <c r="C44" s="633"/>
      <c r="D44" s="633"/>
      <c r="E44" s="633"/>
      <c r="F44" s="634"/>
    </row>
    <row r="45" spans="1:6" ht="18" customHeight="1">
      <c r="A45" s="628" t="s">
        <v>714</v>
      </c>
      <c r="B45" s="613">
        <v>2237479</v>
      </c>
      <c r="C45" s="613">
        <v>2267692</v>
      </c>
      <c r="D45" s="720">
        <v>2298017</v>
      </c>
      <c r="E45" s="638">
        <v>2328493</v>
      </c>
      <c r="F45" s="613">
        <v>2359131</v>
      </c>
    </row>
    <row r="46" spans="1:6" ht="18" customHeight="1">
      <c r="A46" s="628" t="s">
        <v>851</v>
      </c>
      <c r="B46" s="613">
        <v>1225135</v>
      </c>
      <c r="C46" s="613">
        <v>1241134</v>
      </c>
      <c r="D46" s="720">
        <v>1257204</v>
      </c>
      <c r="E46" s="638">
        <v>1273373</v>
      </c>
      <c r="F46" s="613">
        <v>1289642</v>
      </c>
    </row>
    <row r="47" spans="1:6" ht="18" customHeight="1">
      <c r="A47" s="628" t="s">
        <v>852</v>
      </c>
      <c r="B47" s="613">
        <v>1012344</v>
      </c>
      <c r="C47" s="613">
        <v>1026558</v>
      </c>
      <c r="D47" s="720">
        <v>1040813</v>
      </c>
      <c r="E47" s="638">
        <v>1055120</v>
      </c>
      <c r="F47" s="613">
        <v>1069489</v>
      </c>
    </row>
    <row r="48" spans="1:6" ht="18" customHeight="1">
      <c r="A48" s="641" t="s">
        <v>24</v>
      </c>
      <c r="B48" s="633"/>
      <c r="C48" s="633"/>
      <c r="D48" s="633"/>
      <c r="E48" s="633"/>
      <c r="F48" s="634"/>
    </row>
    <row r="49" spans="1:6" ht="18" customHeight="1">
      <c r="A49" s="628" t="s">
        <v>714</v>
      </c>
      <c r="B49" s="613">
        <v>171060</v>
      </c>
      <c r="C49" s="613">
        <v>173315</v>
      </c>
      <c r="D49" s="720">
        <v>177298</v>
      </c>
      <c r="E49" s="638">
        <v>181439</v>
      </c>
      <c r="F49" s="613">
        <v>185568</v>
      </c>
    </row>
    <row r="50" spans="1:6" ht="18" customHeight="1">
      <c r="A50" s="628" t="s">
        <v>851</v>
      </c>
      <c r="B50" s="613">
        <v>94332</v>
      </c>
      <c r="C50" s="613">
        <v>96321</v>
      </c>
      <c r="D50" s="720">
        <v>99207</v>
      </c>
      <c r="E50" s="638">
        <v>102262</v>
      </c>
      <c r="F50" s="613">
        <v>105400</v>
      </c>
    </row>
    <row r="51" spans="1:6" ht="18" customHeight="1">
      <c r="A51" s="628" t="s">
        <v>852</v>
      </c>
      <c r="B51" s="613">
        <v>76728</v>
      </c>
      <c r="C51" s="613">
        <v>76994</v>
      </c>
      <c r="D51" s="720">
        <v>78091</v>
      </c>
      <c r="E51" s="638">
        <v>79177</v>
      </c>
      <c r="F51" s="613">
        <v>80168</v>
      </c>
    </row>
    <row r="52" spans="1:6" ht="18" customHeight="1">
      <c r="A52" s="641" t="s">
        <v>25</v>
      </c>
      <c r="B52" s="633"/>
      <c r="C52" s="633"/>
      <c r="D52" s="633"/>
      <c r="E52" s="633"/>
      <c r="F52" s="634"/>
    </row>
    <row r="53" spans="1:6" ht="18" customHeight="1">
      <c r="A53" s="628" t="s">
        <v>714</v>
      </c>
      <c r="B53" s="613">
        <v>7185240</v>
      </c>
      <c r="C53" s="613">
        <v>7201594</v>
      </c>
      <c r="D53" s="720">
        <v>7217084</v>
      </c>
      <c r="E53" s="638">
        <v>7231855</v>
      </c>
      <c r="F53" s="613">
        <v>7245932</v>
      </c>
    </row>
    <row r="54" spans="1:6" ht="18" customHeight="1">
      <c r="A54" s="628" t="s">
        <v>851</v>
      </c>
      <c r="B54" s="613">
        <v>3784683</v>
      </c>
      <c r="C54" s="613">
        <v>3784827</v>
      </c>
      <c r="D54" s="720">
        <v>3784555</v>
      </c>
      <c r="E54" s="638">
        <v>3783961</v>
      </c>
      <c r="F54" s="613">
        <v>3783047</v>
      </c>
    </row>
    <row r="55" spans="1:6" ht="18" customHeight="1">
      <c r="A55" s="628" t="s">
        <v>852</v>
      </c>
      <c r="B55" s="613">
        <v>3400557</v>
      </c>
      <c r="C55" s="613">
        <v>3416767</v>
      </c>
      <c r="D55" s="720">
        <v>3432529</v>
      </c>
      <c r="E55" s="638">
        <v>3447894</v>
      </c>
      <c r="F55" s="613">
        <v>3462885</v>
      </c>
    </row>
    <row r="56" spans="1:6" ht="18" customHeight="1">
      <c r="A56" s="641" t="s">
        <v>26</v>
      </c>
      <c r="B56" s="633"/>
      <c r="C56" s="633"/>
      <c r="D56" s="633"/>
      <c r="E56" s="633"/>
      <c r="F56" s="634"/>
    </row>
    <row r="57" spans="1:6" ht="18" customHeight="1">
      <c r="A57" s="628" t="s">
        <v>714</v>
      </c>
      <c r="B57" s="613">
        <v>3185459</v>
      </c>
      <c r="C57" s="613">
        <v>3185213</v>
      </c>
      <c r="D57" s="640">
        <v>3184553</v>
      </c>
      <c r="E57" s="638">
        <v>3183546</v>
      </c>
      <c r="F57" s="613">
        <v>3182211</v>
      </c>
    </row>
    <row r="58" spans="1:6" ht="18" customHeight="1">
      <c r="A58" s="628" t="s">
        <v>851</v>
      </c>
      <c r="B58" s="613">
        <v>1730100</v>
      </c>
      <c r="C58" s="613">
        <v>1729834</v>
      </c>
      <c r="D58" s="640">
        <v>1729377</v>
      </c>
      <c r="E58" s="638">
        <v>1728772</v>
      </c>
      <c r="F58" s="613">
        <v>1728023</v>
      </c>
    </row>
    <row r="59" spans="1:6" ht="18" customHeight="1">
      <c r="A59" s="628" t="s">
        <v>852</v>
      </c>
      <c r="B59" s="613">
        <v>1455359</v>
      </c>
      <c r="C59" s="613">
        <v>1455379</v>
      </c>
      <c r="D59" s="640">
        <v>1455176</v>
      </c>
      <c r="E59" s="638">
        <v>1454774</v>
      </c>
      <c r="F59" s="613">
        <v>1454188</v>
      </c>
    </row>
    <row r="60" spans="1:6" ht="18" customHeight="1">
      <c r="A60" s="641" t="s">
        <v>27</v>
      </c>
      <c r="B60" s="633"/>
      <c r="C60" s="633"/>
      <c r="D60" s="633"/>
      <c r="E60" s="633"/>
      <c r="F60" s="634"/>
    </row>
    <row r="61" spans="1:6" ht="18" customHeight="1">
      <c r="A61" s="628" t="s">
        <v>714</v>
      </c>
      <c r="B61" s="613">
        <v>744639</v>
      </c>
      <c r="C61" s="613">
        <v>735616</v>
      </c>
      <c r="D61" s="640">
        <v>726614</v>
      </c>
      <c r="E61" s="638">
        <v>717648</v>
      </c>
      <c r="F61" s="613">
        <v>708724</v>
      </c>
    </row>
    <row r="62" spans="1:6" ht="18" customHeight="1">
      <c r="A62" s="628" t="s">
        <v>851</v>
      </c>
      <c r="B62" s="613">
        <v>384477</v>
      </c>
      <c r="C62" s="613">
        <v>380847</v>
      </c>
      <c r="D62" s="640">
        <v>377209</v>
      </c>
      <c r="E62" s="638">
        <v>373574</v>
      </c>
      <c r="F62" s="613">
        <v>369943</v>
      </c>
    </row>
    <row r="63" spans="1:6" ht="18" customHeight="1">
      <c r="A63" s="628" t="s">
        <v>852</v>
      </c>
      <c r="B63" s="613">
        <v>360162</v>
      </c>
      <c r="C63" s="613">
        <v>354769</v>
      </c>
      <c r="D63" s="640">
        <v>349405</v>
      </c>
      <c r="E63" s="638">
        <v>344074</v>
      </c>
      <c r="F63" s="613">
        <v>338781</v>
      </c>
    </row>
    <row r="64" spans="1:6" ht="18" customHeight="1">
      <c r="A64" s="641" t="s">
        <v>57</v>
      </c>
      <c r="B64" s="633"/>
      <c r="C64" s="633"/>
      <c r="D64" s="633"/>
      <c r="E64" s="633"/>
      <c r="F64" s="634"/>
    </row>
    <row r="65" spans="1:6" ht="18" customHeight="1">
      <c r="A65" s="628" t="s">
        <v>714</v>
      </c>
      <c r="B65" s="613">
        <v>1340857</v>
      </c>
      <c r="C65" s="613">
        <v>1319420</v>
      </c>
      <c r="D65" s="640">
        <v>1298156</v>
      </c>
      <c r="E65" s="638">
        <v>1277094</v>
      </c>
      <c r="F65" s="639">
        <v>1219652.7313743578</v>
      </c>
    </row>
    <row r="66" spans="1:6" ht="18" customHeight="1">
      <c r="A66" s="628" t="s">
        <v>851</v>
      </c>
      <c r="B66" s="613">
        <v>692574</v>
      </c>
      <c r="C66" s="613">
        <v>681446</v>
      </c>
      <c r="D66" s="640">
        <v>670424</v>
      </c>
      <c r="E66" s="638">
        <v>659524</v>
      </c>
      <c r="F66" s="639">
        <v>628889.81150636671</v>
      </c>
    </row>
    <row r="67" spans="1:6" ht="18" customHeight="1">
      <c r="A67" s="628" t="s">
        <v>852</v>
      </c>
      <c r="B67" s="613">
        <v>648283</v>
      </c>
      <c r="C67" s="613">
        <v>637974</v>
      </c>
      <c r="D67" s="640">
        <v>627732</v>
      </c>
      <c r="E67" s="638">
        <v>617570</v>
      </c>
      <c r="F67" s="639">
        <v>590762.91986799112</v>
      </c>
    </row>
    <row r="68" spans="1:6" ht="18" customHeight="1">
      <c r="A68" s="641" t="s">
        <v>29</v>
      </c>
      <c r="B68" s="633"/>
      <c r="C68" s="633"/>
      <c r="D68" s="633"/>
      <c r="E68" s="633"/>
      <c r="F68" s="634"/>
    </row>
    <row r="69" spans="1:6" ht="18" customHeight="1">
      <c r="A69" s="628" t="s">
        <v>714</v>
      </c>
      <c r="B69" s="613">
        <v>3751369</v>
      </c>
      <c r="C69" s="613">
        <v>3790851</v>
      </c>
      <c r="D69" s="640">
        <v>3830303</v>
      </c>
      <c r="E69" s="638">
        <v>3869791</v>
      </c>
      <c r="F69" s="613">
        <v>3909332</v>
      </c>
    </row>
    <row r="70" spans="1:6" ht="18" customHeight="1">
      <c r="A70" s="628" t="s">
        <v>851</v>
      </c>
      <c r="B70" s="613">
        <v>1900621</v>
      </c>
      <c r="C70" s="613">
        <v>1913309</v>
      </c>
      <c r="D70" s="640">
        <v>1925870</v>
      </c>
      <c r="E70" s="638">
        <v>1938347</v>
      </c>
      <c r="F70" s="613">
        <v>1950742</v>
      </c>
    </row>
    <row r="71" spans="1:6" ht="18" customHeight="1">
      <c r="A71" s="628" t="s">
        <v>852</v>
      </c>
      <c r="B71" s="613">
        <v>1850748</v>
      </c>
      <c r="C71" s="613">
        <v>1877542</v>
      </c>
      <c r="D71" s="640">
        <v>1904433</v>
      </c>
      <c r="E71" s="638">
        <v>1931444</v>
      </c>
      <c r="F71" s="613">
        <v>1958590</v>
      </c>
    </row>
    <row r="72" spans="1:6" ht="18" customHeight="1">
      <c r="A72" s="641" t="s">
        <v>30</v>
      </c>
      <c r="B72" s="633"/>
      <c r="C72" s="633"/>
      <c r="D72" s="633"/>
      <c r="E72" s="633"/>
      <c r="F72" s="634"/>
    </row>
    <row r="73" spans="1:6" ht="18" customHeight="1">
      <c r="A73" s="628" t="s">
        <v>714</v>
      </c>
      <c r="B73" s="613">
        <v>7122040</v>
      </c>
      <c r="C73" s="613">
        <v>7052447</v>
      </c>
      <c r="D73" s="640">
        <v>6982633</v>
      </c>
      <c r="E73" s="638">
        <v>6912759</v>
      </c>
      <c r="F73" s="639">
        <v>6842880</v>
      </c>
    </row>
    <row r="74" spans="1:6" ht="18" customHeight="1">
      <c r="A74" s="628" t="s">
        <v>851</v>
      </c>
      <c r="B74" s="613">
        <v>3648803</v>
      </c>
      <c r="C74" s="613">
        <v>3608150</v>
      </c>
      <c r="D74" s="640">
        <v>3567558</v>
      </c>
      <c r="E74" s="638">
        <v>3527121</v>
      </c>
      <c r="F74" s="639">
        <v>3486851</v>
      </c>
    </row>
    <row r="75" spans="1:6" ht="18" customHeight="1">
      <c r="A75" s="628" t="s">
        <v>852</v>
      </c>
      <c r="B75" s="613">
        <v>3473237</v>
      </c>
      <c r="C75" s="613">
        <v>3444297</v>
      </c>
      <c r="D75" s="640">
        <v>3415075</v>
      </c>
      <c r="E75" s="638">
        <v>3385638</v>
      </c>
      <c r="F75" s="639">
        <v>3356029</v>
      </c>
    </row>
    <row r="76" spans="1:6" ht="18" customHeight="1">
      <c r="A76" s="641" t="s">
        <v>31</v>
      </c>
      <c r="B76" s="633"/>
      <c r="C76" s="633"/>
      <c r="D76" s="633"/>
      <c r="E76" s="633"/>
      <c r="F76" s="634"/>
    </row>
    <row r="77" spans="1:6" ht="18" customHeight="1">
      <c r="A77" s="628" t="s">
        <v>714</v>
      </c>
      <c r="B77" s="613">
        <v>3051307</v>
      </c>
      <c r="C77" s="613">
        <v>3021991</v>
      </c>
      <c r="D77" s="640">
        <v>2992566</v>
      </c>
      <c r="E77" s="638">
        <v>2963104</v>
      </c>
      <c r="F77" s="613">
        <v>2933628</v>
      </c>
    </row>
    <row r="78" spans="1:6" ht="18" customHeight="1">
      <c r="A78" s="628" t="s">
        <v>851</v>
      </c>
      <c r="B78" s="613">
        <v>1525261</v>
      </c>
      <c r="C78" s="613">
        <v>1512481</v>
      </c>
      <c r="D78" s="640">
        <v>1499642</v>
      </c>
      <c r="E78" s="638">
        <v>1486785</v>
      </c>
      <c r="F78" s="613">
        <v>1473915</v>
      </c>
    </row>
    <row r="79" spans="1:6" ht="18" customHeight="1">
      <c r="A79" s="628" t="s">
        <v>852</v>
      </c>
      <c r="B79" s="613">
        <v>1526046</v>
      </c>
      <c r="C79" s="613">
        <v>1509510</v>
      </c>
      <c r="D79" s="640">
        <v>1492924</v>
      </c>
      <c r="E79" s="638">
        <v>1476319</v>
      </c>
      <c r="F79" s="613">
        <v>1459713</v>
      </c>
    </row>
    <row r="80" spans="1:6" ht="18" customHeight="1">
      <c r="A80" s="641" t="s">
        <v>761</v>
      </c>
      <c r="B80" s="633"/>
      <c r="C80" s="633"/>
      <c r="D80" s="633"/>
      <c r="E80" s="633"/>
      <c r="F80" s="634"/>
    </row>
    <row r="81" spans="1:6" ht="18" customHeight="1">
      <c r="A81" s="628" t="s">
        <v>714</v>
      </c>
      <c r="B81" s="613"/>
      <c r="C81" s="613"/>
      <c r="D81" s="640"/>
      <c r="E81" s="638"/>
      <c r="F81" s="639">
        <v>36588.268625642217</v>
      </c>
    </row>
    <row r="82" spans="1:6" ht="18" customHeight="1">
      <c r="A82" s="628" t="s">
        <v>851</v>
      </c>
      <c r="B82" s="613"/>
      <c r="C82" s="613"/>
      <c r="D82" s="640"/>
      <c r="E82" s="638"/>
      <c r="F82" s="639">
        <v>19856.188493633341</v>
      </c>
    </row>
    <row r="83" spans="1:6" ht="18" customHeight="1">
      <c r="A83" s="628" t="s">
        <v>852</v>
      </c>
      <c r="B83" s="613"/>
      <c r="C83" s="613"/>
      <c r="D83" s="640"/>
      <c r="E83" s="638"/>
      <c r="F83" s="639">
        <v>16732.080132008872</v>
      </c>
    </row>
    <row r="84" spans="1:6" ht="18" customHeight="1">
      <c r="A84" s="641" t="s">
        <v>32</v>
      </c>
      <c r="B84" s="633"/>
      <c r="C84" s="633"/>
      <c r="D84" s="633"/>
      <c r="E84" s="633"/>
      <c r="F84" s="634"/>
    </row>
    <row r="85" spans="1:6" ht="18" customHeight="1">
      <c r="A85" s="628" t="s">
        <v>714</v>
      </c>
      <c r="B85" s="613">
        <v>7101</v>
      </c>
      <c r="C85" s="613">
        <v>7185</v>
      </c>
      <c r="D85" s="640">
        <v>7269</v>
      </c>
      <c r="E85" s="638">
        <v>7360</v>
      </c>
      <c r="F85" s="613">
        <v>7443</v>
      </c>
    </row>
    <row r="86" spans="1:6" ht="18" customHeight="1">
      <c r="A86" s="628" t="s">
        <v>851</v>
      </c>
      <c r="B86" s="613">
        <v>3651</v>
      </c>
      <c r="C86" s="613">
        <v>3650</v>
      </c>
      <c r="D86" s="640">
        <v>3650</v>
      </c>
      <c r="E86" s="638">
        <v>3742</v>
      </c>
      <c r="F86" s="613">
        <v>3741</v>
      </c>
    </row>
    <row r="87" spans="1:6" ht="18" customHeight="1">
      <c r="A87" s="628" t="s">
        <v>852</v>
      </c>
      <c r="B87" s="613">
        <v>3450</v>
      </c>
      <c r="C87" s="613">
        <v>3535</v>
      </c>
      <c r="D87" s="640">
        <v>3619</v>
      </c>
      <c r="E87" s="638">
        <v>3618</v>
      </c>
      <c r="F87" s="613">
        <v>3702</v>
      </c>
    </row>
    <row r="88" spans="1:6" ht="18" customHeight="1">
      <c r="A88" s="641" t="s">
        <v>33</v>
      </c>
      <c r="B88" s="633"/>
      <c r="C88" s="633"/>
      <c r="D88" s="633"/>
      <c r="E88" s="633"/>
      <c r="F88" s="634"/>
    </row>
    <row r="89" spans="1:6" ht="18" customHeight="1">
      <c r="A89" s="628" t="s">
        <v>714</v>
      </c>
      <c r="B89" s="613">
        <v>8787661</v>
      </c>
      <c r="C89" s="613">
        <v>8846960</v>
      </c>
      <c r="D89" s="640">
        <v>8905538</v>
      </c>
      <c r="E89" s="638">
        <v>8963556</v>
      </c>
      <c r="F89" s="639">
        <v>9021043</v>
      </c>
    </row>
    <row r="90" spans="1:6" ht="18" customHeight="1">
      <c r="A90" s="628" t="s">
        <v>851</v>
      </c>
      <c r="B90" s="613">
        <v>4649525</v>
      </c>
      <c r="C90" s="613">
        <v>4671898</v>
      </c>
      <c r="D90" s="640">
        <v>4693864</v>
      </c>
      <c r="E90" s="638">
        <v>4715530</v>
      </c>
      <c r="F90" s="639">
        <v>4736897</v>
      </c>
    </row>
    <row r="91" spans="1:6" ht="18" customHeight="1">
      <c r="A91" s="628" t="s">
        <v>852</v>
      </c>
      <c r="B91" s="613">
        <v>4138136</v>
      </c>
      <c r="C91" s="613">
        <v>4175062</v>
      </c>
      <c r="D91" s="640">
        <v>4211674</v>
      </c>
      <c r="E91" s="638">
        <v>4248026</v>
      </c>
      <c r="F91" s="639">
        <v>4284146</v>
      </c>
    </row>
    <row r="92" spans="1:6" ht="18" customHeight="1">
      <c r="A92" s="641" t="s">
        <v>34</v>
      </c>
      <c r="B92" s="633"/>
      <c r="C92" s="633"/>
      <c r="D92" s="633"/>
      <c r="E92" s="633"/>
      <c r="F92" s="634"/>
    </row>
    <row r="93" spans="1:6" ht="18" customHeight="1">
      <c r="A93" s="628" t="s">
        <v>714</v>
      </c>
      <c r="B93" s="613">
        <v>13340997</v>
      </c>
      <c r="C93" s="613">
        <v>13306153</v>
      </c>
      <c r="D93" s="640">
        <v>13269732</v>
      </c>
      <c r="E93" s="638">
        <v>13232016</v>
      </c>
      <c r="F93" s="613">
        <v>13193085</v>
      </c>
    </row>
    <row r="94" spans="1:6" ht="18" customHeight="1">
      <c r="A94" s="628" t="s">
        <v>851</v>
      </c>
      <c r="B94" s="613">
        <v>7035512</v>
      </c>
      <c r="C94" s="613">
        <v>7002901</v>
      </c>
      <c r="D94" s="640">
        <v>6969675</v>
      </c>
      <c r="E94" s="638">
        <v>6936014</v>
      </c>
      <c r="F94" s="613">
        <v>6901934</v>
      </c>
    </row>
    <row r="95" spans="1:6" ht="18" customHeight="1">
      <c r="A95" s="628" t="s">
        <v>852</v>
      </c>
      <c r="B95" s="613">
        <v>6305485</v>
      </c>
      <c r="C95" s="613">
        <v>6303252</v>
      </c>
      <c r="D95" s="640">
        <v>6300057</v>
      </c>
      <c r="E95" s="638">
        <v>6296002</v>
      </c>
      <c r="F95" s="613">
        <v>6291151</v>
      </c>
    </row>
    <row r="96" spans="1:6" ht="18" customHeight="1">
      <c r="A96" s="641" t="s">
        <v>35</v>
      </c>
      <c r="B96" s="633"/>
      <c r="C96" s="633"/>
      <c r="D96" s="633"/>
      <c r="E96" s="633"/>
      <c r="F96" s="634"/>
    </row>
    <row r="97" spans="1:6" ht="18" customHeight="1">
      <c r="A97" s="628" t="s">
        <v>714</v>
      </c>
      <c r="B97" s="613">
        <v>290731</v>
      </c>
      <c r="C97" s="613">
        <v>288846</v>
      </c>
      <c r="D97" s="640">
        <v>329418</v>
      </c>
      <c r="E97" s="638">
        <v>327201</v>
      </c>
      <c r="F97" s="639">
        <v>324963</v>
      </c>
    </row>
    <row r="98" spans="1:6" ht="18" customHeight="1">
      <c r="A98" s="628" t="s">
        <v>851</v>
      </c>
      <c r="B98" s="613">
        <v>142922</v>
      </c>
      <c r="C98" s="613">
        <v>141963</v>
      </c>
      <c r="D98" s="640">
        <v>163639</v>
      </c>
      <c r="E98" s="638">
        <v>162509</v>
      </c>
      <c r="F98" s="639">
        <v>161373</v>
      </c>
    </row>
    <row r="99" spans="1:6" ht="18" customHeight="1">
      <c r="A99" s="628" t="s">
        <v>852</v>
      </c>
      <c r="B99" s="613">
        <v>147809</v>
      </c>
      <c r="C99" s="613">
        <v>146883</v>
      </c>
      <c r="D99" s="640">
        <v>165779</v>
      </c>
      <c r="E99" s="638">
        <v>164692</v>
      </c>
      <c r="F99" s="639">
        <v>163590</v>
      </c>
    </row>
    <row r="100" spans="1:6" ht="18" customHeight="1">
      <c r="A100" s="641" t="s">
        <v>36</v>
      </c>
      <c r="B100" s="633"/>
      <c r="C100" s="633"/>
      <c r="D100" s="633"/>
      <c r="E100" s="633"/>
      <c r="F100" s="634"/>
    </row>
    <row r="101" spans="1:6" ht="18" customHeight="1">
      <c r="A101" s="628" t="s">
        <v>714</v>
      </c>
      <c r="B101" s="613">
        <v>344333</v>
      </c>
      <c r="C101" s="613">
        <v>342100</v>
      </c>
      <c r="D101" s="640">
        <v>339836</v>
      </c>
      <c r="E101" s="638">
        <v>337549</v>
      </c>
      <c r="F101" s="613">
        <v>335241</v>
      </c>
    </row>
    <row r="102" spans="1:6" ht="18" customHeight="1">
      <c r="A102" s="628" t="s">
        <v>851</v>
      </c>
      <c r="B102" s="613">
        <v>169519</v>
      </c>
      <c r="C102" s="613">
        <v>168382</v>
      </c>
      <c r="D102" s="640">
        <v>167233</v>
      </c>
      <c r="E102" s="638">
        <v>166078</v>
      </c>
      <c r="F102" s="613">
        <v>164917</v>
      </c>
    </row>
    <row r="103" spans="1:6" ht="18" customHeight="1">
      <c r="A103" s="628" t="s">
        <v>852</v>
      </c>
      <c r="B103" s="613">
        <v>174814</v>
      </c>
      <c r="C103" s="613">
        <v>173718</v>
      </c>
      <c r="D103" s="640">
        <v>172603</v>
      </c>
      <c r="E103" s="638">
        <v>171471</v>
      </c>
      <c r="F103" s="613">
        <v>170324</v>
      </c>
    </row>
    <row r="104" spans="1:6" ht="18" customHeight="1">
      <c r="A104" s="641" t="s">
        <v>37</v>
      </c>
      <c r="B104" s="633"/>
      <c r="C104" s="633"/>
      <c r="D104" s="633"/>
      <c r="E104" s="633"/>
      <c r="F104" s="634"/>
    </row>
    <row r="105" spans="1:6" ht="18" customHeight="1">
      <c r="A105" s="628" t="s">
        <v>714</v>
      </c>
      <c r="B105" s="613">
        <v>130552</v>
      </c>
      <c r="C105" s="613">
        <v>129705</v>
      </c>
      <c r="D105" s="640">
        <v>128848</v>
      </c>
      <c r="E105" s="638">
        <v>127979</v>
      </c>
      <c r="F105" s="613">
        <v>127103</v>
      </c>
    </row>
    <row r="106" spans="1:6" ht="18" customHeight="1">
      <c r="A106" s="628" t="s">
        <v>851</v>
      </c>
      <c r="B106" s="613">
        <v>64871</v>
      </c>
      <c r="C106" s="613">
        <v>64435</v>
      </c>
      <c r="D106" s="640">
        <v>63997</v>
      </c>
      <c r="E106" s="638">
        <v>63554</v>
      </c>
      <c r="F106" s="613">
        <v>63109</v>
      </c>
    </row>
    <row r="107" spans="1:6" ht="18" customHeight="1">
      <c r="A107" s="628" t="s">
        <v>852</v>
      </c>
      <c r="B107" s="613">
        <v>65681</v>
      </c>
      <c r="C107" s="613">
        <v>65270</v>
      </c>
      <c r="D107" s="640">
        <v>64851</v>
      </c>
      <c r="E107" s="638">
        <v>64425</v>
      </c>
      <c r="F107" s="613">
        <v>63994</v>
      </c>
    </row>
    <row r="108" spans="1:6" ht="18" customHeight="1">
      <c r="A108" s="641" t="s">
        <v>38</v>
      </c>
      <c r="B108" s="633"/>
      <c r="C108" s="633"/>
      <c r="D108" s="633"/>
      <c r="E108" s="633"/>
      <c r="F108" s="634"/>
    </row>
    <row r="109" spans="1:6" ht="18" customHeight="1">
      <c r="A109" s="628" t="s">
        <v>714</v>
      </c>
      <c r="B109" s="613">
        <v>247565</v>
      </c>
      <c r="C109" s="613">
        <v>245957</v>
      </c>
      <c r="D109" s="640">
        <v>244329</v>
      </c>
      <c r="E109" s="638">
        <v>242681</v>
      </c>
      <c r="F109" s="613">
        <v>241020</v>
      </c>
    </row>
    <row r="110" spans="1:6" ht="18" customHeight="1">
      <c r="A110" s="628" t="s">
        <v>851</v>
      </c>
      <c r="B110" s="613">
        <v>125989</v>
      </c>
      <c r="C110" s="613">
        <v>125144</v>
      </c>
      <c r="D110" s="640">
        <v>124292</v>
      </c>
      <c r="E110" s="638">
        <v>123431</v>
      </c>
      <c r="F110" s="613">
        <v>122569</v>
      </c>
    </row>
    <row r="111" spans="1:6" ht="18" customHeight="1">
      <c r="A111" s="628" t="s">
        <v>852</v>
      </c>
      <c r="B111" s="613">
        <v>121576</v>
      </c>
      <c r="C111" s="613">
        <v>120813</v>
      </c>
      <c r="D111" s="640">
        <v>120037</v>
      </c>
      <c r="E111" s="638">
        <v>119250</v>
      </c>
      <c r="F111" s="613">
        <v>118451</v>
      </c>
    </row>
    <row r="112" spans="1:6" ht="18" customHeight="1">
      <c r="A112" s="641" t="s">
        <v>39</v>
      </c>
      <c r="B112" s="633"/>
      <c r="C112" s="633"/>
      <c r="D112" s="633"/>
      <c r="E112" s="633"/>
      <c r="F112" s="634"/>
    </row>
    <row r="113" spans="1:6" ht="18" customHeight="1">
      <c r="A113" s="628" t="s">
        <v>714</v>
      </c>
      <c r="B113" s="613">
        <v>4655573</v>
      </c>
      <c r="C113" s="613">
        <v>4640028</v>
      </c>
      <c r="D113" s="640">
        <v>4623929</v>
      </c>
      <c r="E113" s="638">
        <v>4607379</v>
      </c>
      <c r="F113" s="613">
        <v>4590403</v>
      </c>
    </row>
    <row r="114" spans="1:6" ht="18" customHeight="1">
      <c r="A114" s="628" t="s">
        <v>851</v>
      </c>
      <c r="B114" s="613">
        <v>2321764</v>
      </c>
      <c r="C114" s="613">
        <v>2315718</v>
      </c>
      <c r="D114" s="640">
        <v>2309432</v>
      </c>
      <c r="E114" s="638">
        <v>2302968</v>
      </c>
      <c r="F114" s="613">
        <v>2296327</v>
      </c>
    </row>
    <row r="115" spans="1:6" ht="18" customHeight="1">
      <c r="A115" s="628" t="s">
        <v>852</v>
      </c>
      <c r="B115" s="613">
        <v>2333809</v>
      </c>
      <c r="C115" s="613">
        <v>2324310</v>
      </c>
      <c r="D115" s="640">
        <v>2314497</v>
      </c>
      <c r="E115" s="638">
        <v>2304411</v>
      </c>
      <c r="F115" s="613">
        <v>2294076</v>
      </c>
    </row>
    <row r="116" spans="1:6" ht="18" customHeight="1">
      <c r="A116" s="641" t="s">
        <v>40</v>
      </c>
      <c r="B116" s="633"/>
      <c r="C116" s="633"/>
      <c r="D116" s="633"/>
      <c r="E116" s="633"/>
      <c r="F116" s="634"/>
    </row>
    <row r="117" spans="1:6" ht="18" customHeight="1">
      <c r="A117" s="628" t="s">
        <v>714</v>
      </c>
      <c r="B117" s="613">
        <v>151524</v>
      </c>
      <c r="C117" s="613">
        <v>155259</v>
      </c>
      <c r="D117" s="640">
        <v>160906</v>
      </c>
      <c r="E117" s="638">
        <v>166793</v>
      </c>
      <c r="F117" s="613">
        <v>172917</v>
      </c>
    </row>
    <row r="118" spans="1:6" ht="18" customHeight="1">
      <c r="A118" s="628" t="s">
        <v>851</v>
      </c>
      <c r="B118" s="613">
        <v>76963</v>
      </c>
      <c r="C118" s="613">
        <v>79972</v>
      </c>
      <c r="D118" s="640">
        <v>84092</v>
      </c>
      <c r="E118" s="638">
        <v>88461</v>
      </c>
      <c r="F118" s="613">
        <v>93078</v>
      </c>
    </row>
    <row r="119" spans="1:6" ht="18" customHeight="1">
      <c r="A119" s="628" t="s">
        <v>852</v>
      </c>
      <c r="B119" s="613">
        <v>74561</v>
      </c>
      <c r="C119" s="613">
        <v>75287</v>
      </c>
      <c r="D119" s="640">
        <v>76814</v>
      </c>
      <c r="E119" s="638">
        <v>78332</v>
      </c>
      <c r="F119" s="613">
        <v>79839</v>
      </c>
    </row>
    <row r="120" spans="1:6" ht="18" customHeight="1">
      <c r="A120" s="641" t="s">
        <v>41</v>
      </c>
      <c r="B120" s="633"/>
      <c r="C120" s="633"/>
      <c r="D120" s="633"/>
      <c r="E120" s="633"/>
      <c r="F120" s="634"/>
    </row>
    <row r="121" spans="1:6" ht="18" customHeight="1">
      <c r="A121" s="628" t="s">
        <v>714</v>
      </c>
      <c r="B121" s="613">
        <v>3248003</v>
      </c>
      <c r="C121" s="613">
        <v>3205329</v>
      </c>
      <c r="D121" s="640">
        <v>3162828</v>
      </c>
      <c r="E121" s="638">
        <v>3120572</v>
      </c>
      <c r="F121" s="639">
        <v>3078582</v>
      </c>
    </row>
    <row r="122" spans="1:6" ht="18" customHeight="1">
      <c r="A122" s="628" t="s">
        <v>851</v>
      </c>
      <c r="B122" s="613">
        <v>1772109</v>
      </c>
      <c r="C122" s="613">
        <v>1752878</v>
      </c>
      <c r="D122" s="640">
        <v>1733665</v>
      </c>
      <c r="E122" s="638">
        <v>1714517</v>
      </c>
      <c r="F122" s="639">
        <v>1695437</v>
      </c>
    </row>
    <row r="123" spans="1:6" ht="18" customHeight="1">
      <c r="A123" s="628" t="s">
        <v>852</v>
      </c>
      <c r="B123" s="613">
        <v>1475894</v>
      </c>
      <c r="C123" s="613">
        <v>1452451</v>
      </c>
      <c r="D123" s="640">
        <v>1429163</v>
      </c>
      <c r="E123" s="638">
        <v>1406055</v>
      </c>
      <c r="F123" s="639">
        <v>1383145</v>
      </c>
    </row>
    <row r="124" spans="1:6" ht="18" customHeight="1">
      <c r="A124" s="641" t="s">
        <v>42</v>
      </c>
      <c r="B124" s="633"/>
      <c r="C124" s="633"/>
      <c r="D124" s="633"/>
      <c r="E124" s="633"/>
      <c r="F124" s="634"/>
    </row>
    <row r="125" spans="1:6" ht="18" customHeight="1">
      <c r="A125" s="628" t="s">
        <v>714</v>
      </c>
      <c r="B125" s="613">
        <v>8706717</v>
      </c>
      <c r="C125" s="613">
        <v>8818503</v>
      </c>
      <c r="D125" s="640">
        <v>8930612</v>
      </c>
      <c r="E125" s="638">
        <v>9043202</v>
      </c>
      <c r="F125" s="639">
        <v>9156303</v>
      </c>
    </row>
    <row r="126" spans="1:6" ht="18" customHeight="1">
      <c r="A126" s="628" t="s">
        <v>851</v>
      </c>
      <c r="B126" s="613">
        <v>4548368</v>
      </c>
      <c r="C126" s="613">
        <v>4596084</v>
      </c>
      <c r="D126" s="640">
        <v>4643790</v>
      </c>
      <c r="E126" s="638">
        <v>4691591</v>
      </c>
      <c r="F126" s="639">
        <v>4739484</v>
      </c>
    </row>
    <row r="127" spans="1:6" ht="18" customHeight="1">
      <c r="A127" s="628" t="s">
        <v>852</v>
      </c>
      <c r="B127" s="613">
        <v>4158349</v>
      </c>
      <c r="C127" s="613">
        <v>4222419</v>
      </c>
      <c r="D127" s="640">
        <v>4286822</v>
      </c>
      <c r="E127" s="638">
        <v>4351611</v>
      </c>
      <c r="F127" s="639">
        <v>4416819</v>
      </c>
    </row>
    <row r="128" spans="1:6" ht="18" customHeight="1">
      <c r="A128" s="641" t="s">
        <v>43</v>
      </c>
      <c r="B128" s="633"/>
      <c r="C128" s="633"/>
      <c r="D128" s="633"/>
      <c r="E128" s="633"/>
      <c r="F128" s="634"/>
    </row>
    <row r="129" spans="1:6" ht="18" customHeight="1">
      <c r="A129" s="628" t="s">
        <v>714</v>
      </c>
      <c r="B129" s="613">
        <v>78651</v>
      </c>
      <c r="C129" s="613">
        <v>78139</v>
      </c>
      <c r="D129" s="640">
        <v>77623</v>
      </c>
      <c r="E129" s="638">
        <v>77099</v>
      </c>
      <c r="F129" s="613">
        <v>76571</v>
      </c>
    </row>
    <row r="130" spans="1:6" ht="18" customHeight="1">
      <c r="A130" s="628" t="s">
        <v>851</v>
      </c>
      <c r="B130" s="613">
        <v>40637</v>
      </c>
      <c r="C130" s="613">
        <v>40364</v>
      </c>
      <c r="D130" s="640">
        <v>40090</v>
      </c>
      <c r="E130" s="638">
        <v>39812</v>
      </c>
      <c r="F130" s="613">
        <v>39534</v>
      </c>
    </row>
    <row r="131" spans="1:6" ht="18" customHeight="1">
      <c r="A131" s="628" t="s">
        <v>852</v>
      </c>
      <c r="B131" s="613">
        <v>38014</v>
      </c>
      <c r="C131" s="613">
        <v>37775</v>
      </c>
      <c r="D131" s="640">
        <v>37533</v>
      </c>
      <c r="E131" s="638">
        <v>37287</v>
      </c>
      <c r="F131" s="613">
        <v>37037</v>
      </c>
    </row>
    <row r="132" spans="1:6" ht="18" customHeight="1">
      <c r="A132" s="641" t="s">
        <v>44</v>
      </c>
      <c r="B132" s="633"/>
      <c r="C132" s="633"/>
      <c r="D132" s="633"/>
      <c r="E132" s="633"/>
      <c r="F132" s="634"/>
    </row>
    <row r="133" spans="1:6" ht="18" customHeight="1">
      <c r="A133" s="628" t="s">
        <v>714</v>
      </c>
      <c r="B133" s="613">
        <v>7300716</v>
      </c>
      <c r="C133" s="613">
        <v>7187371</v>
      </c>
      <c r="D133" s="640">
        <v>7074857</v>
      </c>
      <c r="E133" s="638">
        <v>6963333</v>
      </c>
      <c r="F133" s="613">
        <v>6852843</v>
      </c>
    </row>
    <row r="134" spans="1:6" ht="18" customHeight="1">
      <c r="A134" s="628" t="s">
        <v>851</v>
      </c>
      <c r="B134" s="613">
        <v>3653781</v>
      </c>
      <c r="C134" s="613">
        <v>3598596</v>
      </c>
      <c r="D134" s="640">
        <v>3543854</v>
      </c>
      <c r="E134" s="638">
        <v>3489647</v>
      </c>
      <c r="F134" s="613">
        <v>3435979</v>
      </c>
    </row>
    <row r="135" spans="1:6" ht="18" customHeight="1">
      <c r="A135" s="628" t="s">
        <v>852</v>
      </c>
      <c r="B135" s="613">
        <v>3646935</v>
      </c>
      <c r="C135" s="613">
        <v>3588775</v>
      </c>
      <c r="D135" s="640">
        <v>3531003</v>
      </c>
      <c r="E135" s="638">
        <v>3473686</v>
      </c>
      <c r="F135" s="613">
        <v>3416864</v>
      </c>
    </row>
    <row r="136" spans="1:6" ht="18" customHeight="1">
      <c r="A136" s="641" t="s">
        <v>134</v>
      </c>
      <c r="B136" s="633"/>
      <c r="C136" s="633"/>
      <c r="D136" s="633"/>
      <c r="E136" s="633"/>
      <c r="F136" s="634"/>
    </row>
    <row r="137" spans="1:6" ht="18" customHeight="1">
      <c r="A137" s="628" t="s">
        <v>714</v>
      </c>
      <c r="B137" s="613">
        <v>4057244</v>
      </c>
      <c r="C137" s="613">
        <v>4018650</v>
      </c>
      <c r="D137" s="640">
        <v>3979862</v>
      </c>
      <c r="E137" s="638">
        <v>3941066</v>
      </c>
      <c r="F137" s="639">
        <v>3902249</v>
      </c>
    </row>
    <row r="138" spans="1:6" ht="18" customHeight="1">
      <c r="A138" s="628" t="s">
        <v>851</v>
      </c>
      <c r="B138" s="613">
        <v>2025906</v>
      </c>
      <c r="C138" s="613">
        <v>2002810</v>
      </c>
      <c r="D138" s="640">
        <v>1979708</v>
      </c>
      <c r="E138" s="638">
        <v>1956748</v>
      </c>
      <c r="F138" s="639">
        <v>1933891</v>
      </c>
    </row>
    <row r="139" spans="1:6" ht="18" customHeight="1">
      <c r="A139" s="628" t="s">
        <v>852</v>
      </c>
      <c r="B139" s="613">
        <v>2031338</v>
      </c>
      <c r="C139" s="613">
        <v>2015840</v>
      </c>
      <c r="D139" s="640">
        <v>2000154</v>
      </c>
      <c r="E139" s="639">
        <v>1984318</v>
      </c>
      <c r="F139" s="639">
        <v>1968358</v>
      </c>
    </row>
    <row r="140" spans="1:6" ht="18" customHeight="1">
      <c r="A140" s="641" t="s">
        <v>45</v>
      </c>
      <c r="B140" s="633"/>
      <c r="C140" s="633"/>
      <c r="D140" s="633"/>
      <c r="E140" s="633"/>
      <c r="F140" s="634"/>
    </row>
    <row r="141" spans="1:6" ht="18" customHeight="1">
      <c r="A141" s="628" t="s">
        <v>714</v>
      </c>
      <c r="B141" s="613">
        <v>438541</v>
      </c>
      <c r="C141" s="613">
        <v>435697</v>
      </c>
      <c r="D141" s="640">
        <v>432816</v>
      </c>
      <c r="E141" s="638">
        <v>429900</v>
      </c>
      <c r="F141" s="639">
        <v>426965</v>
      </c>
    </row>
    <row r="142" spans="1:6" ht="18" customHeight="1">
      <c r="A142" s="628" t="s">
        <v>851</v>
      </c>
      <c r="B142" s="613">
        <v>214806</v>
      </c>
      <c r="C142" s="613">
        <v>213365</v>
      </c>
      <c r="D142" s="640">
        <v>211914</v>
      </c>
      <c r="E142" s="638">
        <v>210444</v>
      </c>
      <c r="F142" s="639">
        <v>208976</v>
      </c>
    </row>
    <row r="143" spans="1:6" ht="18" customHeight="1">
      <c r="A143" s="628" t="s">
        <v>852</v>
      </c>
      <c r="B143" s="613">
        <v>223735</v>
      </c>
      <c r="C143" s="613">
        <v>222332</v>
      </c>
      <c r="D143" s="640">
        <v>220902</v>
      </c>
      <c r="E143" s="638">
        <v>219456</v>
      </c>
      <c r="F143" s="639">
        <v>217989</v>
      </c>
    </row>
    <row r="144" spans="1:6" ht="18" customHeight="1">
      <c r="A144" s="641" t="s">
        <v>47</v>
      </c>
      <c r="B144" s="633"/>
      <c r="C144" s="633"/>
      <c r="D144" s="633"/>
      <c r="E144" s="633"/>
      <c r="F144" s="634"/>
    </row>
    <row r="145" spans="1:6" ht="18" customHeight="1">
      <c r="A145" s="628" t="s">
        <v>714</v>
      </c>
      <c r="B145" s="613">
        <v>24505255</v>
      </c>
      <c r="C145" s="613">
        <v>24702585</v>
      </c>
      <c r="D145" s="640">
        <v>24898805</v>
      </c>
      <c r="E145" s="638">
        <v>25094366</v>
      </c>
      <c r="F145" s="639">
        <v>25289356</v>
      </c>
    </row>
    <row r="146" spans="1:6" ht="18" customHeight="1">
      <c r="A146" s="628" t="s">
        <v>851</v>
      </c>
      <c r="B146" s="613">
        <v>13029129</v>
      </c>
      <c r="C146" s="613">
        <v>13076573</v>
      </c>
      <c r="D146" s="640">
        <v>13122748</v>
      </c>
      <c r="E146" s="638">
        <v>13167961</v>
      </c>
      <c r="F146" s="639">
        <v>13212217</v>
      </c>
    </row>
    <row r="147" spans="1:6" ht="18" customHeight="1">
      <c r="A147" s="628" t="s">
        <v>852</v>
      </c>
      <c r="B147" s="613">
        <v>11476126</v>
      </c>
      <c r="C147" s="613">
        <v>11626012</v>
      </c>
      <c r="D147" s="640">
        <v>11776057</v>
      </c>
      <c r="E147" s="638">
        <v>11926405</v>
      </c>
      <c r="F147" s="639">
        <v>12077139</v>
      </c>
    </row>
    <row r="148" spans="1:6" ht="18" customHeight="1">
      <c r="A148" s="641" t="s">
        <v>46</v>
      </c>
      <c r="B148" s="633"/>
      <c r="C148" s="633"/>
      <c r="D148" s="633"/>
      <c r="E148" s="633"/>
      <c r="F148" s="634"/>
    </row>
    <row r="149" spans="1:6" ht="18" customHeight="1">
      <c r="A149" s="628" t="s">
        <v>714</v>
      </c>
      <c r="B149" s="613">
        <v>1218827</v>
      </c>
      <c r="C149" s="613">
        <v>1211463</v>
      </c>
      <c r="D149" s="640">
        <v>1203988</v>
      </c>
      <c r="E149" s="638">
        <v>1196426</v>
      </c>
      <c r="F149" s="639">
        <v>1188787</v>
      </c>
    </row>
    <row r="150" spans="1:6" ht="18" customHeight="1">
      <c r="A150" s="628" t="s">
        <v>851</v>
      </c>
      <c r="B150" s="613">
        <v>624881</v>
      </c>
      <c r="C150" s="613">
        <v>621556</v>
      </c>
      <c r="D150" s="640">
        <v>618182</v>
      </c>
      <c r="E150" s="638">
        <v>614773</v>
      </c>
      <c r="F150" s="639">
        <v>611331</v>
      </c>
    </row>
    <row r="151" spans="1:6" ht="18" customHeight="1">
      <c r="A151" s="628" t="s">
        <v>852</v>
      </c>
      <c r="B151" s="613">
        <v>593946</v>
      </c>
      <c r="C151" s="613">
        <v>589907</v>
      </c>
      <c r="D151" s="640">
        <v>585806</v>
      </c>
      <c r="E151" s="638">
        <v>581653</v>
      </c>
      <c r="F151" s="639">
        <v>577456</v>
      </c>
    </row>
    <row r="152" spans="1:6" ht="18" customHeight="1">
      <c r="A152" s="641" t="s">
        <v>48</v>
      </c>
      <c r="B152" s="633"/>
      <c r="C152" s="633"/>
      <c r="D152" s="633"/>
      <c r="E152" s="633"/>
      <c r="F152" s="634"/>
    </row>
    <row r="153" spans="1:6" ht="18" customHeight="1">
      <c r="A153" s="628" t="s">
        <v>714</v>
      </c>
      <c r="B153" s="613">
        <v>10908527</v>
      </c>
      <c r="C153" s="613">
        <v>10891236</v>
      </c>
      <c r="D153" s="640">
        <v>10872798</v>
      </c>
      <c r="E153" s="638">
        <v>10853436</v>
      </c>
      <c r="F153" s="639">
        <v>10833211</v>
      </c>
    </row>
    <row r="154" spans="1:6" ht="18" customHeight="1">
      <c r="A154" s="628" t="s">
        <v>851</v>
      </c>
      <c r="B154" s="613">
        <v>5401842</v>
      </c>
      <c r="C154" s="613">
        <v>5366650</v>
      </c>
      <c r="D154" s="640">
        <v>5331100</v>
      </c>
      <c r="E154" s="638">
        <v>5295335</v>
      </c>
      <c r="F154" s="639">
        <v>5259366</v>
      </c>
    </row>
    <row r="155" spans="1:6" ht="18" customHeight="1">
      <c r="A155" s="628" t="s">
        <v>852</v>
      </c>
      <c r="B155" s="613">
        <v>5506685</v>
      </c>
      <c r="C155" s="613">
        <v>5524586</v>
      </c>
      <c r="D155" s="640">
        <v>5541698</v>
      </c>
      <c r="E155" s="638">
        <v>5558101</v>
      </c>
      <c r="F155" s="639">
        <v>5573845</v>
      </c>
    </row>
  </sheetData>
  <printOptions horizontalCentered="1"/>
  <pageMargins left="0.31496062992125984" right="0.51181102362204722" top="0.39370078740157483" bottom="0.39370078740157483" header="0.27559055118110237" footer="0.23622047244094491"/>
  <pageSetup paperSize="9" scale="90" firstPageNumber="2" pageOrder="overThenDown" orientation="portrait" useFirstPageNumber="1" r:id="rId1"/>
  <headerFooter alignWithMargins="0">
    <oddFooter>&amp;L&amp;9AISHE 2019-20&amp;CT-52</oddFooter>
  </headerFooter>
  <rowBreaks count="3" manualBreakCount="3">
    <brk id="47" max="5" man="1"/>
    <brk id="91" max="5" man="1"/>
    <brk id="135" max="5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8"/>
  <dimension ref="A1:F37"/>
  <sheetViews>
    <sheetView view="pageBreakPreview" topLeftCell="E1" zoomScaleSheetLayoutView="100" workbookViewId="0">
      <selection activeCell="E19" sqref="E19"/>
    </sheetView>
  </sheetViews>
  <sheetFormatPr defaultColWidth="9.140625" defaultRowHeight="12.75"/>
  <cols>
    <col min="1" max="1" width="5.42578125" style="47" customWidth="1"/>
    <col min="2" max="2" width="13.28515625" style="60" customWidth="1"/>
    <col min="3" max="3" width="33" style="47" customWidth="1"/>
    <col min="4" max="4" width="15.140625" style="47" customWidth="1"/>
    <col min="5" max="6" width="14.140625" style="47" customWidth="1"/>
    <col min="7" max="16384" width="9.140625" style="47"/>
  </cols>
  <sheetData>
    <row r="1" spans="1:6" ht="40.5" customHeight="1">
      <c r="A1" s="59" t="s">
        <v>82</v>
      </c>
      <c r="C1" s="58"/>
      <c r="E1" s="58"/>
      <c r="F1" s="58"/>
    </row>
    <row r="2" spans="1:6" ht="31.5">
      <c r="A2" s="48" t="s">
        <v>80</v>
      </c>
      <c r="B2" s="48" t="s">
        <v>119</v>
      </c>
      <c r="C2" s="48" t="s">
        <v>81</v>
      </c>
      <c r="D2" s="48" t="s">
        <v>120</v>
      </c>
      <c r="E2" s="48" t="s">
        <v>83</v>
      </c>
      <c r="F2" s="48" t="s">
        <v>105</v>
      </c>
    </row>
    <row r="3" spans="1:6" ht="18" customHeight="1">
      <c r="A3" s="49">
        <v>33</v>
      </c>
      <c r="B3" s="61" t="s">
        <v>117</v>
      </c>
      <c r="C3" s="50" t="s">
        <v>47</v>
      </c>
      <c r="D3" s="51" t="e">
        <f>SUMIF(#REF!,C3,#REF!)</f>
        <v>#REF!</v>
      </c>
      <c r="E3" s="51">
        <v>4049</v>
      </c>
      <c r="F3" s="51">
        <f>SUMIF('10CollegeEst'!$B$5:$B$41,C3,'10CollegeEst'!$E$5:$E$41)+SUMIF('10CollegeEst'!$B$5:$B$41,C3,'10CollegeEst'!$H$5:$H$41)+SUMIF('8CollegeAct'!$B$5:$B$41,C3,'8CollegeAct'!$AE$5:$AE$41)-SUMIF('8CollegeAct'!$B$5:$B$41,C3,'8CollegeAct'!$M$5:$M$41)-SUMIF('8CollegeAct'!$B$5:$B$41,C3,'8CollegeAct'!$P$5:$P$41)</f>
        <v>5588347</v>
      </c>
    </row>
    <row r="4" spans="1:6" ht="18" customHeight="1">
      <c r="A4" s="49">
        <v>21</v>
      </c>
      <c r="B4" s="61" t="s">
        <v>118</v>
      </c>
      <c r="C4" s="50" t="s">
        <v>34</v>
      </c>
      <c r="D4" s="51" t="e">
        <f>SUMIF(#REF!,C4,#REF!)</f>
        <v>#REF!</v>
      </c>
      <c r="E4" s="51">
        <v>4512</v>
      </c>
      <c r="F4" s="51">
        <f>SUMIF('10CollegeEst'!$B$5:$B$41,C4,'10CollegeEst'!$E$5:$E$41)+SUMIF('10CollegeEst'!$B$5:$B$41,C4,'10CollegeEst'!$H$5:$H$41)+SUMIF('8CollegeAct'!$B$5:$B$41,C4,'8CollegeAct'!$AE$5:$AE$41)-SUMIF('8CollegeAct'!$B$5:$B$41,C4,'8CollegeAct'!$M$5:$M$41)-SUMIF('8CollegeAct'!$B$5:$B$41,C4,'8CollegeAct'!$P$5:$P$41)</f>
        <v>3009419</v>
      </c>
    </row>
    <row r="5" spans="1:6" ht="18" customHeight="1">
      <c r="A5" s="49">
        <v>5</v>
      </c>
      <c r="B5" s="61" t="s">
        <v>116</v>
      </c>
      <c r="C5" s="50" t="s">
        <v>18</v>
      </c>
      <c r="D5" s="51" t="e">
        <f>SUMIF(#REF!,C5,#REF!)</f>
        <v>#REF!</v>
      </c>
      <c r="E5" s="51">
        <v>629</v>
      </c>
      <c r="F5" s="51">
        <f>SUMIF('10CollegeEst'!$B$5:$B$41,C5,'10CollegeEst'!$E$5:$E$41)+SUMIF('10CollegeEst'!$B$5:$B$41,C5,'10CollegeEst'!$H$5:$H$41)+SUMIF('8CollegeAct'!$B$5:$B$41,C5,'8CollegeAct'!$AE$5:$AE$41)-SUMIF('8CollegeAct'!$B$5:$B$41,C5,'8CollegeAct'!$M$5:$M$41)-SUMIF('8CollegeAct'!$B$5:$B$41,C5,'8CollegeAct'!$P$5:$P$41)</f>
        <v>1469733</v>
      </c>
    </row>
    <row r="6" spans="1:6" ht="18" customHeight="1">
      <c r="A6" s="49">
        <v>35</v>
      </c>
      <c r="B6" s="61" t="s">
        <v>116</v>
      </c>
      <c r="C6" s="50" t="s">
        <v>48</v>
      </c>
      <c r="D6" s="51" t="e">
        <f>SUMIF(#REF!,C6,#REF!)</f>
        <v>#REF!</v>
      </c>
      <c r="E6" s="51">
        <v>857</v>
      </c>
      <c r="F6" s="51">
        <f>SUMIF('10CollegeEst'!$B$5:$B$41,C6,'10CollegeEst'!$E$5:$E$41)+SUMIF('10CollegeEst'!$B$5:$B$41,C6,'10CollegeEst'!$H$5:$H$41)+SUMIF('8CollegeAct'!$B$5:$B$41,C6,'8CollegeAct'!$AE$5:$AE$41)-SUMIF('8CollegeAct'!$B$5:$B$41,C6,'8CollegeAct'!$M$5:$M$41)-SUMIF('8CollegeAct'!$B$5:$B$41,C6,'8CollegeAct'!$P$5:$P$41)</f>
        <v>1661728</v>
      </c>
    </row>
    <row r="7" spans="1:6" ht="18" customHeight="1">
      <c r="A7" s="49">
        <v>2</v>
      </c>
      <c r="B7" s="61" t="s">
        <v>114</v>
      </c>
      <c r="C7" s="50" t="s">
        <v>15</v>
      </c>
      <c r="D7" s="51" t="e">
        <f>SUMIF(#REF!,C7,#REF!)</f>
        <v>#REF!</v>
      </c>
      <c r="E7" s="51">
        <v>4780</v>
      </c>
      <c r="F7" s="51">
        <f>SUMIF('10CollegeEst'!$B$5:$B$41,C7,'10CollegeEst'!$E$5:$E$41)+SUMIF('10CollegeEst'!$B$5:$B$41,C7,'10CollegeEst'!$H$5:$H$41)+SUMIF('8CollegeAct'!$B$5:$B$41,C7,'8CollegeAct'!$AE$5:$AE$41)-SUMIF('8CollegeAct'!$B$5:$B$41,C7,'8CollegeAct'!$M$5:$M$41)-SUMIF('8CollegeAct'!$B$5:$B$41,C7,'8CollegeAct'!$P$5:$P$41)</f>
        <v>1366865</v>
      </c>
    </row>
    <row r="8" spans="1:6" ht="18" customHeight="1">
      <c r="A8" s="49">
        <v>20</v>
      </c>
      <c r="B8" s="61" t="s">
        <v>117</v>
      </c>
      <c r="C8" s="50" t="s">
        <v>33</v>
      </c>
      <c r="D8" s="51" t="e">
        <f>SUMIF(#REF!,C8,#REF!)</f>
        <v>#REF!</v>
      </c>
      <c r="E8" s="51">
        <v>2009</v>
      </c>
      <c r="F8" s="51">
        <f>SUMIF('10CollegeEst'!$B$5:$B$41,C8,'10CollegeEst'!$E$5:$E$41)+SUMIF('10CollegeEst'!$B$5:$B$41,C8,'10CollegeEst'!$H$5:$H$41)+SUMIF('8CollegeAct'!$B$5:$B$41,C8,'8CollegeAct'!$AE$5:$AE$41)-SUMIF('8CollegeAct'!$B$5:$B$41,C8,'8CollegeAct'!$M$5:$M$41)-SUMIF('8CollegeAct'!$B$5:$B$41,C8,'8CollegeAct'!$P$5:$P$41)</f>
        <v>1624559</v>
      </c>
    </row>
    <row r="9" spans="1:6" ht="18" customHeight="1">
      <c r="A9" s="49">
        <v>29</v>
      </c>
      <c r="B9" s="61" t="s">
        <v>118</v>
      </c>
      <c r="C9" s="50" t="s">
        <v>42</v>
      </c>
      <c r="D9" s="51" t="e">
        <f>SUMIF(#REF!,C9,#REF!)</f>
        <v>#REF!</v>
      </c>
      <c r="E9" s="51">
        <v>2435</v>
      </c>
      <c r="F9" s="51">
        <f>SUMIF('10CollegeEst'!$B$5:$B$41,C9,'10CollegeEst'!$E$5:$E$41)+SUMIF('10CollegeEst'!$B$5:$B$41,C9,'10CollegeEst'!$H$5:$H$41)+SUMIF('8CollegeAct'!$B$5:$B$41,C9,'8CollegeAct'!$AE$5:$AE$41)-SUMIF('8CollegeAct'!$B$5:$B$41,C9,'8CollegeAct'!$M$5:$M$41)-SUMIF('8CollegeAct'!$B$5:$B$41,C9,'8CollegeAct'!$P$5:$P$41)</f>
        <v>1706806</v>
      </c>
    </row>
    <row r="10" spans="1:6" ht="18" customHeight="1">
      <c r="A10" s="49">
        <v>31</v>
      </c>
      <c r="B10" s="61" t="s">
        <v>114</v>
      </c>
      <c r="C10" s="50" t="s">
        <v>44</v>
      </c>
      <c r="D10" s="51" t="e">
        <f>SUMIF(#REF!,C10,#REF!)</f>
        <v>#REF!</v>
      </c>
      <c r="E10" s="51">
        <v>1985</v>
      </c>
      <c r="F10" s="51">
        <f>SUMIF('10CollegeEst'!$B$5:$B$41,C10,'10CollegeEst'!$E$5:$E$41)+SUMIF('10CollegeEst'!$B$5:$B$41,C10,'10CollegeEst'!$H$5:$H$41)+SUMIF('8CollegeAct'!$B$5:$B$41,C10,'8CollegeAct'!$AE$5:$AE$41)-SUMIF('8CollegeAct'!$B$5:$B$41,C10,'8CollegeAct'!$M$5:$M$41)-SUMIF('8CollegeAct'!$B$5:$B$41,C10,'8CollegeAct'!$P$5:$P$41)</f>
        <v>2275290</v>
      </c>
    </row>
    <row r="11" spans="1:6" ht="15.75">
      <c r="A11" s="49">
        <v>17</v>
      </c>
      <c r="B11" s="61" t="s">
        <v>114</v>
      </c>
      <c r="C11" s="50" t="s">
        <v>30</v>
      </c>
      <c r="D11" s="51" t="e">
        <f>SUMIF(#REF!,C11,#REF!)</f>
        <v>#REF!</v>
      </c>
      <c r="E11" s="51">
        <v>3098</v>
      </c>
      <c r="F11" s="51">
        <f>SUMIF('10CollegeEst'!$B$5:$B$41,C11,'10CollegeEst'!$E$5:$E$41)+SUMIF('10CollegeEst'!$B$5:$B$41,C11,'10CollegeEst'!$H$5:$H$41)+SUMIF('8CollegeAct'!$B$5:$B$41,C11,'8CollegeAct'!$AE$5:$AE$41)-SUMIF('8CollegeAct'!$B$5:$B$41,C11,'8CollegeAct'!$M$5:$M$41)-SUMIF('8CollegeAct'!$B$5:$B$41,C11,'8CollegeAct'!$P$5:$P$41)</f>
        <v>1646289</v>
      </c>
    </row>
    <row r="12" spans="1:6" ht="18" customHeight="1">
      <c r="A12" s="49">
        <v>12</v>
      </c>
      <c r="B12" s="61" t="s">
        <v>118</v>
      </c>
      <c r="C12" s="50" t="s">
        <v>25</v>
      </c>
      <c r="D12" s="51" t="e">
        <f>SUMIF(#REF!,C12,#REF!)</f>
        <v>#REF!</v>
      </c>
      <c r="E12" s="51">
        <v>1815</v>
      </c>
      <c r="F12" s="51">
        <f>SUMIF('10CollegeEst'!$B$5:$B$41,C12,'10CollegeEst'!$E$5:$E$41)+SUMIF('10CollegeEst'!$B$5:$B$41,C12,'10CollegeEst'!$H$5:$H$41)+SUMIF('8CollegeAct'!$B$5:$B$41,C12,'8CollegeAct'!$AE$5:$AE$41)-SUMIF('8CollegeAct'!$B$5:$B$41,C12,'8CollegeAct'!$M$5:$M$41)-SUMIF('8CollegeAct'!$B$5:$B$41,C12,'8CollegeAct'!$P$5:$P$41)</f>
        <v>1191519</v>
      </c>
    </row>
    <row r="13" spans="1:6" ht="15.75">
      <c r="A13" s="49">
        <v>26</v>
      </c>
      <c r="B13" s="61" t="s">
        <v>116</v>
      </c>
      <c r="C13" s="50" t="s">
        <v>39</v>
      </c>
      <c r="D13" s="51" t="e">
        <f>SUMIF(#REF!,C13,#REF!)</f>
        <v>#REF!</v>
      </c>
      <c r="E13" s="51">
        <v>1089</v>
      </c>
      <c r="F13" s="51">
        <f>SUMIF('10CollegeEst'!$B$5:$B$41,C13,'10CollegeEst'!$E$5:$E$41)+SUMIF('10CollegeEst'!$B$5:$B$41,C13,'10CollegeEst'!$H$5:$H$41)+SUMIF('8CollegeAct'!$B$5:$B$41,C13,'8CollegeAct'!$AE$5:$AE$41)-SUMIF('8CollegeAct'!$B$5:$B$41,C13,'8CollegeAct'!$M$5:$M$41)-SUMIF('8CollegeAct'!$B$5:$B$41,C13,'8CollegeAct'!$P$5:$P$41)</f>
        <v>709363</v>
      </c>
    </row>
    <row r="14" spans="1:6" ht="15.75">
      <c r="A14" s="49">
        <v>16</v>
      </c>
      <c r="B14" s="61" t="s">
        <v>116</v>
      </c>
      <c r="C14" s="50" t="s">
        <v>29</v>
      </c>
      <c r="D14" s="51" t="e">
        <f>SUMIF(#REF!,C14,#REF!)</f>
        <v>#REF!</v>
      </c>
      <c r="E14" s="51">
        <v>187</v>
      </c>
      <c r="F14" s="51">
        <f>SUMIF('10CollegeEst'!$B$5:$B$41,C14,'10CollegeEst'!$E$5:$E$41)+SUMIF('10CollegeEst'!$B$5:$B$41,C14,'10CollegeEst'!$H$5:$H$41)+SUMIF('8CollegeAct'!$B$5:$B$41,C14,'8CollegeAct'!$AE$5:$AE$41)-SUMIF('8CollegeAct'!$B$5:$B$41,C14,'8CollegeAct'!$M$5:$M$41)-SUMIF('8CollegeAct'!$B$5:$B$41,C14,'8CollegeAct'!$P$5:$P$41)</f>
        <v>614381</v>
      </c>
    </row>
    <row r="15" spans="1:6" ht="15.75">
      <c r="A15" s="49">
        <v>4</v>
      </c>
      <c r="B15" s="61" t="s">
        <v>115</v>
      </c>
      <c r="C15" s="50" t="s">
        <v>17</v>
      </c>
      <c r="D15" s="51" t="e">
        <f>SUMIF(#REF!,C15,#REF!)</f>
        <v>#REF!</v>
      </c>
      <c r="E15" s="51">
        <v>485</v>
      </c>
      <c r="F15" s="51">
        <f>SUMIF('10CollegeEst'!$B$5:$B$41,C15,'10CollegeEst'!$E$5:$E$41)+SUMIF('10CollegeEst'!$B$5:$B$41,C15,'10CollegeEst'!$H$5:$H$41)+SUMIF('8CollegeAct'!$B$5:$B$41,C15,'8CollegeAct'!$AE$5:$AE$41)-SUMIF('8CollegeAct'!$B$5:$B$41,C15,'8CollegeAct'!$M$5:$M$41)-SUMIF('8CollegeAct'!$B$5:$B$41,C15,'8CollegeAct'!$P$5:$P$41)</f>
        <v>490362</v>
      </c>
    </row>
    <row r="16" spans="1:6" ht="15.75">
      <c r="A16" s="49">
        <v>18</v>
      </c>
      <c r="B16" s="61" t="s">
        <v>114</v>
      </c>
      <c r="C16" s="50" t="s">
        <v>31</v>
      </c>
      <c r="D16" s="51" t="e">
        <f>SUMIF(#REF!,C16,#REF!)</f>
        <v>#REF!</v>
      </c>
      <c r="E16" s="51">
        <v>962</v>
      </c>
      <c r="F16" s="51">
        <f>SUMIF('10CollegeEst'!$B$5:$B$41,C16,'10CollegeEst'!$E$5:$E$41)+SUMIF('10CollegeEst'!$B$5:$B$41,C16,'10CollegeEst'!$H$5:$H$41)+SUMIF('8CollegeAct'!$B$5:$B$41,C16,'8CollegeAct'!$AE$5:$AE$41)-SUMIF('8CollegeAct'!$B$5:$B$41,C16,'8CollegeAct'!$M$5:$M$41)-SUMIF('8CollegeAct'!$B$5:$B$41,C16,'8CollegeAct'!$P$5:$P$41)</f>
        <v>754624</v>
      </c>
    </row>
    <row r="17" spans="1:6" ht="15.75">
      <c r="A17" s="49">
        <v>28</v>
      </c>
      <c r="B17" s="61" t="s">
        <v>117</v>
      </c>
      <c r="C17" s="50" t="s">
        <v>41</v>
      </c>
      <c r="D17" s="51" t="e">
        <f>SUMIF(#REF!,C17,#REF!)</f>
        <v>#REF!</v>
      </c>
      <c r="E17" s="51">
        <v>956</v>
      </c>
      <c r="F17" s="51">
        <f>SUMIF('10CollegeEst'!$B$5:$B$41,C17,'10CollegeEst'!$E$5:$E$41)+SUMIF('10CollegeEst'!$B$5:$B$41,C17,'10CollegeEst'!$H$5:$H$41)+SUMIF('8CollegeAct'!$B$5:$B$41,C17,'8CollegeAct'!$AE$5:$AE$41)-SUMIF('8CollegeAct'!$B$5:$B$41,C17,'8CollegeAct'!$M$5:$M$41)-SUMIF('8CollegeAct'!$B$5:$B$41,C17,'8CollegeAct'!$P$5:$P$41)</f>
        <v>556794</v>
      </c>
    </row>
    <row r="18" spans="1:6" ht="15.75">
      <c r="A18" s="49">
        <v>13</v>
      </c>
      <c r="B18" s="61" t="s">
        <v>117</v>
      </c>
      <c r="C18" s="50" t="s">
        <v>26</v>
      </c>
      <c r="D18" s="51" t="e">
        <f>SUMIF(#REF!,C18,#REF!)</f>
        <v>#REF!</v>
      </c>
      <c r="E18" s="51">
        <v>1054</v>
      </c>
      <c r="F18" s="51">
        <f>SUMIF('10CollegeEst'!$B$5:$B$41,C18,'10CollegeEst'!$E$5:$E$41)+SUMIF('10CollegeEst'!$B$5:$B$41,C18,'10CollegeEst'!$H$5:$H$41)+SUMIF('8CollegeAct'!$B$5:$B$41,C18,'8CollegeAct'!$AE$5:$AE$41)-SUMIF('8CollegeAct'!$B$5:$B$41,C18,'8CollegeAct'!$M$5:$M$41)-SUMIF('8CollegeAct'!$B$5:$B$41,C18,'8CollegeAct'!$P$5:$P$41)</f>
        <v>610373</v>
      </c>
    </row>
    <row r="19" spans="1:6" ht="15.75">
      <c r="A19" s="49">
        <v>7</v>
      </c>
      <c r="B19" s="61" t="s">
        <v>116</v>
      </c>
      <c r="C19" s="50" t="s">
        <v>56</v>
      </c>
      <c r="D19" s="51" t="e">
        <f>SUMIF(#REF!,C19,#REF!)</f>
        <v>#REF!</v>
      </c>
      <c r="E19" s="51">
        <v>574</v>
      </c>
      <c r="F19" s="51">
        <f>SUMIF('10CollegeEst'!$B$5:$B$41,C19,'10CollegeEst'!$E$5:$E$41)+SUMIF('10CollegeEst'!$B$5:$B$41,C19,'10CollegeEst'!$H$5:$H$41)+SUMIF('8CollegeAct'!$B$5:$B$41,C19,'8CollegeAct'!$AE$5:$AE$41)-SUMIF('8CollegeAct'!$B$5:$B$41,C19,'8CollegeAct'!$M$5:$M$41)-SUMIF('8CollegeAct'!$B$5:$B$41,C19,'8CollegeAct'!$P$5:$P$41)</f>
        <v>0</v>
      </c>
    </row>
    <row r="20" spans="1:6" ht="15.75">
      <c r="A20" s="49">
        <v>10</v>
      </c>
      <c r="B20" s="61" t="s">
        <v>117</v>
      </c>
      <c r="C20" s="50" t="s">
        <v>23</v>
      </c>
      <c r="D20" s="51" t="e">
        <f>SUMIF(#REF!,C20,#REF!)</f>
        <v>#REF!</v>
      </c>
      <c r="E20" s="51">
        <v>184</v>
      </c>
      <c r="F20" s="51">
        <f>SUMIF('10CollegeEst'!$B$5:$B$41,C20,'10CollegeEst'!$E$5:$E$41)+SUMIF('10CollegeEst'!$B$5:$B$41,C20,'10CollegeEst'!$H$5:$H$41)+SUMIF('8CollegeAct'!$B$5:$B$41,C20,'8CollegeAct'!$AE$5:$AE$41)-SUMIF('8CollegeAct'!$B$5:$B$41,C20,'8CollegeAct'!$M$5:$M$41)-SUMIF('8CollegeAct'!$B$5:$B$41,C20,'8CollegeAct'!$P$5:$P$41)</f>
        <v>281897</v>
      </c>
    </row>
    <row r="21" spans="1:6" ht="15.75">
      <c r="A21" s="49">
        <v>15</v>
      </c>
      <c r="B21" s="61" t="s">
        <v>117</v>
      </c>
      <c r="C21" s="50" t="s">
        <v>57</v>
      </c>
      <c r="D21" s="51" t="e">
        <f>SUMIF(#REF!,C21,#REF!)</f>
        <v>#REF!</v>
      </c>
      <c r="E21" s="51">
        <v>216</v>
      </c>
      <c r="F21" s="51">
        <f>SUMIF('10CollegeEst'!$B$5:$B$41,C21,'10CollegeEst'!$E$5:$E$41)+SUMIF('10CollegeEst'!$B$5:$B$41,C21,'10CollegeEst'!$H$5:$H$41)+SUMIF('8CollegeAct'!$B$5:$B$41,C21,'8CollegeAct'!$AE$5:$AE$41)-SUMIF('8CollegeAct'!$B$5:$B$41,C21,'8CollegeAct'!$M$5:$M$41)-SUMIF('8CollegeAct'!$B$5:$B$41,C21,'8CollegeAct'!$P$5:$P$41)</f>
        <v>225771</v>
      </c>
    </row>
    <row r="22" spans="1:6" ht="15.75">
      <c r="A22" s="49">
        <v>34</v>
      </c>
      <c r="B22" s="61" t="s">
        <v>117</v>
      </c>
      <c r="C22" s="50" t="s">
        <v>58</v>
      </c>
      <c r="D22" s="51" t="e">
        <f>SUMIF(#REF!,C22,#REF!)</f>
        <v>#REF!</v>
      </c>
      <c r="E22" s="51">
        <v>346</v>
      </c>
      <c r="F22" s="51">
        <f>SUMIF('10CollegeEst'!$B$5:$B$41,C22,'10CollegeEst'!$E$5:$E$41)+SUMIF('10CollegeEst'!$B$5:$B$41,C22,'10CollegeEst'!$H$5:$H$41)+SUMIF('8CollegeAct'!$B$5:$B$41,C22,'8CollegeAct'!$AE$5:$AE$41)-SUMIF('8CollegeAct'!$B$5:$B$41,C22,'8CollegeAct'!$M$5:$M$41)-SUMIF('8CollegeAct'!$B$5:$B$41,C22,'8CollegeAct'!$P$5:$P$41)</f>
        <v>0</v>
      </c>
    </row>
    <row r="23" spans="1:6" ht="15.75">
      <c r="A23" s="49">
        <v>14</v>
      </c>
      <c r="B23" s="61" t="s">
        <v>117</v>
      </c>
      <c r="C23" s="50" t="s">
        <v>27</v>
      </c>
      <c r="D23" s="51" t="e">
        <f>SUMIF(#REF!,C23,#REF!)</f>
        <v>#REF!</v>
      </c>
      <c r="E23" s="51">
        <v>297</v>
      </c>
      <c r="F23" s="51">
        <f>SUMIF('10CollegeEst'!$B$5:$B$41,C23,'10CollegeEst'!$E$5:$E$41)+SUMIF('10CollegeEst'!$B$5:$B$41,C23,'10CollegeEst'!$H$5:$H$41)+SUMIF('8CollegeAct'!$B$5:$B$41,C23,'8CollegeAct'!$AE$5:$AE$41)-SUMIF('8CollegeAct'!$B$5:$B$41,C23,'8CollegeAct'!$M$5:$M$41)-SUMIF('8CollegeAct'!$B$5:$B$41,C23,'8CollegeAct'!$P$5:$P$41)</f>
        <v>185960</v>
      </c>
    </row>
    <row r="24" spans="1:6" ht="15.75">
      <c r="A24" s="49">
        <v>32</v>
      </c>
      <c r="B24" s="61" t="s">
        <v>115</v>
      </c>
      <c r="C24" s="50" t="s">
        <v>45</v>
      </c>
      <c r="D24" s="51" t="e">
        <f>SUMIF(#REF!,C24,#REF!)</f>
        <v>#REF!</v>
      </c>
      <c r="E24" s="51">
        <v>36</v>
      </c>
      <c r="F24" s="51">
        <f>SUMIF('10CollegeEst'!$B$5:$B$41,C24,'10CollegeEst'!$E$5:$E$41)+SUMIF('10CollegeEst'!$B$5:$B$41,C24,'10CollegeEst'!$H$5:$H$41)+SUMIF('8CollegeAct'!$B$5:$B$41,C24,'8CollegeAct'!$AE$5:$AE$41)-SUMIF('8CollegeAct'!$B$5:$B$41,C24,'8CollegeAct'!$M$5:$M$41)-SUMIF('8CollegeAct'!$B$5:$B$41,C24,'8CollegeAct'!$P$5:$P$41)</f>
        <v>62257</v>
      </c>
    </row>
    <row r="25" spans="1:6" ht="15.75">
      <c r="A25" s="49">
        <v>23</v>
      </c>
      <c r="B25" s="61" t="s">
        <v>115</v>
      </c>
      <c r="C25" s="50" t="s">
        <v>36</v>
      </c>
      <c r="D25" s="51" t="e">
        <f>SUMIF(#REF!,C25,#REF!)</f>
        <v>#REF!</v>
      </c>
      <c r="E25" s="51">
        <v>61</v>
      </c>
      <c r="F25" s="51">
        <f>SUMIF('10CollegeEst'!$B$5:$B$41,C25,'10CollegeEst'!$E$5:$E$41)+SUMIF('10CollegeEst'!$B$5:$B$41,C25,'10CollegeEst'!$H$5:$H$41)+SUMIF('8CollegeAct'!$B$5:$B$41,C25,'8CollegeAct'!$AE$5:$AE$41)-SUMIF('8CollegeAct'!$B$5:$B$41,C25,'8CollegeAct'!$M$5:$M$41)-SUMIF('8CollegeAct'!$B$5:$B$41,C25,'8CollegeAct'!$P$5:$P$41)</f>
        <v>63007</v>
      </c>
    </row>
    <row r="26" spans="1:6" ht="15.75">
      <c r="A26" s="49">
        <v>22</v>
      </c>
      <c r="B26" s="61" t="s">
        <v>115</v>
      </c>
      <c r="C26" s="50" t="s">
        <v>35</v>
      </c>
      <c r="D26" s="51" t="e">
        <f>SUMIF(#REF!,C26,#REF!)</f>
        <v>#REF!</v>
      </c>
      <c r="E26" s="51">
        <v>78</v>
      </c>
      <c r="F26" s="51">
        <f>SUMIF('10CollegeEst'!$B$5:$B$41,C26,'10CollegeEst'!$E$5:$E$41)+SUMIF('10CollegeEst'!$B$5:$B$41,C26,'10CollegeEst'!$H$5:$H$41)+SUMIF('8CollegeAct'!$B$5:$B$41,C26,'8CollegeAct'!$AE$5:$AE$41)-SUMIF('8CollegeAct'!$B$5:$B$41,C26,'8CollegeAct'!$M$5:$M$41)-SUMIF('8CollegeAct'!$B$5:$B$41,C26,'8CollegeAct'!$P$5:$P$41)</f>
        <v>106698</v>
      </c>
    </row>
    <row r="27" spans="1:6" ht="15.75">
      <c r="A27" s="49">
        <v>25</v>
      </c>
      <c r="B27" s="61" t="s">
        <v>115</v>
      </c>
      <c r="C27" s="50" t="s">
        <v>38</v>
      </c>
      <c r="D27" s="51" t="e">
        <f>SUMIF(#REF!,C27,#REF!)</f>
        <v>#REF!</v>
      </c>
      <c r="E27" s="51">
        <v>52</v>
      </c>
      <c r="F27" s="51">
        <f>SUMIF('10CollegeEst'!$B$5:$B$41,C27,'10CollegeEst'!$E$5:$E$41)+SUMIF('10CollegeEst'!$B$5:$B$41,C27,'10CollegeEst'!$H$5:$H$41)+SUMIF('8CollegeAct'!$B$5:$B$41,C27,'8CollegeAct'!$AE$5:$AE$41)-SUMIF('8CollegeAct'!$B$5:$B$41,C27,'8CollegeAct'!$M$5:$M$41)-SUMIF('8CollegeAct'!$B$5:$B$41,C27,'8CollegeAct'!$P$5:$P$41)</f>
        <v>33464</v>
      </c>
    </row>
    <row r="28" spans="1:6" ht="15.75">
      <c r="A28" s="49">
        <v>11</v>
      </c>
      <c r="B28" s="61" t="s">
        <v>118</v>
      </c>
      <c r="C28" s="50" t="s">
        <v>24</v>
      </c>
      <c r="D28" s="51" t="e">
        <f>SUMIF(#REF!,C28,#REF!)</f>
        <v>#REF!</v>
      </c>
      <c r="E28" s="51">
        <v>47</v>
      </c>
      <c r="F28" s="51">
        <f>SUMIF('10CollegeEst'!$B$5:$B$41,C28,'10CollegeEst'!$E$5:$E$41)+SUMIF('10CollegeEst'!$B$5:$B$41,C28,'10CollegeEst'!$H$5:$H$41)+SUMIF('8CollegeAct'!$B$5:$B$41,C28,'8CollegeAct'!$AE$5:$AE$41)-SUMIF('8CollegeAct'!$B$5:$B$41,C28,'8CollegeAct'!$M$5:$M$41)-SUMIF('8CollegeAct'!$B$5:$B$41,C28,'8CollegeAct'!$P$5:$P$41)</f>
        <v>38879</v>
      </c>
    </row>
    <row r="29" spans="1:6" ht="15.75">
      <c r="A29" s="49">
        <v>3</v>
      </c>
      <c r="B29" s="61" t="s">
        <v>115</v>
      </c>
      <c r="C29" s="50" t="s">
        <v>16</v>
      </c>
      <c r="D29" s="51" t="e">
        <f>SUMIF(#REF!,C29,#REF!)</f>
        <v>#REF!</v>
      </c>
      <c r="E29" s="51">
        <v>19</v>
      </c>
      <c r="F29" s="51">
        <f>SUMIF('10CollegeEst'!$B$5:$B$41,C29,'10CollegeEst'!$E$5:$E$41)+SUMIF('10CollegeEst'!$B$5:$B$41,C29,'10CollegeEst'!$H$5:$H$41)+SUMIF('8CollegeAct'!$B$5:$B$41,C29,'8CollegeAct'!$AE$5:$AE$41)-SUMIF('8CollegeAct'!$B$5:$B$41,C29,'8CollegeAct'!$M$5:$M$41)-SUMIF('8CollegeAct'!$B$5:$B$41,C29,'8CollegeAct'!$P$5:$P$41)</f>
        <v>21013</v>
      </c>
    </row>
    <row r="30" spans="1:6" ht="15.75">
      <c r="A30" s="49">
        <v>27</v>
      </c>
      <c r="B30" s="61" t="s">
        <v>113</v>
      </c>
      <c r="C30" s="50" t="s">
        <v>40</v>
      </c>
      <c r="D30" s="51" t="e">
        <f>SUMIF(#REF!,C30,#REF!)</f>
        <v>#REF!</v>
      </c>
      <c r="E30" s="51">
        <v>82</v>
      </c>
      <c r="F30" s="51">
        <f>SUMIF('10CollegeEst'!$B$5:$B$41,C30,'10CollegeEst'!$E$5:$E$41)+SUMIF('10CollegeEst'!$B$5:$B$41,C30,'10CollegeEst'!$H$5:$H$41)+SUMIF('8CollegeAct'!$B$5:$B$41,C30,'8CollegeAct'!$AE$5:$AE$41)-SUMIF('8CollegeAct'!$B$5:$B$41,C30,'8CollegeAct'!$M$5:$M$41)-SUMIF('8CollegeAct'!$B$5:$B$41,C30,'8CollegeAct'!$P$5:$P$41)</f>
        <v>46070</v>
      </c>
    </row>
    <row r="31" spans="1:6" ht="15.75">
      <c r="A31" s="49">
        <v>6</v>
      </c>
      <c r="B31" s="61" t="s">
        <v>113</v>
      </c>
      <c r="C31" s="50" t="s">
        <v>19</v>
      </c>
      <c r="D31" s="51" t="e">
        <f>SUMIF(#REF!,C31,#REF!)</f>
        <v>#REF!</v>
      </c>
      <c r="E31" s="51">
        <v>27</v>
      </c>
      <c r="F31" s="51">
        <f>SUMIF('10CollegeEst'!$B$5:$B$41,C31,'10CollegeEst'!$E$5:$E$41)+SUMIF('10CollegeEst'!$B$5:$B$41,C31,'10CollegeEst'!$H$5:$H$41)+SUMIF('8CollegeAct'!$B$5:$B$41,C31,'8CollegeAct'!$AE$5:$AE$41)-SUMIF('8CollegeAct'!$B$5:$B$41,C31,'8CollegeAct'!$M$5:$M$41)-SUMIF('8CollegeAct'!$B$5:$B$41,C31,'8CollegeAct'!$P$5:$P$41)</f>
        <v>50556</v>
      </c>
    </row>
    <row r="32" spans="1:6" ht="15.75">
      <c r="A32" s="49">
        <v>24</v>
      </c>
      <c r="B32" s="61" t="s">
        <v>115</v>
      </c>
      <c r="C32" s="50" t="s">
        <v>37</v>
      </c>
      <c r="D32" s="51" t="e">
        <f>SUMIF(#REF!,C32,#REF!)</f>
        <v>#REF!</v>
      </c>
      <c r="E32" s="51">
        <v>29</v>
      </c>
      <c r="F32" s="51">
        <f>SUMIF('10CollegeEst'!$B$5:$B$41,C32,'10CollegeEst'!$E$5:$E$41)+SUMIF('10CollegeEst'!$B$5:$B$41,C32,'10CollegeEst'!$H$5:$H$41)+SUMIF('8CollegeAct'!$B$5:$B$41,C32,'8CollegeAct'!$AE$5:$AE$41)-SUMIF('8CollegeAct'!$B$5:$B$41,C32,'8CollegeAct'!$M$5:$M$41)-SUMIF('8CollegeAct'!$B$5:$B$41,C32,'8CollegeAct'!$P$5:$P$41)</f>
        <v>19580</v>
      </c>
    </row>
    <row r="33" spans="1:6" ht="15.75">
      <c r="A33" s="49">
        <v>30</v>
      </c>
      <c r="B33" s="61" t="s">
        <v>115</v>
      </c>
      <c r="C33" s="50" t="s">
        <v>43</v>
      </c>
      <c r="D33" s="51" t="e">
        <f>SUMIF(#REF!,C33,#REF!)</f>
        <v>#REF!</v>
      </c>
      <c r="E33" s="51">
        <v>11</v>
      </c>
      <c r="F33" s="51">
        <f>SUMIF('10CollegeEst'!$B$5:$B$41,C33,'10CollegeEst'!$E$5:$E$41)+SUMIF('10CollegeEst'!$B$5:$B$41,C33,'10CollegeEst'!$H$5:$H$41)+SUMIF('8CollegeAct'!$B$5:$B$41,C33,'8CollegeAct'!$AE$5:$AE$41)-SUMIF('8CollegeAct'!$B$5:$B$41,C33,'8CollegeAct'!$M$5:$M$41)-SUMIF('8CollegeAct'!$B$5:$B$41,C33,'8CollegeAct'!$P$5:$P$41)</f>
        <v>12044</v>
      </c>
    </row>
    <row r="34" spans="1:6" ht="15.75">
      <c r="A34" s="49">
        <v>1</v>
      </c>
      <c r="B34" s="61" t="s">
        <v>113</v>
      </c>
      <c r="C34" s="50" t="s">
        <v>55</v>
      </c>
      <c r="D34" s="51" t="e">
        <f>SUMIF(#REF!,C34,#REF!)</f>
        <v>#REF!</v>
      </c>
      <c r="E34" s="51">
        <v>6</v>
      </c>
      <c r="F34" s="51">
        <f>SUMIF('10CollegeEst'!$B$5:$B$41,C34,'10CollegeEst'!$E$5:$E$41)+SUMIF('10CollegeEst'!$B$5:$B$41,C34,'10CollegeEst'!$H$5:$H$41)+SUMIF('8CollegeAct'!$B$5:$B$41,C34,'8CollegeAct'!$AE$5:$AE$41)-SUMIF('8CollegeAct'!$B$5:$B$41,C34,'8CollegeAct'!$M$5:$M$41)-SUMIF('8CollegeAct'!$B$5:$B$41,C34,'8CollegeAct'!$P$5:$P$41)</f>
        <v>0</v>
      </c>
    </row>
    <row r="35" spans="1:6" ht="15.75">
      <c r="A35" s="49">
        <v>8</v>
      </c>
      <c r="B35" s="61" t="s">
        <v>113</v>
      </c>
      <c r="C35" s="50" t="s">
        <v>21</v>
      </c>
      <c r="D35" s="51" t="e">
        <f>SUMIF(#REF!,C35,#REF!)</f>
        <v>#REF!</v>
      </c>
      <c r="E35" s="51">
        <v>4</v>
      </c>
      <c r="F35" s="51">
        <f>SUMIF('10CollegeEst'!$B$5:$B$41,C35,'10CollegeEst'!$E$5:$E$41)+SUMIF('10CollegeEst'!$B$5:$B$41,C35,'10CollegeEst'!$H$5:$H$41)+SUMIF('8CollegeAct'!$B$5:$B$41,C35,'8CollegeAct'!$AE$5:$AE$41)-SUMIF('8CollegeAct'!$B$5:$B$41,C35,'8CollegeAct'!$M$5:$M$41)-SUMIF('8CollegeAct'!$B$5:$B$41,C35,'8CollegeAct'!$P$5:$P$41)</f>
        <v>0</v>
      </c>
    </row>
    <row r="36" spans="1:6" ht="15.75">
      <c r="A36" s="49">
        <v>9</v>
      </c>
      <c r="B36" s="61" t="s">
        <v>113</v>
      </c>
      <c r="C36" s="50" t="s">
        <v>22</v>
      </c>
      <c r="D36" s="51" t="e">
        <f>SUMIF(#REF!,C36,#REF!)</f>
        <v>#REF!</v>
      </c>
      <c r="E36" s="51">
        <v>3</v>
      </c>
      <c r="F36" s="51">
        <f>SUMIF('10CollegeEst'!$B$5:$B$41,C36,'10CollegeEst'!$E$5:$E$41)+SUMIF('10CollegeEst'!$B$5:$B$41,C36,'10CollegeEst'!$H$5:$H$41)+SUMIF('8CollegeAct'!$B$5:$B$41,C36,'8CollegeAct'!$AE$5:$AE$41)-SUMIF('8CollegeAct'!$B$5:$B$41,C36,'8CollegeAct'!$M$5:$M$41)-SUMIF('8CollegeAct'!$B$5:$B$41,C36,'8CollegeAct'!$P$5:$P$41)</f>
        <v>0</v>
      </c>
    </row>
    <row r="37" spans="1:6" ht="15.75">
      <c r="A37" s="49">
        <v>19</v>
      </c>
      <c r="B37" s="61" t="s">
        <v>113</v>
      </c>
      <c r="C37" s="50" t="s">
        <v>32</v>
      </c>
      <c r="D37" s="51" t="e">
        <f>SUMIF(#REF!,C37,#REF!)</f>
        <v>#REF!</v>
      </c>
      <c r="E37" s="51">
        <v>0</v>
      </c>
      <c r="F37" s="51">
        <f>SUMIF('10CollegeEst'!$B$5:$B$41,C37,'10CollegeEst'!$E$5:$E$41)+SUMIF('10CollegeEst'!$B$5:$B$41,C37,'10CollegeEst'!$H$5:$H$41)+SUMIF('8CollegeAct'!$B$5:$B$41,C37,'8CollegeAct'!$AE$5:$AE$41)-SUMIF('8CollegeAct'!$B$5:$B$41,C37,'8CollegeAct'!$M$5:$M$41)-SUMIF('8CollegeAct'!$B$5:$B$41,C37,'8CollegeAct'!$P$5:$P$41)</f>
        <v>0</v>
      </c>
    </row>
  </sheetData>
  <autoFilter ref="A2:F2" xr:uid="{00000000-0009-0000-0000-00003B000000}">
    <sortState xmlns:xlrd2="http://schemas.microsoft.com/office/spreadsheetml/2017/richdata2" ref="A3:F37">
      <sortCondition descending="1" ref="D2"/>
    </sortState>
  </autoFilter>
  <pageMargins left="0.7" right="0.16" top="0.66" bottom="0.75" header="0.3" footer="0.3"/>
  <pageSetup paperSize="9" scale="95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49"/>
  <dimension ref="A3:G40"/>
  <sheetViews>
    <sheetView topLeftCell="A22" workbookViewId="0">
      <selection activeCell="D42" sqref="D42"/>
    </sheetView>
  </sheetViews>
  <sheetFormatPr defaultColWidth="9.140625" defaultRowHeight="14.25"/>
  <cols>
    <col min="1" max="1" width="24.42578125" style="42" bestFit="1" customWidth="1"/>
    <col min="2" max="2" width="17" style="42" bestFit="1" customWidth="1"/>
    <col min="3" max="3" width="30" style="42" customWidth="1"/>
    <col min="4" max="4" width="29.7109375" style="42" customWidth="1"/>
    <col min="5" max="5" width="18.5703125" style="42" customWidth="1"/>
    <col min="6" max="6" width="11.7109375" style="42" customWidth="1"/>
    <col min="7" max="7" width="18.5703125" style="42" customWidth="1"/>
    <col min="8" max="8" width="7.140625" style="42" customWidth="1"/>
    <col min="9" max="9" width="11.7109375" style="42" bestFit="1" customWidth="1"/>
    <col min="10" max="16384" width="9.140625" style="42"/>
  </cols>
  <sheetData>
    <row r="3" spans="1:7">
      <c r="A3" s="42" t="s">
        <v>68</v>
      </c>
      <c r="B3" s="42" t="s">
        <v>69</v>
      </c>
    </row>
    <row r="4" spans="1:7">
      <c r="A4" s="42" t="s">
        <v>70</v>
      </c>
      <c r="B4" s="42" t="s">
        <v>71</v>
      </c>
      <c r="C4" s="42" t="s">
        <v>72</v>
      </c>
      <c r="D4" s="42" t="s">
        <v>73</v>
      </c>
      <c r="E4" s="42" t="s">
        <v>74</v>
      </c>
      <c r="F4" s="42" t="s">
        <v>60</v>
      </c>
    </row>
    <row r="5" spans="1:7">
      <c r="A5" s="43" t="s">
        <v>55</v>
      </c>
      <c r="B5" s="42">
        <v>5</v>
      </c>
      <c r="F5" s="42">
        <v>5</v>
      </c>
      <c r="G5" s="42" t="e">
        <f>F5=#REF!</f>
        <v>#REF!</v>
      </c>
    </row>
    <row r="6" spans="1:7">
      <c r="A6" s="43" t="s">
        <v>15</v>
      </c>
      <c r="B6" s="42">
        <v>3585</v>
      </c>
      <c r="C6" s="42">
        <v>26</v>
      </c>
      <c r="D6" s="42">
        <v>4</v>
      </c>
      <c r="E6" s="42">
        <v>3</v>
      </c>
      <c r="F6" s="42">
        <v>3618</v>
      </c>
      <c r="G6" s="42" t="e">
        <f>F6=#REF!</f>
        <v>#REF!</v>
      </c>
    </row>
    <row r="7" spans="1:7">
      <c r="A7" s="43" t="s">
        <v>16</v>
      </c>
      <c r="B7" s="42">
        <v>9</v>
      </c>
      <c r="F7" s="42">
        <v>9</v>
      </c>
      <c r="G7" s="42" t="e">
        <f>F7=#REF!</f>
        <v>#REF!</v>
      </c>
    </row>
    <row r="8" spans="1:7">
      <c r="A8" s="43" t="s">
        <v>17</v>
      </c>
      <c r="B8" s="42">
        <v>171</v>
      </c>
      <c r="C8" s="42">
        <v>2</v>
      </c>
      <c r="D8" s="42">
        <v>1</v>
      </c>
      <c r="F8" s="42">
        <v>174</v>
      </c>
      <c r="G8" s="42" t="e">
        <f>F8=#REF!</f>
        <v>#REF!</v>
      </c>
    </row>
    <row r="9" spans="1:7">
      <c r="A9" s="43" t="s">
        <v>18</v>
      </c>
      <c r="B9" s="42">
        <v>249</v>
      </c>
      <c r="C9" s="42">
        <v>275</v>
      </c>
      <c r="D9" s="42">
        <v>7</v>
      </c>
      <c r="F9" s="42">
        <v>531</v>
      </c>
      <c r="G9" s="42" t="e">
        <f>F9=#REF!</f>
        <v>#REF!</v>
      </c>
    </row>
    <row r="10" spans="1:7">
      <c r="A10" s="43" t="s">
        <v>19</v>
      </c>
      <c r="B10" s="42">
        <v>13</v>
      </c>
      <c r="F10" s="42">
        <v>13</v>
      </c>
      <c r="G10" s="42" t="e">
        <f>F10=#REF!</f>
        <v>#REF!</v>
      </c>
    </row>
    <row r="11" spans="1:7">
      <c r="A11" s="43" t="s">
        <v>56</v>
      </c>
      <c r="B11" s="42">
        <v>427</v>
      </c>
      <c r="E11" s="42">
        <v>3</v>
      </c>
      <c r="F11" s="42">
        <v>430</v>
      </c>
      <c r="G11" s="42" t="e">
        <f>F11=#REF!</f>
        <v>#REF!</v>
      </c>
    </row>
    <row r="12" spans="1:7">
      <c r="A12" s="43" t="s">
        <v>21</v>
      </c>
      <c r="B12" s="42">
        <v>1</v>
      </c>
      <c r="E12" s="42">
        <v>1</v>
      </c>
      <c r="F12" s="42">
        <v>2</v>
      </c>
      <c r="G12" s="42" t="e">
        <f>F12=#REF!</f>
        <v>#REF!</v>
      </c>
    </row>
    <row r="13" spans="1:7">
      <c r="A13" s="43" t="s">
        <v>22</v>
      </c>
      <c r="B13" s="42">
        <v>3</v>
      </c>
      <c r="F13" s="42">
        <v>3</v>
      </c>
      <c r="G13" s="42" t="e">
        <f>F13=#REF!</f>
        <v>#REF!</v>
      </c>
    </row>
    <row r="14" spans="1:7">
      <c r="A14" s="43" t="s">
        <v>23</v>
      </c>
      <c r="B14" s="42">
        <v>139</v>
      </c>
      <c r="C14" s="42">
        <v>1</v>
      </c>
      <c r="E14" s="42">
        <v>2</v>
      </c>
      <c r="F14" s="42">
        <v>142</v>
      </c>
      <c r="G14" s="42" t="e">
        <f>F14=#REF!</f>
        <v>#REF!</v>
      </c>
    </row>
    <row r="15" spans="1:7">
      <c r="A15" s="43" t="s">
        <v>24</v>
      </c>
      <c r="B15" s="42">
        <v>33</v>
      </c>
      <c r="F15" s="42">
        <v>33</v>
      </c>
      <c r="G15" s="42" t="e">
        <f>F15=#REF!</f>
        <v>#REF!</v>
      </c>
    </row>
    <row r="16" spans="1:7">
      <c r="A16" s="43" t="s">
        <v>25</v>
      </c>
      <c r="B16" s="42">
        <v>1528</v>
      </c>
      <c r="C16" s="42">
        <v>58</v>
      </c>
      <c r="D16" s="42">
        <v>3</v>
      </c>
      <c r="E16" s="42">
        <v>34</v>
      </c>
      <c r="F16" s="42">
        <v>1623</v>
      </c>
      <c r="G16" s="42" t="e">
        <f>F16=#REF!</f>
        <v>#REF!</v>
      </c>
    </row>
    <row r="17" spans="1:7">
      <c r="A17" s="43" t="s">
        <v>26</v>
      </c>
      <c r="B17" s="42">
        <v>255</v>
      </c>
      <c r="C17" s="42">
        <v>11</v>
      </c>
      <c r="F17" s="42">
        <v>266</v>
      </c>
      <c r="G17" s="42" t="e">
        <f>F17=#REF!</f>
        <v>#REF!</v>
      </c>
    </row>
    <row r="18" spans="1:7">
      <c r="A18" s="43" t="s">
        <v>27</v>
      </c>
      <c r="B18" s="42">
        <v>231</v>
      </c>
      <c r="C18" s="42">
        <v>4</v>
      </c>
      <c r="D18" s="42">
        <v>1</v>
      </c>
      <c r="F18" s="42">
        <v>236</v>
      </c>
      <c r="G18" s="42" t="e">
        <f>F18=#REF!</f>
        <v>#REF!</v>
      </c>
    </row>
    <row r="19" spans="1:7">
      <c r="A19" s="43" t="s">
        <v>57</v>
      </c>
      <c r="B19" s="42">
        <v>117</v>
      </c>
      <c r="C19" s="42">
        <v>1</v>
      </c>
      <c r="D19" s="42">
        <v>1</v>
      </c>
      <c r="F19" s="42">
        <v>119</v>
      </c>
      <c r="G19" s="42" t="e">
        <f>F19=#REF!</f>
        <v>#REF!</v>
      </c>
    </row>
    <row r="20" spans="1:7">
      <c r="A20" s="43" t="s">
        <v>29</v>
      </c>
      <c r="B20" s="42">
        <v>18</v>
      </c>
      <c r="C20" s="42">
        <v>19</v>
      </c>
      <c r="D20" s="42">
        <v>1</v>
      </c>
      <c r="F20" s="42">
        <v>38</v>
      </c>
      <c r="G20" s="42" t="e">
        <f>F20=#REF!</f>
        <v>#REF!</v>
      </c>
    </row>
    <row r="21" spans="1:7">
      <c r="A21" s="43" t="s">
        <v>30</v>
      </c>
      <c r="B21" s="42">
        <v>2822</v>
      </c>
      <c r="C21" s="42">
        <v>51</v>
      </c>
      <c r="D21" s="42">
        <v>34</v>
      </c>
      <c r="E21" s="42">
        <v>97</v>
      </c>
      <c r="F21" s="42">
        <v>3004</v>
      </c>
      <c r="G21" s="42" t="e">
        <f>F21=#REF!</f>
        <v>#REF!</v>
      </c>
    </row>
    <row r="22" spans="1:7">
      <c r="A22" s="43" t="s">
        <v>31</v>
      </c>
      <c r="B22" s="42">
        <v>536</v>
      </c>
      <c r="C22" s="42">
        <v>20</v>
      </c>
      <c r="D22" s="42">
        <v>1</v>
      </c>
      <c r="E22" s="42">
        <v>23</v>
      </c>
      <c r="F22" s="42">
        <v>580</v>
      </c>
      <c r="G22" s="42" t="e">
        <f>F22=#REF!</f>
        <v>#REF!</v>
      </c>
    </row>
    <row r="23" spans="1:7">
      <c r="A23" s="43"/>
      <c r="G23" s="42" t="e">
        <f>F23=#REF!</f>
        <v>#REF!</v>
      </c>
    </row>
    <row r="24" spans="1:7">
      <c r="A24" s="43" t="s">
        <v>33</v>
      </c>
      <c r="B24" s="42">
        <v>395</v>
      </c>
      <c r="C24" s="42">
        <v>1</v>
      </c>
      <c r="D24" s="42">
        <v>1</v>
      </c>
      <c r="E24" s="42">
        <v>3</v>
      </c>
      <c r="F24" s="42">
        <v>400</v>
      </c>
      <c r="G24" s="42" t="e">
        <f>F24=#REF!</f>
        <v>#REF!</v>
      </c>
    </row>
    <row r="25" spans="1:7">
      <c r="A25" s="43" t="s">
        <v>34</v>
      </c>
      <c r="B25" s="42">
        <v>1273</v>
      </c>
      <c r="C25" s="42">
        <v>309</v>
      </c>
      <c r="D25" s="42">
        <v>3</v>
      </c>
      <c r="E25" s="42">
        <v>120</v>
      </c>
      <c r="F25" s="42">
        <v>1705</v>
      </c>
      <c r="G25" s="42" t="e">
        <f>F25=#REF!</f>
        <v>#REF!</v>
      </c>
    </row>
    <row r="26" spans="1:7">
      <c r="A26" s="43" t="s">
        <v>35</v>
      </c>
      <c r="B26" s="42">
        <v>18</v>
      </c>
      <c r="C26" s="42">
        <v>1</v>
      </c>
      <c r="E26" s="42">
        <v>1</v>
      </c>
      <c r="F26" s="42">
        <v>20</v>
      </c>
      <c r="G26" s="42" t="e">
        <f>F26=#REF!</f>
        <v>#REF!</v>
      </c>
    </row>
    <row r="27" spans="1:7">
      <c r="A27" s="43" t="s">
        <v>36</v>
      </c>
      <c r="B27" s="42">
        <v>24</v>
      </c>
      <c r="D27" s="42">
        <v>1</v>
      </c>
      <c r="F27" s="42">
        <v>25</v>
      </c>
      <c r="G27" s="42" t="e">
        <f>F27=#REF!</f>
        <v>#REF!</v>
      </c>
    </row>
    <row r="28" spans="1:7">
      <c r="A28" s="43" t="s">
        <v>37</v>
      </c>
      <c r="B28" s="42">
        <v>27</v>
      </c>
      <c r="C28" s="42">
        <v>1</v>
      </c>
      <c r="F28" s="42">
        <v>28</v>
      </c>
      <c r="G28" s="42" t="e">
        <f>F28=#REF!</f>
        <v>#REF!</v>
      </c>
    </row>
    <row r="29" spans="1:7">
      <c r="A29" s="43" t="s">
        <v>38</v>
      </c>
      <c r="B29" s="42">
        <v>52</v>
      </c>
      <c r="D29" s="42">
        <v>3</v>
      </c>
      <c r="F29" s="42">
        <v>55</v>
      </c>
      <c r="G29" s="42" t="e">
        <f>F29=#REF!</f>
        <v>#REF!</v>
      </c>
    </row>
    <row r="30" spans="1:7">
      <c r="A30" s="43" t="s">
        <v>39</v>
      </c>
      <c r="B30" s="42">
        <v>389</v>
      </c>
      <c r="C30" s="42">
        <v>1</v>
      </c>
      <c r="D30" s="42">
        <v>1</v>
      </c>
      <c r="F30" s="42">
        <v>391</v>
      </c>
      <c r="G30" s="42" t="e">
        <f>F30=#REF!</f>
        <v>#REF!</v>
      </c>
    </row>
    <row r="31" spans="1:7">
      <c r="A31" s="43" t="s">
        <v>40</v>
      </c>
      <c r="B31" s="42">
        <v>71</v>
      </c>
      <c r="D31" s="42">
        <v>1</v>
      </c>
      <c r="F31" s="42">
        <v>72</v>
      </c>
      <c r="G31" s="42" t="e">
        <f>F31=#REF!</f>
        <v>#REF!</v>
      </c>
    </row>
    <row r="32" spans="1:7">
      <c r="A32" s="43" t="s">
        <v>41</v>
      </c>
      <c r="B32" s="42">
        <v>230</v>
      </c>
      <c r="C32" s="42">
        <v>2</v>
      </c>
      <c r="F32" s="42">
        <v>232</v>
      </c>
      <c r="G32" s="42" t="e">
        <f>F32=#REF!</f>
        <v>#REF!</v>
      </c>
    </row>
    <row r="33" spans="1:7">
      <c r="A33" s="43" t="s">
        <v>42</v>
      </c>
      <c r="B33" s="42">
        <v>708</v>
      </c>
      <c r="C33" s="42">
        <v>6</v>
      </c>
      <c r="D33" s="42">
        <v>1</v>
      </c>
      <c r="F33" s="42">
        <v>715</v>
      </c>
      <c r="G33" s="42" t="e">
        <f>F33=#REF!</f>
        <v>#REF!</v>
      </c>
    </row>
    <row r="34" spans="1:7">
      <c r="A34" s="43" t="s">
        <v>43</v>
      </c>
      <c r="B34" s="42">
        <v>9</v>
      </c>
      <c r="C34" s="42">
        <v>4</v>
      </c>
      <c r="F34" s="42">
        <v>13</v>
      </c>
      <c r="G34" s="42" t="e">
        <f>F34=#REF!</f>
        <v>#REF!</v>
      </c>
    </row>
    <row r="35" spans="1:7">
      <c r="A35" s="43" t="s">
        <v>44</v>
      </c>
      <c r="B35" s="42">
        <v>1020</v>
      </c>
      <c r="C35" s="42">
        <v>28</v>
      </c>
      <c r="D35" s="42">
        <v>2</v>
      </c>
      <c r="F35" s="42">
        <v>1050</v>
      </c>
      <c r="G35" s="42" t="e">
        <f>F35=#REF!</f>
        <v>#REF!</v>
      </c>
    </row>
    <row r="36" spans="1:7">
      <c r="A36" s="43" t="s">
        <v>45</v>
      </c>
      <c r="B36" s="42">
        <v>35</v>
      </c>
      <c r="F36" s="42">
        <v>35</v>
      </c>
      <c r="G36" s="42" t="e">
        <f>F36=#REF!</f>
        <v>#REF!</v>
      </c>
    </row>
    <row r="37" spans="1:7">
      <c r="A37" s="43" t="s">
        <v>47</v>
      </c>
      <c r="B37" s="42">
        <v>911</v>
      </c>
      <c r="C37" s="42">
        <v>2</v>
      </c>
      <c r="D37" s="42">
        <v>6</v>
      </c>
      <c r="F37" s="42">
        <v>919</v>
      </c>
      <c r="G37" s="42" t="e">
        <f>F37=#REF!</f>
        <v>#REF!</v>
      </c>
    </row>
    <row r="38" spans="1:7">
      <c r="A38" s="43" t="s">
        <v>58</v>
      </c>
      <c r="B38" s="42">
        <v>161</v>
      </c>
      <c r="C38" s="42">
        <v>4</v>
      </c>
      <c r="F38" s="42">
        <v>165</v>
      </c>
      <c r="G38" s="42" t="e">
        <f>F38=#REF!</f>
        <v>#REF!</v>
      </c>
    </row>
    <row r="39" spans="1:7">
      <c r="A39" s="43" t="s">
        <v>48</v>
      </c>
      <c r="B39" s="42">
        <v>357</v>
      </c>
      <c r="C39" s="42">
        <v>11</v>
      </c>
      <c r="D39" s="42">
        <v>4</v>
      </c>
      <c r="F39" s="42">
        <v>372</v>
      </c>
      <c r="G39" s="42" t="e">
        <f>F39=#REF!</f>
        <v>#REF!</v>
      </c>
    </row>
    <row r="40" spans="1:7">
      <c r="A40" s="43" t="s">
        <v>60</v>
      </c>
      <c r="B40" s="42">
        <v>15822</v>
      </c>
      <c r="C40" s="42">
        <v>838</v>
      </c>
      <c r="D40" s="42">
        <v>76</v>
      </c>
      <c r="E40" s="42">
        <v>287</v>
      </c>
      <c r="F40" s="42">
        <v>17023</v>
      </c>
      <c r="G40" s="42" t="e">
        <f>F40=#REF!</f>
        <v>#REF!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0"/>
  <dimension ref="A1:U40"/>
  <sheetViews>
    <sheetView topLeftCell="A16" workbookViewId="0">
      <selection activeCell="B23" sqref="B23"/>
    </sheetView>
  </sheetViews>
  <sheetFormatPr defaultRowHeight="12.75"/>
  <cols>
    <col min="1" max="1" width="5.28515625" customWidth="1"/>
    <col min="2" max="2" width="14.28515625" customWidth="1"/>
    <col min="3" max="3" width="8.42578125" customWidth="1"/>
    <col min="4" max="4" width="10.140625" customWidth="1"/>
    <col min="5" max="5" width="8.42578125" customWidth="1"/>
    <col min="6" max="6" width="6.7109375" customWidth="1"/>
    <col min="7" max="7" width="10.140625" customWidth="1"/>
    <col min="8" max="8" width="9.28515625" customWidth="1"/>
    <col min="9" max="10" width="6.7109375" customWidth="1"/>
    <col min="11" max="12" width="8.42578125" customWidth="1"/>
    <col min="13" max="13" width="10.140625" customWidth="1"/>
    <col min="14" max="14" width="8.42578125" customWidth="1"/>
    <col min="15" max="15" width="6.7109375" customWidth="1"/>
    <col min="16" max="16" width="10.140625" customWidth="1"/>
    <col min="17" max="17" width="9.28515625" customWidth="1"/>
    <col min="18" max="18" width="8.28515625" customWidth="1"/>
    <col min="19" max="20" width="8.42578125" customWidth="1"/>
    <col min="21" max="21" width="8.85546875" hidden="1" customWidth="1"/>
    <col min="22" max="22" width="6.85546875" customWidth="1"/>
  </cols>
  <sheetData>
    <row r="1" spans="1:21" ht="21" customHeight="1">
      <c r="A1" s="2"/>
      <c r="B1" s="1004" t="s">
        <v>0</v>
      </c>
      <c r="C1" s="1004"/>
      <c r="D1" s="1004"/>
      <c r="E1" s="1004"/>
      <c r="F1" s="1004"/>
      <c r="G1" s="1004"/>
      <c r="H1" s="1004"/>
      <c r="I1" s="1004"/>
      <c r="J1" s="1004"/>
      <c r="K1" s="1004"/>
      <c r="L1" s="1004"/>
      <c r="M1" s="1004"/>
      <c r="N1" s="1004"/>
      <c r="O1" s="1004"/>
      <c r="P1" s="1004"/>
      <c r="Q1" s="1004"/>
      <c r="R1" s="1004"/>
      <c r="S1" s="1004"/>
      <c r="T1" s="1004"/>
      <c r="U1" s="2"/>
    </row>
    <row r="2" spans="1:21" ht="20.100000000000001" customHeight="1" thickBot="1">
      <c r="A2" s="2"/>
      <c r="B2" s="1005" t="s">
        <v>1</v>
      </c>
      <c r="C2" s="1005"/>
      <c r="D2" s="1005"/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  <c r="P2" s="1005"/>
      <c r="Q2" s="1005"/>
      <c r="R2" s="1005"/>
      <c r="S2" s="1005"/>
      <c r="T2" s="1005"/>
      <c r="U2" s="2"/>
    </row>
    <row r="3" spans="1:21" ht="23.25" customHeight="1" thickBot="1">
      <c r="A3" s="2"/>
      <c r="B3" s="3" t="s">
        <v>2</v>
      </c>
      <c r="C3" s="1006" t="s">
        <v>3</v>
      </c>
      <c r="D3" s="1006"/>
      <c r="E3" s="1006"/>
      <c r="F3" s="1006"/>
      <c r="G3" s="1006"/>
      <c r="H3" s="1006"/>
      <c r="I3" s="1006"/>
      <c r="J3" s="1006"/>
      <c r="K3" s="1006"/>
      <c r="L3" s="1006" t="s">
        <v>4</v>
      </c>
      <c r="M3" s="1006"/>
      <c r="N3" s="1006"/>
      <c r="O3" s="1006"/>
      <c r="P3" s="1006"/>
      <c r="Q3" s="1006"/>
      <c r="R3" s="1006"/>
      <c r="S3" s="1006"/>
      <c r="T3" s="1006"/>
      <c r="U3" s="2"/>
    </row>
    <row r="4" spans="1:21" ht="39.950000000000003" customHeight="1" thickBot="1">
      <c r="A4" s="2"/>
      <c r="B4" s="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4" t="s">
        <v>13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4" t="s">
        <v>13</v>
      </c>
      <c r="U4" s="2"/>
    </row>
    <row r="5" spans="1:21" ht="33" customHeight="1" thickBot="1">
      <c r="A5" s="2"/>
      <c r="B5" s="23" t="s">
        <v>55</v>
      </c>
      <c r="C5" s="24"/>
      <c r="D5" s="24"/>
      <c r="E5" s="24"/>
      <c r="F5" s="24"/>
      <c r="G5" s="24"/>
      <c r="H5" s="24"/>
      <c r="I5" s="24"/>
      <c r="J5" s="24">
        <v>0</v>
      </c>
      <c r="K5" s="24"/>
      <c r="L5" s="24">
        <v>3</v>
      </c>
      <c r="M5" s="24"/>
      <c r="N5" s="24"/>
      <c r="O5" s="24"/>
      <c r="P5" s="24">
        <v>1</v>
      </c>
      <c r="Q5" s="24"/>
      <c r="R5" s="24">
        <v>1</v>
      </c>
      <c r="S5" s="24">
        <v>5</v>
      </c>
      <c r="T5" s="24"/>
      <c r="U5" s="2"/>
    </row>
    <row r="6" spans="1:21" ht="33" customHeight="1" thickBot="1">
      <c r="A6" s="2"/>
      <c r="B6" s="23" t="s">
        <v>15</v>
      </c>
      <c r="C6" s="24">
        <v>26</v>
      </c>
      <c r="D6" s="24">
        <v>2</v>
      </c>
      <c r="E6" s="24">
        <v>2</v>
      </c>
      <c r="F6" s="24">
        <v>2</v>
      </c>
      <c r="G6" s="24">
        <v>6</v>
      </c>
      <c r="H6" s="24">
        <v>1</v>
      </c>
      <c r="I6" s="24">
        <v>6</v>
      </c>
      <c r="J6" s="24">
        <v>45</v>
      </c>
      <c r="K6" s="24">
        <v>1</v>
      </c>
      <c r="L6" s="24">
        <v>2628</v>
      </c>
      <c r="M6" s="24">
        <v>2</v>
      </c>
      <c r="N6" s="24">
        <v>47</v>
      </c>
      <c r="O6" s="24">
        <v>16</v>
      </c>
      <c r="P6" s="24">
        <v>497</v>
      </c>
      <c r="Q6" s="24">
        <v>5</v>
      </c>
      <c r="R6" s="24">
        <v>423</v>
      </c>
      <c r="S6" s="24">
        <v>3618</v>
      </c>
      <c r="T6" s="24">
        <v>332</v>
      </c>
      <c r="U6" s="2"/>
    </row>
    <row r="7" spans="1:21" ht="33" customHeight="1" thickBot="1">
      <c r="A7" s="2"/>
      <c r="B7" s="23" t="s">
        <v>16</v>
      </c>
      <c r="C7" s="24">
        <v>3</v>
      </c>
      <c r="D7" s="24"/>
      <c r="E7" s="24"/>
      <c r="F7" s="24"/>
      <c r="G7" s="24"/>
      <c r="H7" s="24"/>
      <c r="I7" s="24"/>
      <c r="J7" s="24">
        <v>3</v>
      </c>
      <c r="K7" s="24"/>
      <c r="L7" s="24">
        <v>8</v>
      </c>
      <c r="M7" s="24"/>
      <c r="N7" s="24"/>
      <c r="O7" s="24"/>
      <c r="P7" s="24">
        <v>1</v>
      </c>
      <c r="Q7" s="24"/>
      <c r="R7" s="24"/>
      <c r="S7" s="24">
        <v>9</v>
      </c>
      <c r="T7" s="24"/>
      <c r="U7" s="2"/>
    </row>
    <row r="8" spans="1:21" ht="33" customHeight="1" thickBot="1">
      <c r="A8" s="2"/>
      <c r="B8" s="23" t="s">
        <v>17</v>
      </c>
      <c r="C8" s="24">
        <v>6</v>
      </c>
      <c r="D8" s="24">
        <v>1</v>
      </c>
      <c r="E8" s="24"/>
      <c r="F8" s="24"/>
      <c r="G8" s="24">
        <v>2</v>
      </c>
      <c r="H8" s="24"/>
      <c r="I8" s="24"/>
      <c r="J8" s="24">
        <v>9</v>
      </c>
      <c r="K8" s="24"/>
      <c r="L8" s="24">
        <v>135</v>
      </c>
      <c r="M8" s="24"/>
      <c r="N8" s="24">
        <v>4</v>
      </c>
      <c r="O8" s="24">
        <v>4</v>
      </c>
      <c r="P8" s="24">
        <v>1</v>
      </c>
      <c r="Q8" s="24">
        <v>1</v>
      </c>
      <c r="R8" s="24">
        <v>29</v>
      </c>
      <c r="S8" s="24">
        <v>174</v>
      </c>
      <c r="T8" s="24">
        <v>10</v>
      </c>
      <c r="U8" s="2"/>
    </row>
    <row r="9" spans="1:21" ht="33" customHeight="1" thickBot="1">
      <c r="A9" s="2"/>
      <c r="B9" s="23" t="s">
        <v>18</v>
      </c>
      <c r="C9" s="24">
        <v>12</v>
      </c>
      <c r="D9" s="24">
        <v>2</v>
      </c>
      <c r="E9" s="24">
        <v>1</v>
      </c>
      <c r="F9" s="24">
        <v>1</v>
      </c>
      <c r="G9" s="24">
        <v>1</v>
      </c>
      <c r="H9" s="24"/>
      <c r="I9" s="24">
        <v>3</v>
      </c>
      <c r="J9" s="24">
        <v>20</v>
      </c>
      <c r="K9" s="24"/>
      <c r="L9" s="24">
        <v>408</v>
      </c>
      <c r="M9" s="24">
        <v>6</v>
      </c>
      <c r="N9" s="24">
        <v>7</v>
      </c>
      <c r="O9" s="24">
        <v>11</v>
      </c>
      <c r="P9" s="24">
        <v>10</v>
      </c>
      <c r="Q9" s="24">
        <v>3</v>
      </c>
      <c r="R9" s="24">
        <v>86</v>
      </c>
      <c r="S9" s="24">
        <v>531</v>
      </c>
      <c r="T9" s="24">
        <v>43</v>
      </c>
      <c r="U9" s="2"/>
    </row>
    <row r="10" spans="1:21" ht="33" customHeight="1" thickBot="1">
      <c r="A10" s="2"/>
      <c r="B10" s="23" t="s">
        <v>19</v>
      </c>
      <c r="C10" s="24">
        <v>1</v>
      </c>
      <c r="D10" s="24"/>
      <c r="E10" s="24"/>
      <c r="F10" s="24"/>
      <c r="G10" s="24">
        <v>1</v>
      </c>
      <c r="H10" s="24"/>
      <c r="I10" s="24"/>
      <c r="J10" s="24">
        <v>2</v>
      </c>
      <c r="K10" s="24"/>
      <c r="L10" s="24">
        <v>5</v>
      </c>
      <c r="M10" s="24"/>
      <c r="N10" s="24">
        <v>1</v>
      </c>
      <c r="O10" s="24"/>
      <c r="P10" s="24">
        <v>2</v>
      </c>
      <c r="Q10" s="24"/>
      <c r="R10" s="24">
        <v>5</v>
      </c>
      <c r="S10" s="24">
        <v>13</v>
      </c>
      <c r="T10" s="24">
        <v>5</v>
      </c>
      <c r="U10" s="2"/>
    </row>
    <row r="11" spans="1:21" ht="33" customHeight="1" thickBot="1">
      <c r="A11" s="2"/>
      <c r="B11" s="23" t="s">
        <v>56</v>
      </c>
      <c r="C11" s="24">
        <v>7</v>
      </c>
      <c r="D11" s="24">
        <v>1</v>
      </c>
      <c r="E11" s="24">
        <v>1</v>
      </c>
      <c r="F11" s="24">
        <v>1</v>
      </c>
      <c r="G11" s="24">
        <v>2</v>
      </c>
      <c r="H11" s="24"/>
      <c r="I11" s="24">
        <v>3</v>
      </c>
      <c r="J11" s="24">
        <v>15</v>
      </c>
      <c r="K11" s="24"/>
      <c r="L11" s="24">
        <v>311</v>
      </c>
      <c r="M11" s="24">
        <v>2</v>
      </c>
      <c r="N11" s="24">
        <v>16</v>
      </c>
      <c r="O11" s="24">
        <v>7</v>
      </c>
      <c r="P11" s="24">
        <v>44</v>
      </c>
      <c r="Q11" s="24"/>
      <c r="R11" s="24">
        <v>50</v>
      </c>
      <c r="S11" s="24">
        <v>430</v>
      </c>
      <c r="T11" s="24">
        <v>34</v>
      </c>
      <c r="U11" s="2"/>
    </row>
    <row r="12" spans="1:21" ht="33" customHeight="1" thickBot="1">
      <c r="A12" s="2"/>
      <c r="B12" s="23" t="s">
        <v>21</v>
      </c>
      <c r="C12" s="24"/>
      <c r="D12" s="24"/>
      <c r="E12" s="24"/>
      <c r="F12" s="24"/>
      <c r="G12" s="24"/>
      <c r="H12" s="24"/>
      <c r="I12" s="24"/>
      <c r="J12" s="24">
        <v>0</v>
      </c>
      <c r="K12" s="24"/>
      <c r="L12" s="24">
        <v>1</v>
      </c>
      <c r="M12" s="24"/>
      <c r="N12" s="24"/>
      <c r="O12" s="24"/>
      <c r="P12" s="24"/>
      <c r="Q12" s="24"/>
      <c r="R12" s="24">
        <v>1</v>
      </c>
      <c r="S12" s="24">
        <v>2</v>
      </c>
      <c r="T12" s="24"/>
      <c r="U12" s="2"/>
    </row>
    <row r="13" spans="1:21" ht="33" customHeight="1" thickBot="1">
      <c r="A13" s="2"/>
      <c r="B13" s="23" t="s">
        <v>22</v>
      </c>
      <c r="C13" s="24"/>
      <c r="D13" s="24"/>
      <c r="E13" s="24"/>
      <c r="F13" s="24"/>
      <c r="G13" s="24"/>
      <c r="H13" s="24"/>
      <c r="I13" s="24"/>
      <c r="J13" s="24">
        <v>0</v>
      </c>
      <c r="K13" s="24"/>
      <c r="L13" s="24">
        <v>1</v>
      </c>
      <c r="M13" s="24"/>
      <c r="N13" s="24">
        <v>1</v>
      </c>
      <c r="O13" s="24"/>
      <c r="P13" s="24"/>
      <c r="Q13" s="24"/>
      <c r="R13" s="24">
        <v>1</v>
      </c>
      <c r="S13" s="24">
        <v>3</v>
      </c>
      <c r="T13" s="24"/>
      <c r="U13" s="2"/>
    </row>
    <row r="14" spans="1:21" ht="33" customHeight="1" thickBot="1">
      <c r="A14" s="2"/>
      <c r="B14" s="23" t="s">
        <v>23</v>
      </c>
      <c r="C14" s="24">
        <v>9</v>
      </c>
      <c r="D14" s="24">
        <v>1</v>
      </c>
      <c r="E14" s="24">
        <v>1</v>
      </c>
      <c r="F14" s="24">
        <v>2</v>
      </c>
      <c r="G14" s="24">
        <v>3</v>
      </c>
      <c r="H14" s="24"/>
      <c r="I14" s="24">
        <v>5</v>
      </c>
      <c r="J14" s="24">
        <v>21</v>
      </c>
      <c r="K14" s="24"/>
      <c r="L14" s="24">
        <v>74</v>
      </c>
      <c r="M14" s="24"/>
      <c r="N14" s="24">
        <v>10</v>
      </c>
      <c r="O14" s="24">
        <v>1</v>
      </c>
      <c r="P14" s="24">
        <v>15</v>
      </c>
      <c r="Q14" s="24"/>
      <c r="R14" s="24">
        <v>42</v>
      </c>
      <c r="S14" s="24">
        <v>142</v>
      </c>
      <c r="T14" s="24">
        <v>22</v>
      </c>
      <c r="U14" s="2"/>
    </row>
    <row r="15" spans="1:21" ht="33" customHeight="1" thickBot="1">
      <c r="A15" s="2"/>
      <c r="B15" s="23" t="s">
        <v>24</v>
      </c>
      <c r="C15" s="24">
        <v>1</v>
      </c>
      <c r="D15" s="24"/>
      <c r="E15" s="24"/>
      <c r="F15" s="24"/>
      <c r="G15" s="24">
        <v>1</v>
      </c>
      <c r="H15" s="24"/>
      <c r="I15" s="24"/>
      <c r="J15" s="24">
        <v>2</v>
      </c>
      <c r="K15" s="24"/>
      <c r="L15" s="24">
        <v>22</v>
      </c>
      <c r="M15" s="24"/>
      <c r="N15" s="24">
        <v>2</v>
      </c>
      <c r="O15" s="24">
        <v>1</v>
      </c>
      <c r="P15" s="24">
        <v>3</v>
      </c>
      <c r="Q15" s="24"/>
      <c r="R15" s="24">
        <v>5</v>
      </c>
      <c r="S15" s="24">
        <v>33</v>
      </c>
      <c r="T15" s="24">
        <v>1</v>
      </c>
      <c r="U15" s="2"/>
    </row>
    <row r="16" spans="1:21" ht="33" customHeight="1" thickBot="1">
      <c r="A16" s="2"/>
      <c r="B16" s="23" t="s">
        <v>25</v>
      </c>
      <c r="C16" s="24">
        <v>22</v>
      </c>
      <c r="D16" s="24">
        <v>3</v>
      </c>
      <c r="E16" s="24">
        <v>1</v>
      </c>
      <c r="F16" s="24">
        <v>1</v>
      </c>
      <c r="G16" s="24">
        <v>3</v>
      </c>
      <c r="H16" s="24"/>
      <c r="I16" s="24">
        <v>6</v>
      </c>
      <c r="J16" s="24">
        <v>36</v>
      </c>
      <c r="K16" s="24"/>
      <c r="L16" s="24">
        <v>958</v>
      </c>
      <c r="M16" s="24">
        <v>12</v>
      </c>
      <c r="N16" s="24">
        <v>44</v>
      </c>
      <c r="O16" s="24">
        <v>26</v>
      </c>
      <c r="P16" s="24">
        <v>187</v>
      </c>
      <c r="Q16" s="24">
        <v>4</v>
      </c>
      <c r="R16" s="24">
        <v>392</v>
      </c>
      <c r="S16" s="24">
        <v>1623</v>
      </c>
      <c r="T16" s="24">
        <v>138</v>
      </c>
      <c r="U16" s="2"/>
    </row>
    <row r="17" spans="1:21" ht="33" customHeight="1" thickBot="1">
      <c r="A17" s="2"/>
      <c r="B17" s="23" t="s">
        <v>26</v>
      </c>
      <c r="C17" s="24">
        <v>11</v>
      </c>
      <c r="D17" s="24">
        <v>2</v>
      </c>
      <c r="E17" s="24">
        <v>1</v>
      </c>
      <c r="F17" s="24"/>
      <c r="G17" s="24">
        <v>4</v>
      </c>
      <c r="H17" s="24">
        <v>1</v>
      </c>
      <c r="I17" s="24">
        <v>2</v>
      </c>
      <c r="J17" s="24">
        <v>21</v>
      </c>
      <c r="K17" s="24">
        <v>1</v>
      </c>
      <c r="L17" s="24">
        <v>121</v>
      </c>
      <c r="M17" s="24">
        <v>2</v>
      </c>
      <c r="N17" s="24">
        <v>4</v>
      </c>
      <c r="O17" s="24">
        <v>2</v>
      </c>
      <c r="P17" s="24">
        <v>57</v>
      </c>
      <c r="Q17" s="24"/>
      <c r="R17" s="24">
        <v>80</v>
      </c>
      <c r="S17" s="24">
        <v>266</v>
      </c>
      <c r="T17" s="24">
        <v>38</v>
      </c>
      <c r="U17" s="2"/>
    </row>
    <row r="18" spans="1:21" ht="33" customHeight="1" thickBot="1">
      <c r="A18" s="2"/>
      <c r="B18" s="23" t="s">
        <v>27</v>
      </c>
      <c r="C18" s="24">
        <v>11</v>
      </c>
      <c r="D18" s="24">
        <v>2</v>
      </c>
      <c r="E18" s="24"/>
      <c r="F18" s="24"/>
      <c r="G18" s="24">
        <v>3</v>
      </c>
      <c r="H18" s="24"/>
      <c r="I18" s="24">
        <v>1</v>
      </c>
      <c r="J18" s="24">
        <v>17</v>
      </c>
      <c r="K18" s="24"/>
      <c r="L18" s="24">
        <v>158</v>
      </c>
      <c r="M18" s="24"/>
      <c r="N18" s="24">
        <v>5</v>
      </c>
      <c r="O18" s="24">
        <v>3</v>
      </c>
      <c r="P18" s="24">
        <v>19</v>
      </c>
      <c r="Q18" s="24"/>
      <c r="R18" s="24">
        <v>51</v>
      </c>
      <c r="S18" s="24">
        <v>236</v>
      </c>
      <c r="T18" s="24">
        <v>14</v>
      </c>
      <c r="U18" s="2"/>
    </row>
    <row r="19" spans="1:21" ht="33" customHeight="1" thickBot="1">
      <c r="A19" s="2"/>
      <c r="B19" s="23" t="s">
        <v>57</v>
      </c>
      <c r="C19" s="24">
        <v>5</v>
      </c>
      <c r="D19" s="24">
        <v>1</v>
      </c>
      <c r="E19" s="24"/>
      <c r="F19" s="24"/>
      <c r="G19" s="24">
        <v>2</v>
      </c>
      <c r="H19" s="24"/>
      <c r="I19" s="24"/>
      <c r="J19" s="24">
        <v>8</v>
      </c>
      <c r="K19" s="24"/>
      <c r="L19" s="24">
        <v>74</v>
      </c>
      <c r="M19" s="24"/>
      <c r="N19" s="24">
        <v>1</v>
      </c>
      <c r="O19" s="24">
        <v>1</v>
      </c>
      <c r="P19" s="24">
        <v>2</v>
      </c>
      <c r="Q19" s="24">
        <v>1</v>
      </c>
      <c r="R19" s="24">
        <v>40</v>
      </c>
      <c r="S19" s="24">
        <v>119</v>
      </c>
      <c r="T19" s="24">
        <v>10</v>
      </c>
      <c r="U19" s="2"/>
    </row>
    <row r="20" spans="1:21" ht="33" customHeight="1" thickBot="1">
      <c r="A20" s="2"/>
      <c r="B20" s="23" t="s">
        <v>29</v>
      </c>
      <c r="C20" s="24">
        <v>5</v>
      </c>
      <c r="D20" s="24"/>
      <c r="E20" s="24"/>
      <c r="F20" s="24">
        <v>1</v>
      </c>
      <c r="G20" s="24">
        <v>3</v>
      </c>
      <c r="H20" s="24"/>
      <c r="I20" s="24"/>
      <c r="J20" s="24">
        <v>9</v>
      </c>
      <c r="K20" s="24"/>
      <c r="L20" s="24">
        <v>31</v>
      </c>
      <c r="M20" s="24"/>
      <c r="N20" s="24"/>
      <c r="O20" s="24">
        <v>1</v>
      </c>
      <c r="P20" s="24">
        <v>4</v>
      </c>
      <c r="Q20" s="24"/>
      <c r="R20" s="24">
        <v>2</v>
      </c>
      <c r="S20" s="24">
        <v>38</v>
      </c>
      <c r="T20" s="24">
        <v>3</v>
      </c>
      <c r="U20" s="2"/>
    </row>
    <row r="21" spans="1:21" ht="33" customHeight="1" thickBot="1">
      <c r="A21" s="2"/>
      <c r="B21" s="23" t="s">
        <v>30</v>
      </c>
      <c r="C21" s="24">
        <v>21</v>
      </c>
      <c r="D21" s="24">
        <v>3</v>
      </c>
      <c r="E21" s="24">
        <v>6</v>
      </c>
      <c r="F21" s="24">
        <v>2</v>
      </c>
      <c r="G21" s="24">
        <v>3</v>
      </c>
      <c r="H21" s="24">
        <v>1</v>
      </c>
      <c r="I21" s="24">
        <v>7</v>
      </c>
      <c r="J21" s="24">
        <v>43</v>
      </c>
      <c r="K21" s="24">
        <v>1</v>
      </c>
      <c r="L21" s="24">
        <v>2013</v>
      </c>
      <c r="M21" s="24">
        <v>2</v>
      </c>
      <c r="N21" s="24">
        <v>175</v>
      </c>
      <c r="O21" s="24">
        <v>60</v>
      </c>
      <c r="P21" s="24">
        <v>190</v>
      </c>
      <c r="Q21" s="24">
        <v>1</v>
      </c>
      <c r="R21" s="24">
        <v>563</v>
      </c>
      <c r="S21" s="24">
        <v>3004</v>
      </c>
      <c r="T21" s="24">
        <v>190</v>
      </c>
      <c r="U21" s="2"/>
    </row>
    <row r="22" spans="1:21" ht="33" customHeight="1" thickBot="1">
      <c r="A22" s="2"/>
      <c r="B22" s="23" t="s">
        <v>31</v>
      </c>
      <c r="C22" s="24">
        <v>6</v>
      </c>
      <c r="D22" s="24">
        <v>1</v>
      </c>
      <c r="E22" s="24"/>
      <c r="F22" s="24">
        <v>1</v>
      </c>
      <c r="G22" s="24">
        <v>1</v>
      </c>
      <c r="H22" s="24">
        <v>1</v>
      </c>
      <c r="I22" s="24">
        <v>6</v>
      </c>
      <c r="J22" s="24">
        <v>16</v>
      </c>
      <c r="K22" s="24"/>
      <c r="L22" s="24">
        <v>355</v>
      </c>
      <c r="M22" s="24">
        <v>2</v>
      </c>
      <c r="N22" s="24">
        <v>15</v>
      </c>
      <c r="O22" s="24">
        <v>3</v>
      </c>
      <c r="P22" s="24">
        <v>73</v>
      </c>
      <c r="Q22" s="24"/>
      <c r="R22" s="24">
        <v>132</v>
      </c>
      <c r="S22" s="24">
        <v>580</v>
      </c>
      <c r="T22" s="24">
        <v>41</v>
      </c>
      <c r="U22" s="2"/>
    </row>
    <row r="23" spans="1:21" ht="33" customHeight="1" thickBot="1">
      <c r="A23" s="2"/>
      <c r="B23" s="23" t="s">
        <v>32</v>
      </c>
      <c r="C23" s="24"/>
      <c r="D23" s="24"/>
      <c r="E23" s="24"/>
      <c r="F23" s="24"/>
      <c r="G23" s="24"/>
      <c r="H23" s="24"/>
      <c r="I23" s="24"/>
      <c r="J23" s="24">
        <v>0</v>
      </c>
      <c r="K23" s="24"/>
      <c r="L23" s="24"/>
      <c r="M23" s="24"/>
      <c r="N23" s="24"/>
      <c r="O23" s="24"/>
      <c r="P23" s="24"/>
      <c r="Q23" s="24"/>
      <c r="R23" s="24"/>
      <c r="S23" s="24">
        <v>0</v>
      </c>
      <c r="T23" s="24"/>
      <c r="U23" s="2"/>
    </row>
    <row r="24" spans="1:21" ht="33" customHeight="1" thickBot="1">
      <c r="A24" s="2"/>
      <c r="B24" s="23" t="s">
        <v>33</v>
      </c>
      <c r="C24" s="24">
        <v>8</v>
      </c>
      <c r="D24" s="24">
        <v>1</v>
      </c>
      <c r="E24" s="24"/>
      <c r="F24" s="24">
        <v>1</v>
      </c>
      <c r="G24" s="24">
        <v>6</v>
      </c>
      <c r="H24" s="24"/>
      <c r="I24" s="24">
        <v>9</v>
      </c>
      <c r="J24" s="24">
        <v>25</v>
      </c>
      <c r="K24" s="24"/>
      <c r="L24" s="24">
        <v>289</v>
      </c>
      <c r="M24" s="24">
        <v>1</v>
      </c>
      <c r="N24" s="24">
        <v>11</v>
      </c>
      <c r="O24" s="24">
        <v>11</v>
      </c>
      <c r="P24" s="24">
        <v>17</v>
      </c>
      <c r="Q24" s="24"/>
      <c r="R24" s="24">
        <v>71</v>
      </c>
      <c r="S24" s="24">
        <v>400</v>
      </c>
      <c r="T24" s="24">
        <v>28</v>
      </c>
      <c r="U24" s="2"/>
    </row>
    <row r="25" spans="1:21" ht="33" customHeight="1" thickBot="1">
      <c r="A25" s="2"/>
      <c r="B25" s="23" t="s">
        <v>34</v>
      </c>
      <c r="C25" s="24">
        <v>19</v>
      </c>
      <c r="D25" s="24">
        <v>4</v>
      </c>
      <c r="E25" s="24">
        <v>6</v>
      </c>
      <c r="F25" s="24"/>
      <c r="G25" s="24">
        <v>4</v>
      </c>
      <c r="H25" s="24"/>
      <c r="I25" s="24">
        <v>11</v>
      </c>
      <c r="J25" s="24">
        <v>44</v>
      </c>
      <c r="K25" s="24">
        <v>1</v>
      </c>
      <c r="L25" s="24">
        <v>1137</v>
      </c>
      <c r="M25" s="24">
        <v>27</v>
      </c>
      <c r="N25" s="24">
        <v>60</v>
      </c>
      <c r="O25" s="24">
        <v>36</v>
      </c>
      <c r="P25" s="24">
        <v>143</v>
      </c>
      <c r="Q25" s="24">
        <v>5</v>
      </c>
      <c r="R25" s="24">
        <v>297</v>
      </c>
      <c r="S25" s="24">
        <v>1705</v>
      </c>
      <c r="T25" s="24">
        <v>99</v>
      </c>
      <c r="U25" s="2"/>
    </row>
    <row r="26" spans="1:21" ht="33" customHeight="1" thickBot="1">
      <c r="A26" s="2"/>
      <c r="B26" s="23" t="s">
        <v>35</v>
      </c>
      <c r="C26" s="24">
        <v>1</v>
      </c>
      <c r="D26" s="24">
        <v>1</v>
      </c>
      <c r="E26" s="24"/>
      <c r="F26" s="24"/>
      <c r="G26" s="24">
        <v>1</v>
      </c>
      <c r="H26" s="24"/>
      <c r="I26" s="24"/>
      <c r="J26" s="24">
        <v>3</v>
      </c>
      <c r="K26" s="24"/>
      <c r="L26" s="24">
        <v>16</v>
      </c>
      <c r="M26" s="24"/>
      <c r="N26" s="24">
        <v>1</v>
      </c>
      <c r="O26" s="24">
        <v>1</v>
      </c>
      <c r="P26" s="24">
        <v>1</v>
      </c>
      <c r="Q26" s="24"/>
      <c r="R26" s="24">
        <v>1</v>
      </c>
      <c r="S26" s="24">
        <v>20</v>
      </c>
      <c r="T26" s="24">
        <v>1</v>
      </c>
      <c r="U26" s="2"/>
    </row>
    <row r="27" spans="1:21" ht="33" customHeight="1" thickBot="1">
      <c r="A27" s="2"/>
      <c r="B27" s="23" t="s">
        <v>36</v>
      </c>
      <c r="C27" s="24">
        <v>3</v>
      </c>
      <c r="D27" s="24"/>
      <c r="E27" s="24"/>
      <c r="F27" s="24"/>
      <c r="G27" s="24">
        <v>2</v>
      </c>
      <c r="H27" s="24"/>
      <c r="I27" s="24"/>
      <c r="J27" s="24">
        <v>5</v>
      </c>
      <c r="K27" s="24"/>
      <c r="L27" s="24">
        <v>21</v>
      </c>
      <c r="M27" s="24"/>
      <c r="N27" s="24"/>
      <c r="O27" s="24"/>
      <c r="P27" s="24"/>
      <c r="Q27" s="24"/>
      <c r="R27" s="24">
        <v>4</v>
      </c>
      <c r="S27" s="24">
        <v>25</v>
      </c>
      <c r="T27" s="24">
        <v>4</v>
      </c>
      <c r="U27" s="2"/>
    </row>
    <row r="28" spans="1:21" ht="33" customHeight="1" thickBot="1">
      <c r="A28" s="2"/>
      <c r="B28" s="23" t="s">
        <v>37</v>
      </c>
      <c r="C28" s="24">
        <v>3</v>
      </c>
      <c r="D28" s="24"/>
      <c r="E28" s="24"/>
      <c r="F28" s="24"/>
      <c r="G28" s="24"/>
      <c r="H28" s="24"/>
      <c r="I28" s="24"/>
      <c r="J28" s="24">
        <v>3</v>
      </c>
      <c r="K28" s="24"/>
      <c r="L28" s="24">
        <v>23</v>
      </c>
      <c r="M28" s="24"/>
      <c r="N28" s="24">
        <v>1</v>
      </c>
      <c r="O28" s="24">
        <v>1</v>
      </c>
      <c r="P28" s="24">
        <v>1</v>
      </c>
      <c r="Q28" s="24"/>
      <c r="R28" s="24">
        <v>2</v>
      </c>
      <c r="S28" s="24">
        <v>28</v>
      </c>
      <c r="T28" s="24"/>
      <c r="U28" s="2"/>
    </row>
    <row r="29" spans="1:21" ht="33" customHeight="1" thickBot="1">
      <c r="A29" s="2"/>
      <c r="B29" s="23" t="s">
        <v>38</v>
      </c>
      <c r="C29" s="24">
        <v>3</v>
      </c>
      <c r="D29" s="24"/>
      <c r="E29" s="24"/>
      <c r="F29" s="24"/>
      <c r="G29" s="24">
        <v>1</v>
      </c>
      <c r="H29" s="24"/>
      <c r="I29" s="24"/>
      <c r="J29" s="24">
        <v>4</v>
      </c>
      <c r="K29" s="24"/>
      <c r="L29" s="24">
        <v>47</v>
      </c>
      <c r="M29" s="24">
        <v>1</v>
      </c>
      <c r="N29" s="24"/>
      <c r="O29" s="24">
        <v>2</v>
      </c>
      <c r="P29" s="24">
        <v>2</v>
      </c>
      <c r="Q29" s="24"/>
      <c r="R29" s="24">
        <v>3</v>
      </c>
      <c r="S29" s="24">
        <v>55</v>
      </c>
      <c r="T29" s="24">
        <v>2</v>
      </c>
      <c r="U29" s="2"/>
    </row>
    <row r="30" spans="1:21" ht="33" customHeight="1" thickBot="1">
      <c r="A30" s="2"/>
      <c r="B30" s="23" t="s">
        <v>39</v>
      </c>
      <c r="C30" s="24">
        <v>10</v>
      </c>
      <c r="D30" s="24">
        <v>1</v>
      </c>
      <c r="E30" s="24"/>
      <c r="F30" s="24">
        <v>1</v>
      </c>
      <c r="G30" s="24">
        <v>3</v>
      </c>
      <c r="H30" s="24"/>
      <c r="I30" s="24">
        <v>3</v>
      </c>
      <c r="J30" s="24">
        <v>18</v>
      </c>
      <c r="K30" s="24"/>
      <c r="L30" s="24">
        <v>279</v>
      </c>
      <c r="M30" s="24"/>
      <c r="N30" s="24">
        <v>1</v>
      </c>
      <c r="O30" s="24">
        <v>5</v>
      </c>
      <c r="P30" s="24">
        <v>50</v>
      </c>
      <c r="Q30" s="24"/>
      <c r="R30" s="24">
        <v>56</v>
      </c>
      <c r="S30" s="24">
        <v>391</v>
      </c>
      <c r="T30" s="24">
        <v>30</v>
      </c>
      <c r="U30" s="2"/>
    </row>
    <row r="31" spans="1:21" ht="33" customHeight="1" thickBot="1">
      <c r="A31" s="2"/>
      <c r="B31" s="23" t="s">
        <v>40</v>
      </c>
      <c r="C31" s="24">
        <v>1</v>
      </c>
      <c r="D31" s="24"/>
      <c r="E31" s="24"/>
      <c r="F31" s="24"/>
      <c r="G31" s="24">
        <v>1</v>
      </c>
      <c r="H31" s="24"/>
      <c r="I31" s="24"/>
      <c r="J31" s="24">
        <v>2</v>
      </c>
      <c r="K31" s="24"/>
      <c r="L31" s="24">
        <v>21</v>
      </c>
      <c r="M31" s="24"/>
      <c r="N31" s="24">
        <v>6</v>
      </c>
      <c r="O31" s="24">
        <v>1</v>
      </c>
      <c r="P31" s="24">
        <v>9</v>
      </c>
      <c r="Q31" s="24">
        <v>1</v>
      </c>
      <c r="R31" s="24">
        <v>34</v>
      </c>
      <c r="S31" s="24">
        <v>72</v>
      </c>
      <c r="T31" s="24">
        <v>8</v>
      </c>
      <c r="U31" s="2"/>
    </row>
    <row r="32" spans="1:21" ht="33" customHeight="1" thickBot="1">
      <c r="A32" s="2"/>
      <c r="B32" s="23" t="s">
        <v>41</v>
      </c>
      <c r="C32" s="24">
        <v>5</v>
      </c>
      <c r="D32" s="24">
        <v>1</v>
      </c>
      <c r="E32" s="24">
        <v>1</v>
      </c>
      <c r="F32" s="24">
        <v>1</v>
      </c>
      <c r="G32" s="24">
        <v>5</v>
      </c>
      <c r="H32" s="24">
        <v>1</v>
      </c>
      <c r="I32" s="24">
        <v>2</v>
      </c>
      <c r="J32" s="24">
        <v>16</v>
      </c>
      <c r="K32" s="24"/>
      <c r="L32" s="24">
        <v>71</v>
      </c>
      <c r="M32" s="24"/>
      <c r="N32" s="24">
        <v>7</v>
      </c>
      <c r="O32" s="24">
        <v>1</v>
      </c>
      <c r="P32" s="24">
        <v>79</v>
      </c>
      <c r="Q32" s="24"/>
      <c r="R32" s="24">
        <v>74</v>
      </c>
      <c r="S32" s="24">
        <v>232</v>
      </c>
      <c r="T32" s="24">
        <v>20</v>
      </c>
      <c r="U32" s="2"/>
    </row>
    <row r="33" spans="1:21" ht="33" customHeight="1" thickBot="1">
      <c r="A33" s="2"/>
      <c r="B33" s="23" t="s">
        <v>42</v>
      </c>
      <c r="C33" s="24">
        <v>19</v>
      </c>
      <c r="D33" s="24"/>
      <c r="E33" s="24">
        <v>2</v>
      </c>
      <c r="F33" s="24"/>
      <c r="G33" s="24">
        <v>5</v>
      </c>
      <c r="H33" s="24">
        <v>1</v>
      </c>
      <c r="I33" s="24">
        <v>1</v>
      </c>
      <c r="J33" s="24">
        <v>28</v>
      </c>
      <c r="K33" s="24">
        <v>1</v>
      </c>
      <c r="L33" s="24">
        <v>483</v>
      </c>
      <c r="M33" s="24">
        <v>1</v>
      </c>
      <c r="N33" s="24">
        <v>8</v>
      </c>
      <c r="O33" s="24">
        <v>6</v>
      </c>
      <c r="P33" s="24">
        <v>72</v>
      </c>
      <c r="Q33" s="24">
        <v>2</v>
      </c>
      <c r="R33" s="24">
        <v>143</v>
      </c>
      <c r="S33" s="24">
        <v>715</v>
      </c>
      <c r="T33" s="24">
        <v>173</v>
      </c>
      <c r="U33" s="2"/>
    </row>
    <row r="34" spans="1:21" ht="33" customHeight="1" thickBot="1">
      <c r="A34" s="2"/>
      <c r="B34" s="23" t="s">
        <v>43</v>
      </c>
      <c r="C34" s="24">
        <v>2</v>
      </c>
      <c r="D34" s="24"/>
      <c r="E34" s="24"/>
      <c r="F34" s="24"/>
      <c r="G34" s="24">
        <v>1</v>
      </c>
      <c r="H34" s="24"/>
      <c r="I34" s="24">
        <v>1</v>
      </c>
      <c r="J34" s="24">
        <v>4</v>
      </c>
      <c r="K34" s="24"/>
      <c r="L34" s="24">
        <v>6</v>
      </c>
      <c r="M34" s="24"/>
      <c r="N34" s="24">
        <v>1</v>
      </c>
      <c r="O34" s="24"/>
      <c r="P34" s="24"/>
      <c r="Q34" s="24"/>
      <c r="R34" s="24">
        <v>6</v>
      </c>
      <c r="S34" s="24">
        <v>13</v>
      </c>
      <c r="T34" s="24">
        <v>1</v>
      </c>
      <c r="U34" s="2"/>
    </row>
    <row r="35" spans="1:21" ht="33" customHeight="1" thickBot="1">
      <c r="A35" s="2"/>
      <c r="B35" s="23" t="s">
        <v>44</v>
      </c>
      <c r="C35" s="24">
        <v>29</v>
      </c>
      <c r="D35" s="24">
        <v>1</v>
      </c>
      <c r="E35" s="24">
        <v>1</v>
      </c>
      <c r="F35" s="24">
        <v>1</v>
      </c>
      <c r="G35" s="24">
        <v>14</v>
      </c>
      <c r="H35" s="24">
        <v>1</v>
      </c>
      <c r="I35" s="24">
        <v>8</v>
      </c>
      <c r="J35" s="24">
        <v>55</v>
      </c>
      <c r="K35" s="24">
        <v>2</v>
      </c>
      <c r="L35" s="24">
        <v>694</v>
      </c>
      <c r="M35" s="24"/>
      <c r="N35" s="24">
        <v>6</v>
      </c>
      <c r="O35" s="24">
        <v>1</v>
      </c>
      <c r="P35" s="24">
        <v>160</v>
      </c>
      <c r="Q35" s="24"/>
      <c r="R35" s="24">
        <v>189</v>
      </c>
      <c r="S35" s="24">
        <v>1050</v>
      </c>
      <c r="T35" s="24">
        <v>140</v>
      </c>
      <c r="U35" s="2"/>
    </row>
    <row r="36" spans="1:21" ht="33" customHeight="1" thickBot="1">
      <c r="A36" s="2"/>
      <c r="B36" s="23" t="s">
        <v>45</v>
      </c>
      <c r="C36" s="24">
        <v>2</v>
      </c>
      <c r="D36" s="24"/>
      <c r="E36" s="24"/>
      <c r="F36" s="24"/>
      <c r="G36" s="24">
        <v>1</v>
      </c>
      <c r="H36" s="24"/>
      <c r="I36" s="24"/>
      <c r="J36" s="24">
        <v>3</v>
      </c>
      <c r="K36" s="24"/>
      <c r="L36" s="24">
        <v>19</v>
      </c>
      <c r="M36" s="24"/>
      <c r="N36" s="24">
        <v>3</v>
      </c>
      <c r="O36" s="24">
        <v>1</v>
      </c>
      <c r="P36" s="24">
        <v>4</v>
      </c>
      <c r="Q36" s="24">
        <v>1</v>
      </c>
      <c r="R36" s="24">
        <v>7</v>
      </c>
      <c r="S36" s="24">
        <v>35</v>
      </c>
      <c r="T36" s="24">
        <v>2</v>
      </c>
      <c r="U36" s="2"/>
    </row>
    <row r="37" spans="1:21" ht="33" customHeight="1" thickBot="1">
      <c r="A37" s="2"/>
      <c r="B37" s="23" t="s">
        <v>47</v>
      </c>
      <c r="C37" s="24">
        <v>27</v>
      </c>
      <c r="D37" s="24">
        <v>3</v>
      </c>
      <c r="E37" s="24"/>
      <c r="F37" s="24">
        <v>1</v>
      </c>
      <c r="G37" s="24">
        <v>5</v>
      </c>
      <c r="H37" s="24">
        <v>2</v>
      </c>
      <c r="I37" s="24">
        <v>3</v>
      </c>
      <c r="J37" s="24">
        <v>41</v>
      </c>
      <c r="K37" s="24"/>
      <c r="L37" s="24">
        <v>767</v>
      </c>
      <c r="M37" s="24">
        <v>4</v>
      </c>
      <c r="N37" s="24">
        <v>6</v>
      </c>
      <c r="O37" s="24">
        <v>15</v>
      </c>
      <c r="P37" s="24">
        <v>7</v>
      </c>
      <c r="Q37" s="24"/>
      <c r="R37" s="24">
        <v>120</v>
      </c>
      <c r="S37" s="24">
        <v>919</v>
      </c>
      <c r="T37" s="24">
        <v>106</v>
      </c>
      <c r="U37" s="2"/>
    </row>
    <row r="38" spans="1:21" ht="33" customHeight="1" thickBot="1">
      <c r="A38" s="2"/>
      <c r="B38" s="23" t="s">
        <v>58</v>
      </c>
      <c r="C38" s="24">
        <v>9</v>
      </c>
      <c r="D38" s="24">
        <v>1</v>
      </c>
      <c r="E38" s="24">
        <v>1</v>
      </c>
      <c r="F38" s="24"/>
      <c r="G38" s="24">
        <v>2</v>
      </c>
      <c r="H38" s="24"/>
      <c r="I38" s="24">
        <v>1</v>
      </c>
      <c r="J38" s="24">
        <v>14</v>
      </c>
      <c r="K38" s="24"/>
      <c r="L38" s="24">
        <v>123</v>
      </c>
      <c r="M38" s="24">
        <v>2</v>
      </c>
      <c r="N38" s="24">
        <v>4</v>
      </c>
      <c r="O38" s="24">
        <v>1</v>
      </c>
      <c r="P38" s="24">
        <v>18</v>
      </c>
      <c r="Q38" s="24"/>
      <c r="R38" s="24">
        <v>17</v>
      </c>
      <c r="S38" s="24">
        <v>165</v>
      </c>
      <c r="T38" s="24">
        <v>12</v>
      </c>
      <c r="U38" s="2"/>
    </row>
    <row r="39" spans="1:21" ht="33" customHeight="1" thickBot="1">
      <c r="A39" s="2"/>
      <c r="B39" s="23" t="s">
        <v>48</v>
      </c>
      <c r="C39" s="24">
        <v>13</v>
      </c>
      <c r="D39" s="24">
        <v>2</v>
      </c>
      <c r="E39" s="24">
        <v>1</v>
      </c>
      <c r="F39" s="24">
        <v>1</v>
      </c>
      <c r="G39" s="24">
        <v>3</v>
      </c>
      <c r="H39" s="24"/>
      <c r="I39" s="24">
        <v>2</v>
      </c>
      <c r="J39" s="24">
        <v>22</v>
      </c>
      <c r="K39" s="24"/>
      <c r="L39" s="24">
        <v>235</v>
      </c>
      <c r="M39" s="24"/>
      <c r="N39" s="24">
        <v>13</v>
      </c>
      <c r="O39" s="24">
        <v>3</v>
      </c>
      <c r="P39" s="24">
        <v>63</v>
      </c>
      <c r="Q39" s="24"/>
      <c r="R39" s="24">
        <v>58</v>
      </c>
      <c r="S39" s="24">
        <v>372</v>
      </c>
      <c r="T39" s="24">
        <v>43</v>
      </c>
      <c r="U39" s="2"/>
    </row>
    <row r="40" spans="1:21" ht="20.100000000000001" customHeight="1" thickBot="1">
      <c r="A40" s="2"/>
      <c r="B40" s="25" t="s">
        <v>59</v>
      </c>
      <c r="C40" s="24">
        <v>300</v>
      </c>
      <c r="D40" s="24">
        <v>34</v>
      </c>
      <c r="E40" s="24">
        <v>25</v>
      </c>
      <c r="F40" s="24">
        <v>17</v>
      </c>
      <c r="G40" s="24">
        <v>89</v>
      </c>
      <c r="H40" s="24">
        <v>9</v>
      </c>
      <c r="I40" s="24">
        <v>80</v>
      </c>
      <c r="J40" s="24">
        <v>554</v>
      </c>
      <c r="K40" s="24">
        <v>7</v>
      </c>
      <c r="L40" s="24">
        <v>11537</v>
      </c>
      <c r="M40" s="24">
        <v>64</v>
      </c>
      <c r="N40" s="24">
        <v>460</v>
      </c>
      <c r="O40" s="24">
        <v>221</v>
      </c>
      <c r="P40" s="24">
        <v>1732</v>
      </c>
      <c r="Q40" s="24">
        <v>24</v>
      </c>
      <c r="R40" s="24">
        <v>2985</v>
      </c>
      <c r="S40" s="24">
        <v>17023</v>
      </c>
      <c r="T40" s="24">
        <v>1550</v>
      </c>
      <c r="U40" s="2"/>
    </row>
  </sheetData>
  <mergeCells count="4">
    <mergeCell ref="B1:T1"/>
    <mergeCell ref="B2:T2"/>
    <mergeCell ref="C3:K3"/>
    <mergeCell ref="L3:T3"/>
  </mergeCells>
  <pageMargins left="0.27777777777777779" right="0.27777777777777779" top="0.27777777777777779" bottom="0.27777777777777779" header="0.5" footer="0.5"/>
  <pageSetup pageOrder="overThenDown" orientation="landscape" horizontalDpi="300" verticalDpi="3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51"/>
  <dimension ref="A1:E8"/>
  <sheetViews>
    <sheetView workbookViewId="0">
      <selection activeCell="B8" sqref="B8"/>
    </sheetView>
  </sheetViews>
  <sheetFormatPr defaultRowHeight="12.75"/>
  <sheetData>
    <row r="1" spans="1:5" ht="13.5" thickBot="1">
      <c r="B1" t="s">
        <v>9</v>
      </c>
      <c r="C1" t="s">
        <v>75</v>
      </c>
      <c r="D1" t="s">
        <v>76</v>
      </c>
      <c r="E1" t="s">
        <v>77</v>
      </c>
    </row>
    <row r="2" spans="1:5" ht="18.75" thickBot="1">
      <c r="A2" t="s">
        <v>12</v>
      </c>
      <c r="B2" s="44">
        <v>1981</v>
      </c>
      <c r="C2" s="45">
        <v>2796</v>
      </c>
      <c r="D2" s="45">
        <v>873</v>
      </c>
      <c r="E2" s="46">
        <v>54</v>
      </c>
    </row>
    <row r="3" spans="1:5">
      <c r="A3" t="s">
        <v>78</v>
      </c>
      <c r="B3">
        <v>1426</v>
      </c>
      <c r="C3">
        <v>2130</v>
      </c>
      <c r="D3">
        <v>742</v>
      </c>
      <c r="E3">
        <v>51</v>
      </c>
    </row>
    <row r="6" spans="1:5">
      <c r="B6" t="s">
        <v>9</v>
      </c>
      <c r="C6" t="s">
        <v>75</v>
      </c>
      <c r="D6" t="s">
        <v>76</v>
      </c>
      <c r="E6" t="s">
        <v>77</v>
      </c>
    </row>
    <row r="7" spans="1:5">
      <c r="A7" t="s">
        <v>78</v>
      </c>
      <c r="B7">
        <v>1426</v>
      </c>
      <c r="C7">
        <v>2130</v>
      </c>
      <c r="D7">
        <v>742</v>
      </c>
      <c r="E7">
        <v>51</v>
      </c>
    </row>
    <row r="8" spans="1:5">
      <c r="B8">
        <v>555</v>
      </c>
      <c r="C8">
        <v>666</v>
      </c>
      <c r="D8">
        <v>131</v>
      </c>
      <c r="E8">
        <v>3</v>
      </c>
    </row>
  </sheetData>
  <pageMargins left="0.7" right="0.7" top="0.75" bottom="0.75" header="0.3" footer="0.3"/>
  <pageSetup paperSize="9" orientation="portrait" horizontalDpi="2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107</vt:i4>
      </vt:variant>
    </vt:vector>
  </HeadingPairs>
  <TitlesOfParts>
    <vt:vector size="170" baseType="lpstr">
      <vt:lpstr>1UniNo</vt:lpstr>
      <vt:lpstr>1InsResponse</vt:lpstr>
      <vt:lpstr>2University-Specialisation</vt:lpstr>
      <vt:lpstr>3Collegerange</vt:lpstr>
      <vt:lpstr>4CollegeIndicator</vt:lpstr>
      <vt:lpstr>4aCollegeSpec</vt:lpstr>
      <vt:lpstr>5ManagementCollegeNo</vt:lpstr>
      <vt:lpstr>6TotalEnr</vt:lpstr>
      <vt:lpstr>6aTotalRegularEnr</vt:lpstr>
      <vt:lpstr>6bTotalDistanceEnr</vt:lpstr>
      <vt:lpstr>7UnivActwithConsUnit</vt:lpstr>
      <vt:lpstr>8CollegeAct</vt:lpstr>
      <vt:lpstr>9AllSAAct</vt:lpstr>
      <vt:lpstr>10CollegeEst</vt:lpstr>
      <vt:lpstr>11Programme</vt:lpstr>
      <vt:lpstr>11aProgrammeDistance </vt:lpstr>
      <vt:lpstr>12UGDisc </vt:lpstr>
      <vt:lpstr>13PGDisc</vt:lpstr>
      <vt:lpstr>14TotalEnrCategory</vt:lpstr>
      <vt:lpstr>16FS-countrylevel</vt:lpstr>
      <vt:lpstr>17FS-statelevel</vt:lpstr>
      <vt:lpstr>18FS-prog</vt:lpstr>
      <vt:lpstr>19GER</vt:lpstr>
      <vt:lpstr>ManagementCollegeNo (2)</vt:lpstr>
      <vt:lpstr>WomenCollege</vt:lpstr>
      <vt:lpstr>20GPI</vt:lpstr>
      <vt:lpstr>21TeacherCategory</vt:lpstr>
      <vt:lpstr>22TeacherPost</vt:lpstr>
      <vt:lpstr>22aTeacherPostUC</vt:lpstr>
      <vt:lpstr>22bTeacherPostU</vt:lpstr>
      <vt:lpstr>23StaffPost</vt:lpstr>
      <vt:lpstr>24StaffCategory</vt:lpstr>
      <vt:lpstr>25PTR</vt:lpstr>
      <vt:lpstr>26UnivEnrolinclConstituentU</vt:lpstr>
      <vt:lpstr>27TypeEnrolmentCategory-Est</vt:lpstr>
      <vt:lpstr>29TypeTeacherPostEstimated</vt:lpstr>
      <vt:lpstr>30TypeTeacherCategoryEstimated</vt:lpstr>
      <vt:lpstr>31Hostelstate </vt:lpstr>
      <vt:lpstr>32TypeHostel</vt:lpstr>
      <vt:lpstr>33OutTurnState</vt:lpstr>
      <vt:lpstr>34OutTurn Prog </vt:lpstr>
      <vt:lpstr>35UGDisc</vt:lpstr>
      <vt:lpstr>36 PGDisc </vt:lpstr>
      <vt:lpstr>37CollegeTypeNo</vt:lpstr>
      <vt:lpstr>38pop2019</vt:lpstr>
      <vt:lpstr>39TypeStateUnivwithConsUnit</vt:lpstr>
      <vt:lpstr>40NoUni</vt:lpstr>
      <vt:lpstr>41NoUniType</vt:lpstr>
      <vt:lpstr>42CollegeIndicator</vt:lpstr>
      <vt:lpstr>43ENRLT</vt:lpstr>
      <vt:lpstr>44ENRLR</vt:lpstr>
      <vt:lpstr>45EnrlCategory</vt:lpstr>
      <vt:lpstr>46EnrlMinority</vt:lpstr>
      <vt:lpstr>47GER </vt:lpstr>
      <vt:lpstr>48GPI</vt:lpstr>
      <vt:lpstr>49PTR</vt:lpstr>
      <vt:lpstr>50LevelEnrlUniType</vt:lpstr>
      <vt:lpstr>51PostTeacher</vt:lpstr>
      <vt:lpstr>52Pop</vt:lpstr>
      <vt:lpstr>4CollegeIndicator (2)</vt:lpstr>
      <vt:lpstr>RespondingTypeCollege</vt:lpstr>
      <vt:lpstr>Paste</vt:lpstr>
      <vt:lpstr>StandaloneMgt</vt:lpstr>
      <vt:lpstr>'10CollegeEst'!Print_Area</vt:lpstr>
      <vt:lpstr>'11aProgrammeDistance '!Print_Area</vt:lpstr>
      <vt:lpstr>'11Programme'!Print_Area</vt:lpstr>
      <vt:lpstr>'12UGDisc '!Print_Area</vt:lpstr>
      <vt:lpstr>'13PGDisc'!Print_Area</vt:lpstr>
      <vt:lpstr>'14TotalEnrCategory'!Print_Area</vt:lpstr>
      <vt:lpstr>'16FS-countrylevel'!Print_Area</vt:lpstr>
      <vt:lpstr>'17FS-statelevel'!Print_Area</vt:lpstr>
      <vt:lpstr>'18FS-prog'!Print_Area</vt:lpstr>
      <vt:lpstr>'19GER'!Print_Area</vt:lpstr>
      <vt:lpstr>'1InsResponse'!Print_Area</vt:lpstr>
      <vt:lpstr>'1UniNo'!Print_Area</vt:lpstr>
      <vt:lpstr>'20GPI'!Print_Area</vt:lpstr>
      <vt:lpstr>'21TeacherCategory'!Print_Area</vt:lpstr>
      <vt:lpstr>'22aTeacherPostUC'!Print_Area</vt:lpstr>
      <vt:lpstr>'22bTeacherPostU'!Print_Area</vt:lpstr>
      <vt:lpstr>'22TeacherPost'!Print_Area</vt:lpstr>
      <vt:lpstr>'23StaffPost'!Print_Area</vt:lpstr>
      <vt:lpstr>'24StaffCategory'!Print_Area</vt:lpstr>
      <vt:lpstr>'25PTR'!Print_Area</vt:lpstr>
      <vt:lpstr>'26UnivEnrolinclConstituentU'!Print_Area</vt:lpstr>
      <vt:lpstr>'27TypeEnrolmentCategory-Est'!Print_Area</vt:lpstr>
      <vt:lpstr>'29TypeTeacherPostEstimated'!Print_Area</vt:lpstr>
      <vt:lpstr>'2University-Specialisation'!Print_Area</vt:lpstr>
      <vt:lpstr>'30TypeTeacherCategoryEstimated'!Print_Area</vt:lpstr>
      <vt:lpstr>'31Hostelstate '!Print_Area</vt:lpstr>
      <vt:lpstr>'32TypeHostel'!Print_Area</vt:lpstr>
      <vt:lpstr>'33OutTurnState'!Print_Area</vt:lpstr>
      <vt:lpstr>'34OutTurn Prog '!Print_Area</vt:lpstr>
      <vt:lpstr>'35UGDisc'!Print_Area</vt:lpstr>
      <vt:lpstr>'36 PGDisc '!Print_Area</vt:lpstr>
      <vt:lpstr>'37CollegeTypeNo'!Print_Area</vt:lpstr>
      <vt:lpstr>'38pop2019'!Print_Area</vt:lpstr>
      <vt:lpstr>'39TypeStateUnivwithConsUnit'!Print_Area</vt:lpstr>
      <vt:lpstr>'3Collegerange'!Print_Area</vt:lpstr>
      <vt:lpstr>'40NoUni'!Print_Area</vt:lpstr>
      <vt:lpstr>'42CollegeIndicator'!Print_Area</vt:lpstr>
      <vt:lpstr>'44ENRLR'!Print_Area</vt:lpstr>
      <vt:lpstr>'45EnrlCategory'!Print_Area</vt:lpstr>
      <vt:lpstr>'48GPI'!Print_Area</vt:lpstr>
      <vt:lpstr>'49PTR'!Print_Area</vt:lpstr>
      <vt:lpstr>'4aCollegeSpec'!Print_Area</vt:lpstr>
      <vt:lpstr>'4CollegeIndicator'!Print_Area</vt:lpstr>
      <vt:lpstr>'4CollegeIndicator (2)'!Print_Area</vt:lpstr>
      <vt:lpstr>'50LevelEnrlUniType'!Print_Area</vt:lpstr>
      <vt:lpstr>'51PostTeacher'!Print_Area</vt:lpstr>
      <vt:lpstr>'52Pop'!Print_Area</vt:lpstr>
      <vt:lpstr>'5ManagementCollegeNo'!Print_Area</vt:lpstr>
      <vt:lpstr>'6aTotalRegularEnr'!Print_Area</vt:lpstr>
      <vt:lpstr>'6bTotalDistanceEnr'!Print_Area</vt:lpstr>
      <vt:lpstr>'6TotalEnr'!Print_Area</vt:lpstr>
      <vt:lpstr>'7UnivActwithConsUnit'!Print_Area</vt:lpstr>
      <vt:lpstr>'8CollegeAct'!Print_Area</vt:lpstr>
      <vt:lpstr>'9AllSAAct'!Print_Area</vt:lpstr>
      <vt:lpstr>'ManagementCollegeNo (2)'!Print_Area</vt:lpstr>
      <vt:lpstr>WomenCollege!Print_Area</vt:lpstr>
      <vt:lpstr>'10CollegeEst'!Print_Titles</vt:lpstr>
      <vt:lpstr>'11aProgrammeDistance '!Print_Titles</vt:lpstr>
      <vt:lpstr>'11Programme'!Print_Titles</vt:lpstr>
      <vt:lpstr>'12UGDisc '!Print_Titles</vt:lpstr>
      <vt:lpstr>'13PGDisc'!Print_Titles</vt:lpstr>
      <vt:lpstr>'14TotalEnrCategory'!Print_Titles</vt:lpstr>
      <vt:lpstr>'16FS-countrylevel'!Print_Titles</vt:lpstr>
      <vt:lpstr>'17FS-statelevel'!Print_Titles</vt:lpstr>
      <vt:lpstr>'18FS-prog'!Print_Titles</vt:lpstr>
      <vt:lpstr>'20GPI'!Print_Titles</vt:lpstr>
      <vt:lpstr>'21TeacherCategory'!Print_Titles</vt:lpstr>
      <vt:lpstr>'22aTeacherPostUC'!Print_Titles</vt:lpstr>
      <vt:lpstr>'22bTeacherPostU'!Print_Titles</vt:lpstr>
      <vt:lpstr>'22TeacherPost'!Print_Titles</vt:lpstr>
      <vt:lpstr>'23StaffPost'!Print_Titles</vt:lpstr>
      <vt:lpstr>'24StaffCategory'!Print_Titles</vt:lpstr>
      <vt:lpstr>'25PTR'!Print_Titles</vt:lpstr>
      <vt:lpstr>'26UnivEnrolinclConstituentU'!Print_Titles</vt:lpstr>
      <vt:lpstr>'27TypeEnrolmentCategory-Est'!Print_Titles</vt:lpstr>
      <vt:lpstr>'29TypeTeacherPostEstimated'!Print_Titles</vt:lpstr>
      <vt:lpstr>'2University-Specialisation'!Print_Titles</vt:lpstr>
      <vt:lpstr>'30TypeTeacherCategoryEstimated'!Print_Titles</vt:lpstr>
      <vt:lpstr>'31Hostelstate '!Print_Titles</vt:lpstr>
      <vt:lpstr>'33OutTurnState'!Print_Titles</vt:lpstr>
      <vt:lpstr>'34OutTurn Prog '!Print_Titles</vt:lpstr>
      <vt:lpstr>'35UGDisc'!Print_Titles</vt:lpstr>
      <vt:lpstr>'36 PGDisc '!Print_Titles</vt:lpstr>
      <vt:lpstr>'37CollegeTypeNo'!Print_Titles</vt:lpstr>
      <vt:lpstr>'39TypeStateUnivwithConsUnit'!Print_Titles</vt:lpstr>
      <vt:lpstr>'41NoUniType'!Print_Titles</vt:lpstr>
      <vt:lpstr>'42CollegeIndicator'!Print_Titles</vt:lpstr>
      <vt:lpstr>'43ENRLT'!Print_Titles</vt:lpstr>
      <vt:lpstr>'44ENRLR'!Print_Titles</vt:lpstr>
      <vt:lpstr>'45EnrlCategory'!Print_Titles</vt:lpstr>
      <vt:lpstr>'46EnrlMinority'!Print_Titles</vt:lpstr>
      <vt:lpstr>'47GER '!Print_Titles</vt:lpstr>
      <vt:lpstr>'48GPI'!Print_Titles</vt:lpstr>
      <vt:lpstr>'49PTR'!Print_Titles</vt:lpstr>
      <vt:lpstr>'4aCollegeSpec'!Print_Titles</vt:lpstr>
      <vt:lpstr>'50LevelEnrlUniType'!Print_Titles</vt:lpstr>
      <vt:lpstr>'51PostTeacher'!Print_Titles</vt:lpstr>
      <vt:lpstr>'52Pop'!Print_Titles</vt:lpstr>
      <vt:lpstr>'5ManagementCollegeNo'!Print_Titles</vt:lpstr>
      <vt:lpstr>'6aTotalRegularEnr'!Print_Titles</vt:lpstr>
      <vt:lpstr>'6bTotalDistanceEnr'!Print_Titles</vt:lpstr>
      <vt:lpstr>'6TotalEnr'!Print_Titles</vt:lpstr>
      <vt:lpstr>'7UnivActwithConsUnit'!Print_Titles</vt:lpstr>
      <vt:lpstr>'8CollegeAct'!Print_Titles</vt:lpstr>
      <vt:lpstr>'9AllSAAct'!Print_Titles</vt:lpstr>
      <vt:lpstr>'ManagementCollegeNo (2)'!Print_Titles</vt:lpstr>
      <vt:lpstr>WomenCollege!Print_Titles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EDCIL TSG</cp:lastModifiedBy>
  <cp:lastPrinted>2025-02-19T06:05:57Z</cp:lastPrinted>
  <dcterms:created xsi:type="dcterms:W3CDTF">2012-10-13T19:39:23Z</dcterms:created>
  <dcterms:modified xsi:type="dcterms:W3CDTF">2025-03-03T10:31:02Z</dcterms:modified>
</cp:coreProperties>
</file>